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rxy\sms\src\assets\"/>
    </mc:Choice>
  </mc:AlternateContent>
  <xr:revisionPtr revIDLastSave="0" documentId="8_{2ED979D1-BF66-43F3-9BFD-D47C3E7B942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SS1" sheetId="9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</workbook>
</file>

<file path=xl/calcChain.xml><?xml version="1.0" encoding="utf-8"?>
<calcChain xmlns="http://schemas.openxmlformats.org/spreadsheetml/2006/main">
  <c r="K11" i="9" l="1"/>
  <c r="I51" i="9"/>
  <c r="T11" i="9"/>
  <c r="H12" i="9"/>
  <c r="F10" i="9"/>
  <c r="F9" i="9"/>
  <c r="I53" i="9" l="1"/>
  <c r="I49" i="9"/>
  <c r="I47" i="9"/>
  <c r="I45" i="9"/>
  <c r="I43" i="9"/>
  <c r="I41" i="9"/>
  <c r="I36" i="9"/>
  <c r="I34" i="9"/>
  <c r="I32" i="9"/>
  <c r="I30" i="9"/>
  <c r="I28" i="9"/>
  <c r="I26" i="9"/>
  <c r="I24" i="9"/>
  <c r="K53" i="9"/>
  <c r="K49" i="9"/>
  <c r="K47" i="9"/>
  <c r="K45" i="9"/>
  <c r="K43" i="9"/>
  <c r="K41" i="9"/>
  <c r="K36" i="9"/>
  <c r="K34" i="9"/>
  <c r="K32" i="9"/>
  <c r="K30" i="9"/>
  <c r="K28" i="9"/>
  <c r="K26" i="9"/>
  <c r="K24" i="9"/>
  <c r="M53" i="9"/>
  <c r="M51" i="9"/>
  <c r="M49" i="9"/>
  <c r="M47" i="9"/>
  <c r="M45" i="9"/>
  <c r="M43" i="9"/>
  <c r="M41" i="9"/>
  <c r="M36" i="9"/>
  <c r="M34" i="9"/>
  <c r="M32" i="9"/>
  <c r="M30" i="9"/>
  <c r="M28" i="9"/>
  <c r="M26" i="9"/>
  <c r="M24" i="9"/>
  <c r="O53" i="9"/>
  <c r="Q53" i="9"/>
  <c r="S53" i="9"/>
  <c r="S49" i="9"/>
  <c r="S47" i="9"/>
  <c r="S43" i="9"/>
  <c r="U53" i="9"/>
  <c r="W53" i="9"/>
  <c r="W47" i="9"/>
  <c r="AE12" i="9"/>
  <c r="B51" i="9" l="1"/>
  <c r="B24" i="9" l="1"/>
  <c r="B26" i="9"/>
  <c r="B34" i="9"/>
  <c r="B41" i="9"/>
  <c r="B43" i="9"/>
  <c r="B45" i="9"/>
  <c r="B47" i="9"/>
  <c r="AT62" i="9" l="1"/>
  <c r="AT53" i="9" l="1"/>
  <c r="Y53" i="9" s="1"/>
  <c r="K51" i="9" l="1"/>
  <c r="O49" i="9" l="1"/>
  <c r="AT49" i="9" s="1"/>
  <c r="Y49" i="9" s="1"/>
  <c r="O47" i="9"/>
  <c r="AT47" i="9" s="1"/>
  <c r="Y47" i="9" s="1"/>
  <c r="O45" i="9"/>
  <c r="AT45" i="9" s="1"/>
  <c r="Y45" i="9" s="1"/>
  <c r="O43" i="9"/>
  <c r="AT43" i="9" s="1"/>
  <c r="Y43" i="9" s="1"/>
  <c r="O41" i="9"/>
  <c r="AT41" i="9" s="1"/>
  <c r="Y41" i="9" s="1"/>
  <c r="O36" i="9"/>
  <c r="AT36" i="9" s="1"/>
  <c r="Y36" i="9" s="1"/>
  <c r="O34" i="9"/>
  <c r="AT34" i="9" s="1"/>
  <c r="Y34" i="9" s="1"/>
  <c r="O32" i="9"/>
  <c r="AT32" i="9" s="1"/>
  <c r="Y32" i="9" s="1"/>
  <c r="O30" i="9"/>
  <c r="AT30" i="9" s="1"/>
  <c r="Y30" i="9" s="1"/>
  <c r="O28" i="9"/>
  <c r="AT28" i="9" s="1"/>
  <c r="Y28" i="9" s="1"/>
  <c r="O26" i="9"/>
  <c r="AT26" i="9" s="1"/>
  <c r="Y26" i="9" s="1"/>
  <c r="O24" i="9"/>
  <c r="AT24" i="9" s="1"/>
  <c r="Y24" i="9" s="1"/>
  <c r="O51" i="9"/>
  <c r="AT51" i="9" s="1"/>
  <c r="Y51" i="9" s="1"/>
  <c r="Q43" i="9"/>
  <c r="Q24" i="9"/>
  <c r="Q32" i="9"/>
  <c r="Q51" i="9"/>
  <c r="Q28" i="9"/>
  <c r="Q36" i="9"/>
  <c r="Q47" i="9"/>
  <c r="AC49" i="9"/>
  <c r="S10" i="9" s="1"/>
  <c r="Q26" i="9"/>
  <c r="Q30" i="9"/>
  <c r="Q34" i="9"/>
  <c r="Q41" i="9"/>
  <c r="Q45" i="9"/>
  <c r="Q49" i="9"/>
  <c r="AK56" i="9" l="1"/>
  <c r="J63" i="9"/>
  <c r="J61" i="9"/>
  <c r="AC51" i="9"/>
  <c r="T12" i="9"/>
  <c r="S36" i="9"/>
  <c r="W36" i="9"/>
  <c r="U36" i="9"/>
  <c r="S34" i="9"/>
  <c r="W34" i="9"/>
  <c r="U34" i="9"/>
  <c r="S51" i="9"/>
  <c r="W51" i="9"/>
  <c r="U51" i="9"/>
  <c r="S41" i="9"/>
  <c r="W41" i="9"/>
  <c r="U41" i="9"/>
  <c r="U47" i="9"/>
  <c r="S45" i="9"/>
  <c r="W45" i="9"/>
  <c r="U45" i="9"/>
  <c r="W26" i="9"/>
  <c r="U26" i="9"/>
  <c r="W43" i="9"/>
  <c r="U43" i="9"/>
  <c r="S24" i="9"/>
  <c r="W24" i="9"/>
  <c r="U24" i="9"/>
  <c r="W49" i="9"/>
  <c r="U49" i="9"/>
  <c r="S30" i="9"/>
  <c r="W30" i="9"/>
  <c r="U30" i="9"/>
  <c r="S28" i="9" l="1"/>
  <c r="W28" i="9"/>
  <c r="U28" i="9"/>
  <c r="S32" i="9"/>
  <c r="W32" i="9"/>
  <c r="U32" i="9"/>
  <c r="S26" i="9"/>
  <c r="AC10" i="9"/>
  <c r="AG56" i="9" l="1"/>
  <c r="AE56" i="9"/>
  <c r="AH56" i="9"/>
  <c r="AJ56" i="9"/>
  <c r="AD56" i="9"/>
  <c r="AF56" i="9"/>
  <c r="AI56" i="9"/>
</calcChain>
</file>

<file path=xl/sharedStrings.xml><?xml version="1.0" encoding="utf-8"?>
<sst xmlns="http://schemas.openxmlformats.org/spreadsheetml/2006/main" count="91" uniqueCount="80">
  <si>
    <t>NAME :</t>
  </si>
  <si>
    <t>REG NO:</t>
  </si>
  <si>
    <t>SEX :</t>
  </si>
  <si>
    <t>POSITION :</t>
  </si>
  <si>
    <t>CLASS POPULATION :</t>
  </si>
  <si>
    <t>CLASS:</t>
  </si>
  <si>
    <t>ACADEMIC PERFORMANCE</t>
  </si>
  <si>
    <t>SUBJECTS</t>
  </si>
  <si>
    <t>REMARKS</t>
  </si>
  <si>
    <t>BEHAVIOURS</t>
  </si>
  <si>
    <t>RATINGS</t>
  </si>
  <si>
    <t>ATTENTIVENESS</t>
  </si>
  <si>
    <t>√</t>
  </si>
  <si>
    <t>HONESTY</t>
  </si>
  <si>
    <t>NEATNESS</t>
  </si>
  <si>
    <t>POLITENESS</t>
  </si>
  <si>
    <t>PUNCTUALITY</t>
  </si>
  <si>
    <t>CONFIDENCE</t>
  </si>
  <si>
    <t>ATTITUDE</t>
  </si>
  <si>
    <t>SKILLS</t>
  </si>
  <si>
    <t>RATING</t>
  </si>
  <si>
    <t>LISTENING SKILLS</t>
  </si>
  <si>
    <t>READING SKILLS</t>
  </si>
  <si>
    <t>HOME WORK</t>
  </si>
  <si>
    <t>OUTDOOR GAMES</t>
  </si>
  <si>
    <t>VOCATIONAL SKILLS</t>
  </si>
  <si>
    <t>4=GOOD</t>
  </si>
  <si>
    <t>3=NORMAL</t>
  </si>
  <si>
    <t>2=FAIR</t>
  </si>
  <si>
    <t>1=FAIR</t>
  </si>
  <si>
    <t>TOTAL SCORE</t>
  </si>
  <si>
    <t>PASSED/FAILED</t>
  </si>
  <si>
    <t>TOTAL NUMBER OF GRADE</t>
  </si>
  <si>
    <t>GD</t>
  </si>
  <si>
    <t>A</t>
  </si>
  <si>
    <t>B1</t>
  </si>
  <si>
    <t>B2</t>
  </si>
  <si>
    <t>C4</t>
  </si>
  <si>
    <t>C5</t>
  </si>
  <si>
    <t>D</t>
  </si>
  <si>
    <t>E8</t>
  </si>
  <si>
    <t>F9</t>
  </si>
  <si>
    <t>PRINCIPAL'S COMMENT</t>
  </si>
  <si>
    <t>TEACHER'S COMMENT</t>
  </si>
  <si>
    <t>TERM ENDS:</t>
  </si>
  <si>
    <t>PRINCIPAL</t>
  </si>
  <si>
    <t>TERM BEGINS:</t>
  </si>
  <si>
    <t>MRS ETUZU UGOMA ANITA</t>
  </si>
  <si>
    <r>
      <rPr>
        <sz val="11"/>
        <color theme="1"/>
        <rFont val="Bahnschrift Condensed"/>
        <family val="2"/>
      </rPr>
      <t xml:space="preserve">POWERED BY GLOBIXTECH contact: </t>
    </r>
    <r>
      <rPr>
        <sz val="10"/>
        <color theme="1"/>
        <rFont val="Bahnschrift Condensed"/>
        <family val="2"/>
      </rPr>
      <t>globixtechinc@outlook.com</t>
    </r>
  </si>
  <si>
    <t>BEHAVIOUR
SECTION</t>
  </si>
  <si>
    <t>POSITION</t>
  </si>
  <si>
    <t>PRINCIPAL SECTION</t>
  </si>
  <si>
    <t>COMMENTRY SECTION</t>
  </si>
  <si>
    <t>R E S U L T S H E E T</t>
  </si>
  <si>
    <t>HAVE A BLESSED HOLIDAY. NOTE EDUCATION IS THE KEY TO SUCCESS</t>
  </si>
  <si>
    <t>GRADE</t>
  </si>
  <si>
    <t>PROMOTION STATUS</t>
  </si>
  <si>
    <t>AVERAGE %</t>
  </si>
  <si>
    <t>CIVIC EDUCATION</t>
  </si>
  <si>
    <t>HISTORY</t>
  </si>
  <si>
    <t>BIOLOGY</t>
  </si>
  <si>
    <t>CHEMISTRY</t>
  </si>
  <si>
    <t>C.A(20)</t>
  </si>
  <si>
    <t>EXAM(60)</t>
  </si>
  <si>
    <t>TOTAL(100)</t>
  </si>
  <si>
    <t>C.A (20)</t>
  </si>
  <si>
    <t xml:space="preserve">The section above shows the core subjects offered in science class
</t>
  </si>
  <si>
    <t>CLUB</t>
  </si>
  <si>
    <t>DATE OF BIRTH</t>
  </si>
  <si>
    <t>HOUSE</t>
  </si>
  <si>
    <t>IGBO LANG.</t>
  </si>
  <si>
    <t>AGRICULTURAL SC.</t>
  </si>
  <si>
    <t>MIN.</t>
  </si>
  <si>
    <t>MAX.</t>
  </si>
  <si>
    <t>NOTE: THIS RESULT CONTAINS GENERAL STUDENT PERFORMANCE FOR A TERM</t>
  </si>
  <si>
    <t>The section above shows the ELECTIVES subjects offered in science class</t>
  </si>
  <si>
    <t>SS2 SCIENCE</t>
  </si>
  <si>
    <t>No</t>
  </si>
  <si>
    <t>First Term Report Sheet for 2025/2026</t>
  </si>
  <si>
    <t>BDS/21/042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</si>
</sst>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Bahnschrift SemiLight"/>
      <family val="2"/>
    </font>
    <font>
      <sz val="12"/>
      <color theme="1"/>
      <name val="Bahnschrift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ahnschrift Condensed"/>
      <family val="2"/>
    </font>
    <font>
      <sz val="10"/>
      <color theme="1"/>
      <name val="Bahnschrift Condensed"/>
      <family val="2"/>
    </font>
    <font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12"/>
      <color theme="1"/>
      <name val="Bahnschrift"/>
      <family val="2"/>
    </font>
    <font>
      <b/>
      <sz val="14"/>
      <color rgb="FF000000"/>
      <name val="Calibri"/>
      <family val="2"/>
    </font>
    <font>
      <b/>
      <sz val="13"/>
      <color theme="1"/>
      <name val="Calibri"/>
      <family val="2"/>
      <scheme val="minor"/>
    </font>
    <font>
      <b/>
      <i/>
      <sz val="11"/>
      <color theme="1"/>
      <name val="Bahnschrift SemiLight"/>
      <family val="2"/>
    </font>
    <font>
      <b/>
      <i/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5"/>
      </patternFill>
    </fill>
  </fills>
  <borders count="51">
    <border>
      <left/>
      <right/>
      <top/>
      <bottom/>
      <diagonal/>
    </border>
    <border>
      <left/>
      <right/>
      <top style="medium">
        <color rgb="FF00B0F0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ck">
        <color theme="8" tint="-0.499984740745262"/>
      </right>
      <top/>
      <bottom/>
      <diagonal/>
    </border>
    <border>
      <left/>
      <right/>
      <top/>
      <bottom style="medium">
        <color theme="1"/>
      </bottom>
      <diagonal/>
    </border>
    <border>
      <left style="mediumDashed">
        <color auto="1"/>
      </left>
      <right/>
      <top style="mediumDashed">
        <color auto="1"/>
      </top>
      <bottom style="mediumDashed">
        <color auto="1"/>
      </bottom>
      <diagonal/>
    </border>
    <border>
      <left/>
      <right/>
      <top style="mediumDashed">
        <color auto="1"/>
      </top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 style="thin">
        <color auto="1"/>
      </top>
      <bottom style="thin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Dashed">
        <color auto="1"/>
      </left>
      <right/>
      <top style="mediumDashed">
        <color auto="1"/>
      </top>
      <bottom/>
      <diagonal/>
    </border>
    <border>
      <left/>
      <right/>
      <top style="mediumDashed">
        <color auto="1"/>
      </top>
      <bottom/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thick">
        <color theme="8" tint="-0.499984740745262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auto="1"/>
      </left>
      <right style="medium">
        <color auto="1"/>
      </right>
      <top style="medium">
        <color theme="1"/>
      </top>
      <bottom style="medium">
        <color auto="1"/>
      </bottom>
      <diagonal/>
    </border>
    <border>
      <left style="medium">
        <color theme="1"/>
      </left>
      <right style="medium">
        <color auto="1"/>
      </right>
      <top style="medium">
        <color theme="1"/>
      </top>
      <bottom style="medium">
        <color auto="1"/>
      </bottom>
      <diagonal/>
    </border>
    <border>
      <left style="medium">
        <color auto="1"/>
      </left>
      <right style="medium">
        <color theme="1"/>
      </right>
      <top style="medium">
        <color theme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7" fillId="4" borderId="0" applyNumberFormat="0" applyBorder="0" applyAlignment="0" applyProtection="0"/>
    <xf numFmtId="0" fontId="12" fillId="6" borderId="0" applyNumberFormat="0" applyBorder="0" applyAlignment="0" applyProtection="0"/>
    <xf numFmtId="0" fontId="12" fillId="3" borderId="0" applyNumberFormat="0" applyBorder="0" applyAlignment="0" applyProtection="0"/>
    <xf numFmtId="0" fontId="12" fillId="7" borderId="0" applyNumberFormat="0" applyBorder="0" applyAlignment="0" applyProtection="0"/>
    <xf numFmtId="0" fontId="2" fillId="13" borderId="0" applyNumberFormat="0" applyBorder="0" applyAlignment="0" applyProtection="0"/>
  </cellStyleXfs>
  <cellXfs count="231">
    <xf numFmtId="0" fontId="0" fillId="0" borderId="0" xfId="0"/>
    <xf numFmtId="0" fontId="6" fillId="0" borderId="0" xfId="0" applyFont="1"/>
    <xf numFmtId="0" fontId="6" fillId="2" borderId="1" xfId="0" applyFont="1" applyFill="1" applyBorder="1"/>
    <xf numFmtId="0" fontId="6" fillId="0" borderId="0" xfId="0" applyFont="1" applyAlignment="1">
      <alignment horizontal="left"/>
    </xf>
    <xf numFmtId="0" fontId="0" fillId="4" borderId="0" xfId="0" applyFill="1"/>
    <xf numFmtId="0" fontId="0" fillId="0" borderId="0" xfId="0" applyAlignment="1">
      <alignment vertical="center"/>
    </xf>
    <xf numFmtId="0" fontId="0" fillId="2" borderId="1" xfId="0" applyFill="1" applyBorder="1"/>
    <xf numFmtId="0" fontId="9" fillId="0" borderId="0" xfId="0" applyFont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0" fillId="0" borderId="5" xfId="0" applyBorder="1"/>
    <xf numFmtId="0" fontId="11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9" fillId="7" borderId="16" xfId="0" applyFont="1" applyFill="1" applyBorder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0" fillId="0" borderId="3" xfId="0" applyBorder="1"/>
    <xf numFmtId="0" fontId="0" fillId="0" borderId="20" xfId="0" applyBorder="1"/>
    <xf numFmtId="0" fontId="0" fillId="0" borderId="23" xfId="0" applyBorder="1"/>
    <xf numFmtId="0" fontId="0" fillId="12" borderId="0" xfId="0" applyFill="1"/>
    <xf numFmtId="0" fontId="0" fillId="11" borderId="0" xfId="0" applyFill="1"/>
    <xf numFmtId="0" fontId="0" fillId="11" borderId="0" xfId="0" applyFill="1" applyAlignment="1">
      <alignment vertical="center"/>
    </xf>
    <xf numFmtId="0" fontId="0" fillId="9" borderId="0" xfId="0" applyFill="1" applyAlignment="1">
      <alignment vertical="center" textRotation="255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5" borderId="0" xfId="0" applyFont="1" applyFill="1"/>
    <xf numFmtId="0" fontId="0" fillId="5" borderId="0" xfId="0" applyFill="1"/>
    <xf numFmtId="0" fontId="13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6" fillId="5" borderId="0" xfId="0" applyFont="1" applyFill="1"/>
    <xf numFmtId="0" fontId="13" fillId="5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9" fillId="7" borderId="0" xfId="4" applyFont="1" applyBorder="1" applyAlignment="1">
      <alignment horizontal="center" vertical="center"/>
    </xf>
    <xf numFmtId="0" fontId="0" fillId="4" borderId="33" xfId="0" applyFill="1" applyBorder="1"/>
    <xf numFmtId="0" fontId="9" fillId="0" borderId="17" xfId="0" applyFont="1" applyBorder="1" applyAlignment="1">
      <alignment horizontal="center" vertical="center"/>
    </xf>
    <xf numFmtId="0" fontId="7" fillId="4" borderId="36" xfId="1" applyBorder="1" applyAlignment="1">
      <alignment vertical="center"/>
    </xf>
    <xf numFmtId="0" fontId="0" fillId="4" borderId="36" xfId="0" applyFill="1" applyBorder="1"/>
    <xf numFmtId="0" fontId="13" fillId="5" borderId="0" xfId="0" applyFont="1" applyFill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7" fillId="4" borderId="0" xfId="1" applyBorder="1"/>
    <xf numFmtId="0" fontId="7" fillId="4" borderId="0" xfId="1" applyBorder="1" applyAlignment="1"/>
    <xf numFmtId="0" fontId="13" fillId="5" borderId="0" xfId="0" applyFont="1" applyFill="1" applyAlignment="1">
      <alignment horizontal="center" vertical="center" wrapText="1"/>
    </xf>
    <xf numFmtId="0" fontId="0" fillId="0" borderId="45" xfId="0" applyBorder="1" applyAlignment="1">
      <alignment vertical="center"/>
    </xf>
    <xf numFmtId="0" fontId="3" fillId="11" borderId="0" xfId="0" applyFont="1" applyFill="1" applyAlignment="1">
      <alignment vertical="center" wrapText="1"/>
    </xf>
    <xf numFmtId="0" fontId="0" fillId="11" borderId="0" xfId="0" applyFill="1" applyAlignment="1">
      <alignment vertical="center" wrapText="1"/>
    </xf>
    <xf numFmtId="0" fontId="0" fillId="11" borderId="20" xfId="0" applyFill="1" applyBorder="1" applyAlignment="1">
      <alignment vertical="center" wrapText="1"/>
    </xf>
    <xf numFmtId="0" fontId="6" fillId="8" borderId="34" xfId="0" applyFont="1" applyFill="1" applyBorder="1" applyAlignment="1">
      <alignment horizontal="center" vertical="center"/>
    </xf>
    <xf numFmtId="0" fontId="6" fillId="3" borderId="42" xfId="3" applyFont="1" applyBorder="1" applyAlignment="1">
      <alignment horizontal="center" vertical="center"/>
    </xf>
    <xf numFmtId="0" fontId="6" fillId="3" borderId="41" xfId="3" applyFont="1" applyBorder="1" applyAlignment="1">
      <alignment horizontal="center" vertical="center"/>
    </xf>
    <xf numFmtId="49" fontId="6" fillId="3" borderId="41" xfId="3" applyNumberFormat="1" applyFont="1" applyBorder="1" applyAlignment="1">
      <alignment horizontal="center" vertical="center"/>
    </xf>
    <xf numFmtId="0" fontId="6" fillId="3" borderId="43" xfId="3" applyFont="1" applyBorder="1" applyAlignment="1">
      <alignment horizontal="center" vertical="center"/>
    </xf>
    <xf numFmtId="0" fontId="0" fillId="8" borderId="50" xfId="0" applyFill="1" applyBorder="1" applyAlignment="1">
      <alignment horizontal="center" vertical="center"/>
    </xf>
    <xf numFmtId="0" fontId="22" fillId="6" borderId="0" xfId="2" applyFont="1" applyBorder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22" fillId="6" borderId="17" xfId="2" applyFont="1" applyBorder="1" applyAlignment="1">
      <alignment horizontal="center" vertical="center"/>
    </xf>
    <xf numFmtId="0" fontId="22" fillId="6" borderId="31" xfId="2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7" borderId="0" xfId="4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2" fillId="6" borderId="0" xfId="2" quotePrefix="1" applyFont="1" applyBorder="1" applyAlignment="1">
      <alignment horizontal="center" vertical="center"/>
    </xf>
    <xf numFmtId="0" fontId="19" fillId="5" borderId="31" xfId="0" applyFont="1" applyFill="1" applyBorder="1" applyAlignment="1">
      <alignment horizontal="center" vertical="center" wrapText="1"/>
    </xf>
    <xf numFmtId="0" fontId="19" fillId="5" borderId="31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7" fillId="5" borderId="0" xfId="0" applyFont="1" applyFill="1" applyAlignment="1">
      <alignment horizontal="center"/>
    </xf>
    <xf numFmtId="0" fontId="6" fillId="5" borderId="0" xfId="0" applyFont="1" applyFill="1" applyAlignment="1">
      <alignment horizontal="left"/>
    </xf>
    <xf numFmtId="0" fontId="13" fillId="5" borderId="0" xfId="0" applyFont="1" applyFill="1" applyAlignment="1">
      <alignment horizontal="left"/>
    </xf>
    <xf numFmtId="0" fontId="17" fillId="5" borderId="7" xfId="0" applyFont="1" applyFill="1" applyBorder="1" applyAlignment="1">
      <alignment horizontal="center"/>
    </xf>
    <xf numFmtId="0" fontId="17" fillId="5" borderId="2" xfId="0" applyFont="1" applyFill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5" borderId="9" xfId="0" applyFont="1" applyFill="1" applyBorder="1" applyAlignment="1">
      <alignment horizontal="left"/>
    </xf>
    <xf numFmtId="0" fontId="13" fillId="5" borderId="9" xfId="0" applyFont="1" applyFill="1" applyBorder="1" applyAlignment="1">
      <alignment horizontal="left"/>
    </xf>
    <xf numFmtId="0" fontId="0" fillId="5" borderId="9" xfId="0" applyFill="1" applyBorder="1" applyAlignment="1">
      <alignment horizontal="center"/>
    </xf>
    <xf numFmtId="0" fontId="18" fillId="3" borderId="30" xfId="3" applyFont="1" applyBorder="1" applyAlignment="1">
      <alignment horizontal="center" vertical="center" textRotation="45"/>
    </xf>
    <xf numFmtId="0" fontId="18" fillId="3" borderId="31" xfId="3" applyFont="1" applyBorder="1" applyAlignment="1">
      <alignment horizontal="center" vertical="center" textRotation="45"/>
    </xf>
    <xf numFmtId="0" fontId="18" fillId="3" borderId="33" xfId="3" applyFont="1" applyBorder="1" applyAlignment="1">
      <alignment horizontal="center" vertical="center" textRotation="45"/>
    </xf>
    <xf numFmtId="0" fontId="18" fillId="3" borderId="0" xfId="3" applyFont="1" applyBorder="1" applyAlignment="1">
      <alignment horizontal="center" vertical="center" textRotation="45"/>
    </xf>
    <xf numFmtId="0" fontId="18" fillId="3" borderId="34" xfId="3" applyFont="1" applyBorder="1" applyAlignment="1">
      <alignment horizontal="center" vertical="center" textRotation="45"/>
    </xf>
    <xf numFmtId="0" fontId="18" fillId="3" borderId="17" xfId="3" applyFont="1" applyBorder="1" applyAlignment="1">
      <alignment horizontal="center" vertical="center" textRotation="45"/>
    </xf>
    <xf numFmtId="0" fontId="17" fillId="6" borderId="39" xfId="2" applyFont="1" applyBorder="1" applyAlignment="1">
      <alignment horizontal="center" vertical="center" textRotation="90"/>
    </xf>
    <xf numFmtId="0" fontId="17" fillId="6" borderId="40" xfId="2" applyFont="1" applyBorder="1" applyAlignment="1">
      <alignment horizontal="center" vertical="center" textRotation="90"/>
    </xf>
    <xf numFmtId="0" fontId="17" fillId="6" borderId="38" xfId="2" applyFont="1" applyBorder="1" applyAlignment="1">
      <alignment horizontal="center" vertical="center" textRotation="90"/>
    </xf>
    <xf numFmtId="0" fontId="13" fillId="5" borderId="31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5" borderId="17" xfId="0" applyFont="1" applyFill="1" applyBorder="1" applyAlignment="1">
      <alignment horizontal="center" vertical="center"/>
    </xf>
    <xf numFmtId="0" fontId="21" fillId="3" borderId="33" xfId="3" applyFont="1" applyBorder="1" applyAlignment="1">
      <alignment horizontal="center"/>
    </xf>
    <xf numFmtId="0" fontId="21" fillId="3" borderId="0" xfId="3" applyFont="1" applyBorder="1" applyAlignment="1">
      <alignment horizontal="center"/>
    </xf>
    <xf numFmtId="0" fontId="21" fillId="3" borderId="30" xfId="3" applyFont="1" applyBorder="1" applyAlignment="1">
      <alignment horizontal="center"/>
    </xf>
    <xf numFmtId="0" fontId="21" fillId="3" borderId="31" xfId="3" applyFont="1" applyBorder="1" applyAlignment="1">
      <alignment horizontal="center"/>
    </xf>
    <xf numFmtId="0" fontId="7" fillId="4" borderId="33" xfId="1" applyBorder="1" applyAlignment="1">
      <alignment horizontal="center"/>
    </xf>
    <xf numFmtId="0" fontId="7" fillId="4" borderId="0" xfId="1" applyBorder="1" applyAlignment="1">
      <alignment horizontal="center"/>
    </xf>
    <xf numFmtId="0" fontId="9" fillId="7" borderId="0" xfId="4" applyFont="1" applyBorder="1" applyAlignment="1">
      <alignment horizontal="center" vertical="center"/>
    </xf>
    <xf numFmtId="0" fontId="9" fillId="7" borderId="16" xfId="4" applyFont="1" applyBorder="1" applyAlignment="1">
      <alignment horizontal="center" vertic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22" fillId="6" borderId="0" xfId="2" applyFont="1" applyBorder="1" applyAlignment="1">
      <alignment horizontal="center" vertical="center"/>
    </xf>
    <xf numFmtId="0" fontId="22" fillId="6" borderId="16" xfId="2" applyFont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4" fillId="10" borderId="0" xfId="0" applyFont="1" applyFill="1" applyAlignment="1">
      <alignment horizontal="center"/>
    </xf>
    <xf numFmtId="0" fontId="24" fillId="0" borderId="18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4" fillId="5" borderId="26" xfId="0" applyFont="1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26" fillId="5" borderId="9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18" fillId="6" borderId="30" xfId="2" applyFont="1" applyBorder="1" applyAlignment="1">
      <alignment horizontal="center" vertical="center" textRotation="45"/>
    </xf>
    <xf numFmtId="0" fontId="18" fillId="6" borderId="31" xfId="2" applyFont="1" applyBorder="1" applyAlignment="1">
      <alignment horizontal="center" vertical="center" textRotation="45"/>
    </xf>
    <xf numFmtId="0" fontId="18" fillId="6" borderId="35" xfId="2" applyFont="1" applyBorder="1" applyAlignment="1">
      <alignment horizontal="center" vertical="center" textRotation="45"/>
    </xf>
    <xf numFmtId="0" fontId="18" fillId="6" borderId="33" xfId="2" applyFont="1" applyBorder="1" applyAlignment="1">
      <alignment horizontal="center" vertical="center" textRotation="45"/>
    </xf>
    <xf numFmtId="0" fontId="18" fillId="6" borderId="0" xfId="2" applyFont="1" applyBorder="1" applyAlignment="1">
      <alignment horizontal="center" vertical="center" textRotation="45"/>
    </xf>
    <xf numFmtId="0" fontId="18" fillId="6" borderId="36" xfId="2" applyFont="1" applyBorder="1" applyAlignment="1">
      <alignment horizontal="center" vertical="center" textRotation="45"/>
    </xf>
    <xf numFmtId="0" fontId="18" fillId="6" borderId="34" xfId="2" applyFont="1" applyBorder="1" applyAlignment="1">
      <alignment horizontal="center" vertical="center" textRotation="45"/>
    </xf>
    <xf numFmtId="0" fontId="18" fillId="6" borderId="17" xfId="2" applyFont="1" applyBorder="1" applyAlignment="1">
      <alignment horizontal="center" vertical="center" textRotation="45"/>
    </xf>
    <xf numFmtId="0" fontId="18" fillId="6" borderId="37" xfId="2" applyFont="1" applyBorder="1" applyAlignment="1">
      <alignment horizontal="center" vertical="center" textRotation="45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2" fillId="6" borderId="17" xfId="2" applyFont="1" applyBorder="1" applyAlignment="1">
      <alignment horizontal="center" vertical="center"/>
    </xf>
    <xf numFmtId="0" fontId="22" fillId="6" borderId="37" xfId="2" applyFont="1" applyBorder="1" applyAlignment="1">
      <alignment horizontal="center" vertical="center"/>
    </xf>
    <xf numFmtId="0" fontId="21" fillId="3" borderId="34" xfId="3" applyFont="1" applyBorder="1" applyAlignment="1">
      <alignment horizontal="center"/>
    </xf>
    <xf numFmtId="0" fontId="21" fillId="3" borderId="17" xfId="3" applyFont="1" applyBorder="1" applyAlignment="1">
      <alignment horizontal="center"/>
    </xf>
    <xf numFmtId="0" fontId="7" fillId="4" borderId="33" xfId="1" applyBorder="1" applyAlignment="1">
      <alignment horizontal="center" wrapText="1"/>
    </xf>
    <xf numFmtId="0" fontId="7" fillId="4" borderId="0" xfId="1" applyBorder="1" applyAlignment="1">
      <alignment horizontal="center" wrapText="1"/>
    </xf>
    <xf numFmtId="0" fontId="10" fillId="0" borderId="5" xfId="0" applyFont="1" applyBorder="1" applyAlignment="1">
      <alignment horizontal="center"/>
    </xf>
    <xf numFmtId="0" fontId="22" fillId="6" borderId="31" xfId="2" applyFont="1" applyBorder="1" applyAlignment="1">
      <alignment horizontal="center" vertical="center"/>
    </xf>
    <xf numFmtId="0" fontId="22" fillId="6" borderId="32" xfId="2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9" fillId="11" borderId="31" xfId="5" applyFont="1" applyFill="1" applyBorder="1" applyAlignment="1">
      <alignment horizontal="center" vertical="center" wrapText="1"/>
    </xf>
    <xf numFmtId="0" fontId="19" fillId="11" borderId="0" xfId="5" applyFont="1" applyFill="1" applyBorder="1" applyAlignment="1">
      <alignment horizontal="center" vertical="center" wrapText="1"/>
    </xf>
    <xf numFmtId="0" fontId="19" fillId="11" borderId="17" xfId="5" applyFont="1" applyFill="1" applyBorder="1" applyAlignment="1">
      <alignment horizontal="center" vertical="center" wrapText="1"/>
    </xf>
    <xf numFmtId="0" fontId="6" fillId="0" borderId="24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24" fillId="0" borderId="6" xfId="0" applyFont="1" applyBorder="1" applyAlignment="1">
      <alignment horizontal="center"/>
    </xf>
    <xf numFmtId="0" fontId="24" fillId="0" borderId="7" xfId="0" applyFont="1" applyBorder="1" applyAlignment="1">
      <alignment horizontal="center"/>
    </xf>
    <xf numFmtId="0" fontId="24" fillId="0" borderId="8" xfId="0" applyFon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21" fillId="3" borderId="36" xfId="3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24" xfId="0" applyFont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6" fillId="0" borderId="8" xfId="0" applyFont="1" applyBorder="1" applyAlignment="1">
      <alignment horizontal="center" wrapText="1"/>
    </xf>
    <xf numFmtId="0" fontId="22" fillId="6" borderId="0" xfId="0" applyFont="1" applyFill="1" applyAlignment="1">
      <alignment horizontal="center" vertical="center"/>
    </xf>
    <xf numFmtId="0" fontId="22" fillId="6" borderId="16" xfId="0" applyFont="1" applyFill="1" applyBorder="1" applyAlignment="1">
      <alignment horizontal="center" vertical="center"/>
    </xf>
    <xf numFmtId="0" fontId="21" fillId="5" borderId="33" xfId="0" applyFont="1" applyFill="1" applyBorder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21" fillId="5" borderId="36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37" xfId="0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6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6" fillId="5" borderId="0" xfId="0" applyFont="1" applyFill="1" applyAlignment="1">
      <alignment horizontal="center"/>
    </xf>
    <xf numFmtId="0" fontId="6" fillId="9" borderId="6" xfId="0" applyFont="1" applyFill="1" applyBorder="1" applyAlignment="1">
      <alignment horizontal="center"/>
    </xf>
    <xf numFmtId="0" fontId="6" fillId="9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13" fillId="5" borderId="9" xfId="0" applyFont="1" applyFill="1" applyBorder="1" applyAlignment="1">
      <alignment horizontal="center" vertical="center"/>
    </xf>
    <xf numFmtId="0" fontId="13" fillId="5" borderId="13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center" vertical="center"/>
    </xf>
    <xf numFmtId="0" fontId="13" fillId="5" borderId="10" xfId="0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/>
    </xf>
    <xf numFmtId="14" fontId="17" fillId="5" borderId="7" xfId="0" applyNumberFormat="1" applyFont="1" applyFill="1" applyBorder="1" applyAlignment="1">
      <alignment horizontal="center"/>
    </xf>
    <xf numFmtId="14" fontId="24" fillId="0" borderId="3" xfId="0" applyNumberFormat="1" applyFont="1" applyBorder="1" applyAlignment="1">
      <alignment horizontal="center"/>
    </xf>
    <xf numFmtId="14" fontId="24" fillId="0" borderId="0" xfId="0" applyNumberFormat="1" applyFont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6" fillId="11" borderId="0" xfId="0" applyFont="1" applyFill="1" applyAlignment="1">
      <alignment horizontal="left"/>
    </xf>
    <xf numFmtId="0" fontId="13" fillId="11" borderId="0" xfId="0" applyFont="1" applyFill="1" applyAlignment="1">
      <alignment horizontal="left"/>
    </xf>
    <xf numFmtId="0" fontId="4" fillId="9" borderId="0" xfId="0" applyFont="1" applyFill="1" applyAlignment="1">
      <alignment horizontal="center" vertical="center" textRotation="255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10" fillId="0" borderId="14" xfId="0" applyFont="1" applyBorder="1" applyAlignment="1">
      <alignment horizontal="center" vertical="center" wrapText="1"/>
    </xf>
    <xf numFmtId="0" fontId="21" fillId="3" borderId="35" xfId="3" applyFont="1" applyBorder="1" applyAlignment="1">
      <alignment horizontal="center"/>
    </xf>
  </cellXfs>
  <cellStyles count="6">
    <cellStyle name="20% - Accent2" xfId="2" builtinId="34"/>
    <cellStyle name="20% - Accent3" xfId="3" builtinId="38"/>
    <cellStyle name="40% - Accent2" xfId="5" builtinId="35"/>
    <cellStyle name="40% - Accent5" xfId="4" builtinId="47"/>
    <cellStyle name="60% - Accent1" xfId="1" builtinId="32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microsoft.com/office/2006/relationships/vbaProject" Target="vbaProject.bin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4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60370</xdr:colOff>
      <xdr:row>66</xdr:row>
      <xdr:rowOff>61943</xdr:rowOff>
    </xdr:from>
    <xdr:to>
      <xdr:col>36</xdr:col>
      <xdr:colOff>173959</xdr:colOff>
      <xdr:row>70</xdr:row>
      <xdr:rowOff>193306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9349" y="13765869"/>
          <a:ext cx="1622831" cy="910680"/>
        </a:xfrm>
        <a:prstGeom prst="rect">
          <a:avLst/>
        </a:prstGeom>
      </xdr:spPr>
    </xdr:pic>
    <xdr:clientData/>
  </xdr:twoCellAnchor>
  <xdr:twoCellAnchor editAs="oneCell">
    <xdr:from>
      <xdr:col>38</xdr:col>
      <xdr:colOff>31421</xdr:colOff>
      <xdr:row>30</xdr:row>
      <xdr:rowOff>40264</xdr:rowOff>
    </xdr:from>
    <xdr:to>
      <xdr:col>41</xdr:col>
      <xdr:colOff>151190</xdr:colOff>
      <xdr:row>53</xdr:row>
      <xdr:rowOff>10984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6820611" y="8241043"/>
          <a:ext cx="4650795" cy="655550"/>
        </a:xfrm>
        <a:prstGeom prst="rect">
          <a:avLst/>
        </a:prstGeom>
      </xdr:spPr>
    </xdr:pic>
    <xdr:clientData/>
  </xdr:twoCellAnchor>
  <xdr:twoCellAnchor>
    <xdr:from>
      <xdr:col>1</xdr:col>
      <xdr:colOff>103585</xdr:colOff>
      <xdr:row>0</xdr:row>
      <xdr:rowOff>0</xdr:rowOff>
    </xdr:from>
    <xdr:to>
      <xdr:col>42</xdr:col>
      <xdr:colOff>59533</xdr:colOff>
      <xdr:row>5</xdr:row>
      <xdr:rowOff>47625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71476" y="0"/>
          <a:ext cx="9135666" cy="1000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BONUS DOMINUS NURSERY,</a:t>
          </a:r>
          <a:r>
            <a:rPr lang="en-US" sz="1600" b="1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PRIMARY </a:t>
          </a:r>
          <a:endParaRPr lang="en-US" sz="1600">
            <a:effectLst/>
          </a:endParaRPr>
        </a:p>
        <a:p>
          <a:pPr algn="ctr"/>
          <a:r>
            <a:rPr lang="en-US" sz="1600" b="1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&amp; SECONDARY SCHOOL</a:t>
          </a:r>
          <a:endParaRPr lang="en-US" sz="1600">
            <a:effectLst/>
          </a:endParaRPr>
        </a:p>
        <a:p>
          <a:pPr algn="ctr"/>
          <a:r>
            <a:rPr lang="en-US" sz="1100" b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okman Old Style" panose="02050604050505020204" pitchFamily="18" charset="0"/>
              <a:ea typeface="+mn-ea"/>
              <a:cs typeface="+mn-cs"/>
            </a:rPr>
            <a:t>5A - 5C UZOANYA CRESCENT, AMUZUKWU, UMUAHIA,</a:t>
          </a:r>
        </a:p>
        <a:p>
          <a:pPr algn="ctr"/>
          <a:r>
            <a:rPr lang="en-US" sz="1100" b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okman Old Style" panose="02050604050505020204" pitchFamily="18" charset="0"/>
              <a:ea typeface="+mn-ea"/>
              <a:cs typeface="+mn-cs"/>
            </a:rPr>
            <a:t> ABIA STATE </a:t>
          </a:r>
          <a:endParaRPr lang="en-US" sz="1100" b="0">
            <a:effectLst/>
            <a:latin typeface="Bookman Old Style" panose="02050604050505020204" pitchFamily="18" charset="0"/>
          </a:endParaRPr>
        </a:p>
        <a:p>
          <a:pPr algn="ctr"/>
          <a:endParaRPr lang="en-US" sz="1100" b="0">
            <a:latin typeface="Bookman Old Style" panose="02050604050505020204" pitchFamily="18" charset="0"/>
          </a:endParaRPr>
        </a:p>
      </xdr:txBody>
    </xdr:sp>
    <xdr:clientData/>
  </xdr:twoCellAnchor>
  <xdr:twoCellAnchor editAs="oneCell">
    <xdr:from>
      <xdr:col>35</xdr:col>
      <xdr:colOff>189203</xdr:colOff>
      <xdr:row>0</xdr:row>
      <xdr:rowOff>42393</xdr:rowOff>
    </xdr:from>
    <xdr:to>
      <xdr:col>40</xdr:col>
      <xdr:colOff>175790</xdr:colOff>
      <xdr:row>4</xdr:row>
      <xdr:rowOff>120102</xdr:rowOff>
    </xdr:to>
    <xdr:pic>
      <xdr:nvPicPr>
        <xdr:cNvPr id="13" name="Picture 12" descr="Cabeça O Boneco &lt;strong&gt;Avatar&lt;/strong&gt; · Imagens grátis no Pixabay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2844" y="42393"/>
          <a:ext cx="903368" cy="839709"/>
        </a:xfrm>
        <a:prstGeom prst="rect">
          <a:avLst/>
        </a:prstGeom>
      </xdr:spPr>
    </xdr:pic>
    <xdr:clientData/>
  </xdr:twoCellAnchor>
  <xdr:twoCellAnchor editAs="oneCell">
    <xdr:from>
      <xdr:col>0</xdr:col>
      <xdr:colOff>92000</xdr:colOff>
      <xdr:row>0</xdr:row>
      <xdr:rowOff>83344</xdr:rowOff>
    </xdr:from>
    <xdr:to>
      <xdr:col>5</xdr:col>
      <xdr:colOff>144136</xdr:colOff>
      <xdr:row>5</xdr:row>
      <xdr:rowOff>162415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00" y="83344"/>
          <a:ext cx="1052622" cy="1017139"/>
        </a:xfrm>
        <a:prstGeom prst="rect">
          <a:avLst/>
        </a:prstGeom>
      </xdr:spPr>
    </xdr:pic>
    <xdr:clientData/>
  </xdr:twoCellAnchor>
  <xdr:twoCellAnchor>
    <xdr:from>
      <xdr:col>1</xdr:col>
      <xdr:colOff>134260</xdr:colOff>
      <xdr:row>56</xdr:row>
      <xdr:rowOff>97520</xdr:rowOff>
    </xdr:from>
    <xdr:to>
      <xdr:col>27</xdr:col>
      <xdr:colOff>183174</xdr:colOff>
      <xdr:row>58</xdr:row>
      <xdr:rowOff>721340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98029" y="11337020"/>
          <a:ext cx="6511260" cy="10048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C.A 1 is continous assessment of 20marks.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C.A 2 is continous assessment of 20marks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Examinations of 60marks total score .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 of 100marks is the sum of C.A 1, C.A 2 and Exams.                                </a:t>
          </a:r>
          <a:endParaRPr lang="en-US">
            <a:effectLst/>
          </a:endParaRPr>
        </a:p>
        <a:p>
          <a:pPr algn="ctr"/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Min. stands for lowest class mark per subject, Max. stands for highest class mark per subject and Postion is the grade performance compared to the whole class. A photocopy of this result is to be submitted to your form teacher for school database and verification.                                </a:t>
          </a:r>
          <a:endParaRPr lang="en-US">
            <a:effectLst/>
          </a:endParaRPr>
        </a:p>
        <a:p>
          <a:pPr algn="ctr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171450</xdr:colOff>
          <xdr:row>12</xdr:row>
          <xdr:rowOff>95250</xdr:rowOff>
        </xdr:from>
        <xdr:to>
          <xdr:col>34</xdr:col>
          <xdr:colOff>57150</xdr:colOff>
          <xdr:row>13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Other%20computers\My%20Computer\OneDrive\Documents\20252026\SS%202%20MAIN%20RESULT\SS%202SCIENCE.xlsx" TargetMode="External"/><Relationship Id="rId1" Type="http://schemas.openxmlformats.org/officeDocument/2006/relationships/externalLinkPath" Target="file:///E:\20252026\SS%202%20MAIN%20RESULT\SS%202SCIEN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Other%20computers\My%20Computer\OneDrive\Documents\20222023\SS%203%20MAIN%20RESULT%20second%20term%20-%20Copy\SS%202%20correct%20RESULT%20SCIENC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6d351308026f82b9/Documents/Second%20term%202021/SS%201%20MAIN%20RESULT%20second%20term/SS%20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Other%20computers\My%20Computer\OneDrive\Documents\20222023\SS%202%20MAIN%20RESULT%20second%20term\SS%202%20correct%20RESULT%20ART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Other%20computers\My%20Computer\OneDrive\Documents\20222023\SECOND%20TERM\SS%202%20MAIN%20RESULT%20second%20term\SS2%20S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ic Data Entry Sheet"/>
      <sheetName val="Marksheet"/>
      <sheetName val="student sheet"/>
      <sheetName val="student sheet T1"/>
      <sheetName val="Basic Data Entry Sheet T1"/>
      <sheetName val="Marksheet T1"/>
      <sheetName val="Basic Data Entry Sheet T2."/>
      <sheetName val="Marksheet T2"/>
      <sheetName val="POSITION"/>
      <sheetName val="student sheet T2"/>
      <sheetName val="student details"/>
      <sheetName val="Sheet1"/>
    </sheetNames>
    <sheetDataSet>
      <sheetData sheetId="0"/>
      <sheetData sheetId="1"/>
      <sheetData sheetId="2"/>
      <sheetData sheetId="3"/>
      <sheetData sheetId="4"/>
      <sheetData sheetId="5">
        <row r="9">
          <cell r="A9" t="str">
            <v>Column1</v>
          </cell>
          <cell r="B9" t="str">
            <v>Column2</v>
          </cell>
          <cell r="C9" t="str">
            <v>SEX</v>
          </cell>
          <cell r="D9" t="str">
            <v>D.O.B</v>
          </cell>
          <cell r="E9" t="str">
            <v>CLUB</v>
          </cell>
          <cell r="F9" t="str">
            <v>CAT</v>
          </cell>
          <cell r="G9" t="str">
            <v>CAT2</v>
          </cell>
          <cell r="H9" t="str">
            <v>EXAM</v>
          </cell>
          <cell r="I9" t="str">
            <v>Marks</v>
          </cell>
          <cell r="J9" t="str">
            <v>%</v>
          </cell>
          <cell r="K9" t="str">
            <v>Grade</v>
          </cell>
          <cell r="L9" t="str">
            <v>CAT3</v>
          </cell>
          <cell r="M9" t="str">
            <v>CAT24</v>
          </cell>
          <cell r="N9" t="str">
            <v>EXAM5</v>
          </cell>
          <cell r="O9" t="str">
            <v>Marks6</v>
          </cell>
          <cell r="P9" t="str">
            <v>%7</v>
          </cell>
          <cell r="Q9" t="str">
            <v>Grade8</v>
          </cell>
          <cell r="R9" t="str">
            <v>CAT9</v>
          </cell>
          <cell r="S9" t="str">
            <v>CAT210</v>
          </cell>
          <cell r="T9" t="str">
            <v>EXAM11</v>
          </cell>
          <cell r="U9" t="str">
            <v>Marks12</v>
          </cell>
          <cell r="V9" t="str">
            <v>%13</v>
          </cell>
          <cell r="W9" t="str">
            <v>Grade14</v>
          </cell>
          <cell r="X9" t="str">
            <v>CAT15</v>
          </cell>
          <cell r="Y9" t="str">
            <v>CAT216</v>
          </cell>
          <cell r="Z9" t="str">
            <v>EXAM17</v>
          </cell>
          <cell r="AA9" t="str">
            <v>Marks18</v>
          </cell>
          <cell r="AB9" t="str">
            <v>%19</v>
          </cell>
          <cell r="AC9" t="str">
            <v>Grade20</v>
          </cell>
          <cell r="AD9" t="str">
            <v>CAT21</v>
          </cell>
          <cell r="AE9" t="str">
            <v>CAT222</v>
          </cell>
          <cell r="AF9" t="str">
            <v>EXAM23</v>
          </cell>
          <cell r="AG9" t="str">
            <v>Marks24</v>
          </cell>
          <cell r="AH9" t="str">
            <v>%25</v>
          </cell>
          <cell r="AI9" t="str">
            <v>Grade26</v>
          </cell>
          <cell r="AJ9" t="str">
            <v>CAT27</v>
          </cell>
          <cell r="AK9" t="str">
            <v>CAT228</v>
          </cell>
          <cell r="AL9" t="str">
            <v>EXAM29</v>
          </cell>
          <cell r="AM9" t="str">
            <v>Marks30</v>
          </cell>
          <cell r="AN9" t="str">
            <v>%31</v>
          </cell>
          <cell r="AO9" t="str">
            <v>Grade32</v>
          </cell>
          <cell r="AP9" t="str">
            <v>CAT33</v>
          </cell>
          <cell r="AQ9" t="str">
            <v>CAT234</v>
          </cell>
          <cell r="AR9" t="str">
            <v>EXAM35</v>
          </cell>
          <cell r="AS9" t="str">
            <v>Marks36</v>
          </cell>
          <cell r="AT9" t="str">
            <v>%37</v>
          </cell>
          <cell r="AU9" t="str">
            <v>Grade38</v>
          </cell>
          <cell r="AV9" t="str">
            <v>CAT39</v>
          </cell>
          <cell r="AW9" t="str">
            <v>CAT240</v>
          </cell>
          <cell r="AX9" t="str">
            <v>EXAM41</v>
          </cell>
          <cell r="AY9" t="str">
            <v>Marks42</v>
          </cell>
          <cell r="AZ9" t="str">
            <v>%43</v>
          </cell>
          <cell r="BA9" t="str">
            <v>Grade44</v>
          </cell>
          <cell r="BB9" t="str">
            <v>CAT45</v>
          </cell>
          <cell r="BC9" t="str">
            <v>CAT246</v>
          </cell>
          <cell r="BD9" t="str">
            <v>EXAM47</v>
          </cell>
          <cell r="BE9" t="str">
            <v>Marks48</v>
          </cell>
          <cell r="BF9" t="str">
            <v>%49</v>
          </cell>
          <cell r="BG9" t="str">
            <v>Grade50</v>
          </cell>
          <cell r="BH9" t="str">
            <v>CAT51</v>
          </cell>
          <cell r="BI9" t="str">
            <v>CAT252</v>
          </cell>
          <cell r="BJ9" t="str">
            <v>EXAM53</v>
          </cell>
          <cell r="BK9" t="str">
            <v>Marks54</v>
          </cell>
          <cell r="BL9" t="str">
            <v>%55</v>
          </cell>
          <cell r="BM9" t="str">
            <v>Grade56</v>
          </cell>
          <cell r="BN9" t="str">
            <v>CAT57</v>
          </cell>
          <cell r="BO9" t="str">
            <v>CAT258</v>
          </cell>
          <cell r="BP9" t="str">
            <v>EXAM59</v>
          </cell>
          <cell r="BQ9" t="str">
            <v>Marks60</v>
          </cell>
          <cell r="BR9" t="str">
            <v>%61</v>
          </cell>
          <cell r="BS9" t="str">
            <v>Grade62</v>
          </cell>
          <cell r="BT9" t="str">
            <v>CAT63</v>
          </cell>
          <cell r="BU9" t="str">
            <v>CAT264</v>
          </cell>
          <cell r="BV9" t="str">
            <v>EXAM65</v>
          </cell>
          <cell r="BW9" t="str">
            <v>Marks66</v>
          </cell>
          <cell r="BX9" t="str">
            <v>%67</v>
          </cell>
          <cell r="BY9" t="str">
            <v>Grade68</v>
          </cell>
          <cell r="BZ9" t="str">
            <v>CAT69</v>
          </cell>
          <cell r="CA9" t="str">
            <v>CAT270</v>
          </cell>
          <cell r="CB9" t="str">
            <v>EXAM71</v>
          </cell>
          <cell r="CC9" t="str">
            <v>Marks72</v>
          </cell>
          <cell r="CD9" t="str">
            <v>%73</v>
          </cell>
          <cell r="CE9" t="str">
            <v>Grade74</v>
          </cell>
          <cell r="CF9" t="str">
            <v>CAT75</v>
          </cell>
          <cell r="CG9" t="str">
            <v>CAT276</v>
          </cell>
          <cell r="CH9" t="str">
            <v>EXAM77</v>
          </cell>
          <cell r="CI9" t="str">
            <v>Marks78</v>
          </cell>
          <cell r="CJ9" t="str">
            <v>%79</v>
          </cell>
          <cell r="CK9" t="str">
            <v>Grade80</v>
          </cell>
          <cell r="CL9" t="str">
            <v>Marks81</v>
          </cell>
          <cell r="CM9" t="str">
            <v>%82</v>
          </cell>
          <cell r="CN9" t="str">
            <v>Grade83</v>
          </cell>
          <cell r="CO9" t="str">
            <v>RANK</v>
          </cell>
          <cell r="CP9" t="str">
            <v>TOTAL</v>
          </cell>
          <cell r="CQ9" t="str">
            <v>MIN</v>
          </cell>
          <cell r="CR9" t="str">
            <v>MAX</v>
          </cell>
          <cell r="CS9" t="str">
            <v>RANK84</v>
          </cell>
          <cell r="CT9" t="str">
            <v>TOTAL85</v>
          </cell>
          <cell r="CU9" t="str">
            <v>MIN86</v>
          </cell>
          <cell r="CV9" t="str">
            <v>MAX87</v>
          </cell>
          <cell r="CW9" t="str">
            <v>RANK88</v>
          </cell>
          <cell r="CX9" t="str">
            <v>TOTAL89</v>
          </cell>
          <cell r="CY9" t="str">
            <v>MIN90</v>
          </cell>
          <cell r="CZ9" t="str">
            <v>MAX91</v>
          </cell>
          <cell r="DA9" t="str">
            <v>RANK92</v>
          </cell>
          <cell r="DB9" t="str">
            <v>TOTAL93</v>
          </cell>
          <cell r="DC9" t="str">
            <v>MIN94</v>
          </cell>
          <cell r="DD9" t="str">
            <v>MAX95</v>
          </cell>
          <cell r="DE9" t="str">
            <v>RANK96</v>
          </cell>
          <cell r="DF9" t="str">
            <v>TOTAL97</v>
          </cell>
          <cell r="DG9" t="str">
            <v>MIN98</v>
          </cell>
          <cell r="DH9" t="str">
            <v>MAX99</v>
          </cell>
          <cell r="DI9" t="str">
            <v>RANK100</v>
          </cell>
          <cell r="DJ9" t="str">
            <v>TOTAL101</v>
          </cell>
          <cell r="DK9" t="str">
            <v>MIN102</v>
          </cell>
          <cell r="DL9" t="str">
            <v>MAX103</v>
          </cell>
          <cell r="DM9" t="str">
            <v>RANK104</v>
          </cell>
          <cell r="DN9" t="str">
            <v>TOTAL105</v>
          </cell>
          <cell r="DO9" t="str">
            <v>MIN106</v>
          </cell>
          <cell r="DP9" t="str">
            <v>MAX107</v>
          </cell>
          <cell r="DQ9" t="str">
            <v>RANK108</v>
          </cell>
          <cell r="DR9" t="str">
            <v>TOTAL109</v>
          </cell>
          <cell r="DS9" t="str">
            <v>MIN110</v>
          </cell>
          <cell r="DT9" t="str">
            <v>MAX111</v>
          </cell>
          <cell r="DU9" t="str">
            <v>RANK112</v>
          </cell>
          <cell r="DV9" t="str">
            <v>TOTAL113</v>
          </cell>
          <cell r="DW9" t="str">
            <v>MIN114</v>
          </cell>
          <cell r="DX9" t="str">
            <v>MAX115</v>
          </cell>
          <cell r="DY9" t="str">
            <v>RANK116</v>
          </cell>
          <cell r="DZ9" t="str">
            <v>TOTAL117</v>
          </cell>
          <cell r="EA9" t="str">
            <v>MIN118</v>
          </cell>
          <cell r="EB9" t="str">
            <v>MAX119</v>
          </cell>
          <cell r="EC9" t="str">
            <v>RANK120</v>
          </cell>
          <cell r="ED9" t="str">
            <v>TOTAL121</v>
          </cell>
          <cell r="EE9" t="str">
            <v>MIN122</v>
          </cell>
          <cell r="EF9" t="str">
            <v>MAX123</v>
          </cell>
          <cell r="EG9" t="str">
            <v>RANK124</v>
          </cell>
          <cell r="EH9" t="str">
            <v>TOTAL125</v>
          </cell>
          <cell r="EI9" t="str">
            <v>MIN126</v>
          </cell>
          <cell r="EJ9" t="str">
            <v>MAX127</v>
          </cell>
          <cell r="EK9" t="str">
            <v>RANK128</v>
          </cell>
          <cell r="EL9" t="str">
            <v>TOTAL129</v>
          </cell>
          <cell r="EM9" t="str">
            <v>MIN130</v>
          </cell>
          <cell r="EN9" t="str">
            <v>MAX131</v>
          </cell>
          <cell r="EO9" t="str">
            <v>RANK132</v>
          </cell>
          <cell r="EP9" t="str">
            <v>TOTAL133</v>
          </cell>
          <cell r="EQ9" t="str">
            <v>MIN134</v>
          </cell>
          <cell r="ER9" t="str">
            <v>MAX135</v>
          </cell>
          <cell r="ES9" t="str">
            <v>RANK136</v>
          </cell>
        </row>
        <row r="10">
          <cell r="A10" t="str">
            <v>BDS/21/001</v>
          </cell>
          <cell r="B10" t="str">
            <v>ANAELE NKEIRU TESTIMONY</v>
          </cell>
          <cell r="C10" t="str">
            <v>FEMALE</v>
          </cell>
          <cell r="D10" t="str">
            <v>21/06/2011</v>
          </cell>
          <cell r="E10" t="str">
            <v xml:space="preserve">SINGING AND DANCING </v>
          </cell>
          <cell r="F10">
            <v>15</v>
          </cell>
          <cell r="G10">
            <v>15</v>
          </cell>
          <cell r="H10">
            <v>57</v>
          </cell>
          <cell r="I10">
            <v>87</v>
          </cell>
          <cell r="J10">
            <v>87</v>
          </cell>
          <cell r="K10" t="str">
            <v>A</v>
          </cell>
          <cell r="L10">
            <v>0</v>
          </cell>
          <cell r="M10">
            <v>20</v>
          </cell>
          <cell r="N10">
            <v>31</v>
          </cell>
          <cell r="O10">
            <v>51</v>
          </cell>
          <cell r="P10">
            <v>51</v>
          </cell>
          <cell r="Q10" t="str">
            <v>C4</v>
          </cell>
          <cell r="R10">
            <v>18</v>
          </cell>
          <cell r="S10">
            <v>18</v>
          </cell>
          <cell r="T10">
            <v>48</v>
          </cell>
          <cell r="U10">
            <v>84</v>
          </cell>
          <cell r="V10">
            <v>84</v>
          </cell>
          <cell r="W10" t="str">
            <v>A</v>
          </cell>
          <cell r="X10" t="str">
            <v/>
          </cell>
          <cell r="Y10" t="str">
            <v/>
          </cell>
          <cell r="Z10" t="str">
            <v/>
          </cell>
          <cell r="AA10">
            <v>0</v>
          </cell>
          <cell r="AB10">
            <v>0</v>
          </cell>
          <cell r="AC10" t="str">
            <v>-</v>
          </cell>
          <cell r="AD10">
            <v>20</v>
          </cell>
          <cell r="AE10">
            <v>20</v>
          </cell>
          <cell r="AF10">
            <v>47</v>
          </cell>
          <cell r="AG10">
            <v>87</v>
          </cell>
          <cell r="AH10">
            <v>87</v>
          </cell>
          <cell r="AI10" t="str">
            <v>A</v>
          </cell>
          <cell r="AJ10">
            <v>20</v>
          </cell>
          <cell r="AK10">
            <v>20</v>
          </cell>
          <cell r="AL10">
            <v>48</v>
          </cell>
          <cell r="AM10">
            <v>88</v>
          </cell>
          <cell r="AN10">
            <v>88</v>
          </cell>
          <cell r="AO10" t="str">
            <v>A</v>
          </cell>
          <cell r="AP10">
            <v>10</v>
          </cell>
          <cell r="AQ10">
            <v>15</v>
          </cell>
          <cell r="AR10">
            <v>36</v>
          </cell>
          <cell r="AS10">
            <v>61</v>
          </cell>
          <cell r="AT10">
            <v>61</v>
          </cell>
          <cell r="AU10" t="str">
            <v>B2</v>
          </cell>
          <cell r="AV10">
            <v>20</v>
          </cell>
          <cell r="AW10">
            <v>17</v>
          </cell>
          <cell r="AX10">
            <v>44</v>
          </cell>
          <cell r="AY10">
            <v>81</v>
          </cell>
          <cell r="AZ10">
            <v>81</v>
          </cell>
          <cell r="BA10" t="str">
            <v>A</v>
          </cell>
          <cell r="BB10" t="str">
            <v/>
          </cell>
          <cell r="BC10" t="str">
            <v/>
          </cell>
          <cell r="BD10" t="str">
            <v/>
          </cell>
          <cell r="BE10">
            <v>0</v>
          </cell>
          <cell r="BF10">
            <v>0</v>
          </cell>
          <cell r="BG10" t="str">
            <v>-</v>
          </cell>
          <cell r="BH10" t="str">
            <v/>
          </cell>
          <cell r="BI10" t="str">
            <v/>
          </cell>
          <cell r="BJ10" t="str">
            <v/>
          </cell>
          <cell r="BK10">
            <v>0</v>
          </cell>
          <cell r="BL10">
            <v>0</v>
          </cell>
          <cell r="BM10" t="str">
            <v>-</v>
          </cell>
          <cell r="BN10">
            <v>19</v>
          </cell>
          <cell r="BO10">
            <v>19</v>
          </cell>
          <cell r="BP10">
            <v>45</v>
          </cell>
          <cell r="BQ10">
            <v>83</v>
          </cell>
          <cell r="BR10">
            <v>83</v>
          </cell>
          <cell r="BS10" t="str">
            <v>A</v>
          </cell>
          <cell r="BT10">
            <v>20</v>
          </cell>
          <cell r="BU10">
            <v>20</v>
          </cell>
          <cell r="BV10">
            <v>48</v>
          </cell>
          <cell r="BW10">
            <v>88</v>
          </cell>
          <cell r="BX10">
            <v>88</v>
          </cell>
          <cell r="BY10" t="str">
            <v>A</v>
          </cell>
          <cell r="BZ10" t="str">
            <v/>
          </cell>
          <cell r="CA10" t="str">
            <v/>
          </cell>
          <cell r="CB10" t="str">
            <v/>
          </cell>
          <cell r="CC10">
            <v>0</v>
          </cell>
          <cell r="CD10">
            <v>0</v>
          </cell>
          <cell r="CE10" t="str">
            <v>-</v>
          </cell>
          <cell r="CF10" t="str">
            <v/>
          </cell>
          <cell r="CG10" t="str">
            <v/>
          </cell>
          <cell r="CH10" t="str">
            <v/>
          </cell>
          <cell r="CI10" t="str">
            <v/>
          </cell>
          <cell r="CJ10" t="str">
            <v/>
          </cell>
          <cell r="CK10" t="str">
            <v/>
          </cell>
          <cell r="CL10">
            <v>710</v>
          </cell>
          <cell r="CM10">
            <v>710</v>
          </cell>
          <cell r="CN10">
            <v>0.78888888888888886</v>
          </cell>
          <cell r="CO10" t="str">
            <v>4th</v>
          </cell>
          <cell r="CP10">
            <v>87</v>
          </cell>
          <cell r="CQ10">
            <v>41</v>
          </cell>
          <cell r="CR10">
            <v>87</v>
          </cell>
          <cell r="CS10" t="str">
            <v>1st</v>
          </cell>
          <cell r="CT10">
            <v>51</v>
          </cell>
          <cell r="CU10">
            <v>35</v>
          </cell>
          <cell r="CV10">
            <v>74</v>
          </cell>
          <cell r="CW10" t="str">
            <v>20th</v>
          </cell>
          <cell r="CX10">
            <v>84</v>
          </cell>
          <cell r="CY10">
            <v>59</v>
          </cell>
          <cell r="CZ10">
            <v>97</v>
          </cell>
          <cell r="DA10" t="str">
            <v>10th</v>
          </cell>
          <cell r="DB10">
            <v>0</v>
          </cell>
          <cell r="DC10">
            <v>0</v>
          </cell>
          <cell r="DD10">
            <v>0</v>
          </cell>
          <cell r="DE10" t="str">
            <v>NILL</v>
          </cell>
          <cell r="DF10">
            <v>87</v>
          </cell>
          <cell r="DG10">
            <v>33</v>
          </cell>
          <cell r="DH10">
            <v>87</v>
          </cell>
          <cell r="DI10" t="str">
            <v>1st</v>
          </cell>
          <cell r="DJ10">
            <v>88</v>
          </cell>
          <cell r="DK10">
            <v>29</v>
          </cell>
          <cell r="DL10">
            <v>88</v>
          </cell>
          <cell r="DM10" t="str">
            <v>1st</v>
          </cell>
          <cell r="DN10">
            <v>61</v>
          </cell>
          <cell r="DO10">
            <v>35</v>
          </cell>
          <cell r="DP10">
            <v>92</v>
          </cell>
          <cell r="DQ10" t="str">
            <v>23rd</v>
          </cell>
          <cell r="DR10">
            <v>81</v>
          </cell>
          <cell r="DS10">
            <v>0</v>
          </cell>
          <cell r="DT10">
            <v>81</v>
          </cell>
          <cell r="DU10" t="str">
            <v>1st</v>
          </cell>
          <cell r="DV10">
            <v>0</v>
          </cell>
          <cell r="DW10">
            <v>0</v>
          </cell>
          <cell r="DX10">
            <v>0</v>
          </cell>
          <cell r="DY10" t="str">
            <v>NILL</v>
          </cell>
          <cell r="DZ10">
            <v>0</v>
          </cell>
          <cell r="EA10">
            <v>0</v>
          </cell>
          <cell r="EB10">
            <v>86</v>
          </cell>
          <cell r="EC10" t="str">
            <v>NILL</v>
          </cell>
          <cell r="ED10">
            <v>83</v>
          </cell>
          <cell r="EE10">
            <v>0</v>
          </cell>
          <cell r="EF10">
            <v>0</v>
          </cell>
          <cell r="EG10" t="str">
            <v>1st</v>
          </cell>
          <cell r="EH10">
            <v>88</v>
          </cell>
          <cell r="EI10">
            <v>0</v>
          </cell>
          <cell r="EJ10">
            <v>89</v>
          </cell>
          <cell r="EK10" t="str">
            <v>2nd</v>
          </cell>
          <cell r="EL10">
            <v>0</v>
          </cell>
          <cell r="EM10">
            <v>0</v>
          </cell>
          <cell r="EN10">
            <v>91</v>
          </cell>
          <cell r="EO10" t="str">
            <v>NILL</v>
          </cell>
          <cell r="EP10" t="str">
            <v/>
          </cell>
          <cell r="EQ10">
            <v>0</v>
          </cell>
          <cell r="ER10">
            <v>0</v>
          </cell>
          <cell r="ES10" t="e">
            <v>#VALUE!</v>
          </cell>
        </row>
        <row r="11">
          <cell r="A11" t="str">
            <v>BDS/21/003</v>
          </cell>
          <cell r="B11" t="str">
            <v>AZUNNA PRECIOUS</v>
          </cell>
          <cell r="C11" t="str">
            <v>FEMALE</v>
          </cell>
          <cell r="D11">
            <v>40336</v>
          </cell>
          <cell r="E11" t="str">
            <v xml:space="preserve">SINGING AND DANCING </v>
          </cell>
          <cell r="F11">
            <v>15</v>
          </cell>
          <cell r="G11">
            <v>15</v>
          </cell>
          <cell r="H11">
            <v>50</v>
          </cell>
          <cell r="I11">
            <v>80</v>
          </cell>
          <cell r="J11">
            <v>80</v>
          </cell>
          <cell r="K11" t="str">
            <v>B1</v>
          </cell>
          <cell r="L11">
            <v>0</v>
          </cell>
          <cell r="M11">
            <v>20</v>
          </cell>
          <cell r="N11">
            <v>34</v>
          </cell>
          <cell r="O11">
            <v>54</v>
          </cell>
          <cell r="P11">
            <v>54</v>
          </cell>
          <cell r="Q11" t="str">
            <v>C4</v>
          </cell>
          <cell r="R11">
            <v>10</v>
          </cell>
          <cell r="S11">
            <v>7</v>
          </cell>
          <cell r="T11">
            <v>56</v>
          </cell>
          <cell r="U11">
            <v>73</v>
          </cell>
          <cell r="V11">
            <v>73</v>
          </cell>
          <cell r="W11" t="str">
            <v>B1</v>
          </cell>
          <cell r="X11" t="str">
            <v/>
          </cell>
          <cell r="Y11" t="str">
            <v/>
          </cell>
          <cell r="Z11" t="str">
            <v/>
          </cell>
          <cell r="AA11">
            <v>0</v>
          </cell>
          <cell r="AB11">
            <v>0</v>
          </cell>
          <cell r="AC11" t="str">
            <v>-</v>
          </cell>
          <cell r="AD11">
            <v>16</v>
          </cell>
          <cell r="AE11">
            <v>16</v>
          </cell>
          <cell r="AF11">
            <v>47</v>
          </cell>
          <cell r="AG11">
            <v>79</v>
          </cell>
          <cell r="AH11">
            <v>79</v>
          </cell>
          <cell r="AI11" t="str">
            <v>B1</v>
          </cell>
          <cell r="AJ11">
            <v>20</v>
          </cell>
          <cell r="AK11">
            <v>20</v>
          </cell>
          <cell r="AL11">
            <v>42</v>
          </cell>
          <cell r="AM11">
            <v>82</v>
          </cell>
          <cell r="AN11">
            <v>82</v>
          </cell>
          <cell r="AO11" t="str">
            <v>A</v>
          </cell>
          <cell r="AP11">
            <v>18</v>
          </cell>
          <cell r="AQ11">
            <v>20</v>
          </cell>
          <cell r="AR11">
            <v>39</v>
          </cell>
          <cell r="AS11">
            <v>77</v>
          </cell>
          <cell r="AT11">
            <v>77</v>
          </cell>
          <cell r="AU11" t="str">
            <v>B1</v>
          </cell>
          <cell r="AV11">
            <v>10</v>
          </cell>
          <cell r="AW11">
            <v>16</v>
          </cell>
          <cell r="AX11">
            <v>41</v>
          </cell>
          <cell r="AY11">
            <v>67</v>
          </cell>
          <cell r="AZ11">
            <v>67</v>
          </cell>
          <cell r="BA11" t="str">
            <v>B2</v>
          </cell>
          <cell r="BB11" t="str">
            <v/>
          </cell>
          <cell r="BC11" t="str">
            <v/>
          </cell>
          <cell r="BD11" t="str">
            <v/>
          </cell>
          <cell r="BE11">
            <v>0</v>
          </cell>
          <cell r="BF11">
            <v>0</v>
          </cell>
          <cell r="BG11" t="str">
            <v>-</v>
          </cell>
          <cell r="BH11">
            <v>15</v>
          </cell>
          <cell r="BI11">
            <v>20</v>
          </cell>
          <cell r="BJ11">
            <v>42</v>
          </cell>
          <cell r="BK11">
            <v>77</v>
          </cell>
          <cell r="BL11">
            <v>77</v>
          </cell>
          <cell r="BM11" t="str">
            <v>B1</v>
          </cell>
          <cell r="BN11" t="str">
            <v/>
          </cell>
          <cell r="BO11" t="str">
            <v/>
          </cell>
          <cell r="BP11" t="str">
            <v/>
          </cell>
          <cell r="BQ11">
            <v>0</v>
          </cell>
          <cell r="BR11">
            <v>0</v>
          </cell>
          <cell r="BS11" t="str">
            <v>-</v>
          </cell>
          <cell r="BT11">
            <v>16</v>
          </cell>
          <cell r="BU11">
            <v>20</v>
          </cell>
          <cell r="BV11">
            <v>53</v>
          </cell>
          <cell r="BW11">
            <v>89</v>
          </cell>
          <cell r="BX11">
            <v>89</v>
          </cell>
          <cell r="BY11" t="str">
            <v>A</v>
          </cell>
          <cell r="BZ11" t="str">
            <v/>
          </cell>
          <cell r="CA11" t="str">
            <v/>
          </cell>
          <cell r="CB11" t="str">
            <v/>
          </cell>
          <cell r="CC11">
            <v>0</v>
          </cell>
          <cell r="CD11">
            <v>0</v>
          </cell>
          <cell r="CE11" t="str">
            <v>-</v>
          </cell>
          <cell r="CF11" t="str">
            <v/>
          </cell>
          <cell r="CG11" t="str">
            <v/>
          </cell>
          <cell r="CH11" t="str">
            <v/>
          </cell>
          <cell r="CI11" t="str">
            <v/>
          </cell>
          <cell r="CJ11" t="str">
            <v/>
          </cell>
          <cell r="CK11" t="str">
            <v/>
          </cell>
          <cell r="CL11">
            <v>678</v>
          </cell>
          <cell r="CM11">
            <v>678</v>
          </cell>
          <cell r="CN11">
            <v>0.7533333333333333</v>
          </cell>
          <cell r="CO11" t="str">
            <v>7th</v>
          </cell>
          <cell r="CP11">
            <v>80</v>
          </cell>
          <cell r="CQ11">
            <v>41</v>
          </cell>
          <cell r="CR11">
            <v>87</v>
          </cell>
          <cell r="CS11" t="str">
            <v>6th</v>
          </cell>
          <cell r="CT11">
            <v>54</v>
          </cell>
          <cell r="CU11">
            <v>35</v>
          </cell>
          <cell r="CV11">
            <v>74</v>
          </cell>
          <cell r="CW11" t="str">
            <v>16th</v>
          </cell>
          <cell r="CX11">
            <v>73</v>
          </cell>
          <cell r="CY11">
            <v>59</v>
          </cell>
          <cell r="CZ11">
            <v>97</v>
          </cell>
          <cell r="DA11" t="str">
            <v>19th</v>
          </cell>
          <cell r="DB11">
            <v>0</v>
          </cell>
          <cell r="DC11">
            <v>0</v>
          </cell>
          <cell r="DD11">
            <v>0</v>
          </cell>
          <cell r="DE11" t="str">
            <v>NILL</v>
          </cell>
          <cell r="DF11">
            <v>79</v>
          </cell>
          <cell r="DG11">
            <v>33</v>
          </cell>
          <cell r="DH11">
            <v>87</v>
          </cell>
          <cell r="DI11" t="str">
            <v>11th</v>
          </cell>
          <cell r="DJ11">
            <v>82</v>
          </cell>
          <cell r="DK11">
            <v>29</v>
          </cell>
          <cell r="DL11">
            <v>88</v>
          </cell>
          <cell r="DM11" t="str">
            <v>8th</v>
          </cell>
          <cell r="DN11">
            <v>77</v>
          </cell>
          <cell r="DO11">
            <v>35</v>
          </cell>
          <cell r="DP11">
            <v>92</v>
          </cell>
          <cell r="DQ11" t="str">
            <v>9th</v>
          </cell>
          <cell r="DR11">
            <v>67</v>
          </cell>
          <cell r="DS11">
            <v>0</v>
          </cell>
          <cell r="DT11">
            <v>81</v>
          </cell>
          <cell r="DU11" t="str">
            <v>8th</v>
          </cell>
          <cell r="DV11">
            <v>0</v>
          </cell>
          <cell r="DW11">
            <v>0</v>
          </cell>
          <cell r="DX11">
            <v>0</v>
          </cell>
          <cell r="DY11" t="str">
            <v>NILL</v>
          </cell>
          <cell r="DZ11">
            <v>77</v>
          </cell>
          <cell r="EA11">
            <v>0</v>
          </cell>
          <cell r="EB11">
            <v>86</v>
          </cell>
          <cell r="EC11" t="str">
            <v>11th</v>
          </cell>
          <cell r="ED11">
            <v>0</v>
          </cell>
          <cell r="EE11">
            <v>0</v>
          </cell>
          <cell r="EF11">
            <v>1</v>
          </cell>
          <cell r="EG11" t="str">
            <v>NILL</v>
          </cell>
          <cell r="EH11">
            <v>89</v>
          </cell>
          <cell r="EI11">
            <v>0</v>
          </cell>
          <cell r="EJ11">
            <v>89</v>
          </cell>
          <cell r="EK11" t="str">
            <v>1st</v>
          </cell>
          <cell r="EL11">
            <v>0</v>
          </cell>
          <cell r="EM11">
            <v>0</v>
          </cell>
          <cell r="EN11">
            <v>91</v>
          </cell>
          <cell r="EO11" t="str">
            <v>NILL</v>
          </cell>
          <cell r="EP11" t="str">
            <v/>
          </cell>
          <cell r="EQ11">
            <v>0</v>
          </cell>
          <cell r="ER11">
            <v>0</v>
          </cell>
          <cell r="ES11" t="e">
            <v>#VALUE!</v>
          </cell>
        </row>
        <row r="12">
          <cell r="A12" t="str">
            <v>BDS/21/004</v>
          </cell>
          <cell r="B12" t="str">
            <v>CHIGOZIE ONYINYECHI PRAISE</v>
          </cell>
          <cell r="C12" t="str">
            <v>FEMALE</v>
          </cell>
          <cell r="D12">
            <v>40275</v>
          </cell>
          <cell r="E12" t="str">
            <v>SINGING</v>
          </cell>
          <cell r="F12">
            <v>15</v>
          </cell>
          <cell r="G12">
            <v>15</v>
          </cell>
          <cell r="H12">
            <v>50</v>
          </cell>
          <cell r="I12">
            <v>80</v>
          </cell>
          <cell r="J12">
            <v>80</v>
          </cell>
          <cell r="K12" t="str">
            <v>B1</v>
          </cell>
          <cell r="L12">
            <v>9</v>
          </cell>
          <cell r="M12">
            <v>20</v>
          </cell>
          <cell r="N12">
            <v>34</v>
          </cell>
          <cell r="O12">
            <v>63</v>
          </cell>
          <cell r="P12">
            <v>63</v>
          </cell>
          <cell r="Q12" t="str">
            <v>B2</v>
          </cell>
          <cell r="R12">
            <v>20</v>
          </cell>
          <cell r="S12">
            <v>17</v>
          </cell>
          <cell r="T12">
            <v>57</v>
          </cell>
          <cell r="U12">
            <v>94</v>
          </cell>
          <cell r="V12">
            <v>94</v>
          </cell>
          <cell r="W12" t="str">
            <v>A</v>
          </cell>
          <cell r="X12" t="str">
            <v/>
          </cell>
          <cell r="Y12" t="str">
            <v/>
          </cell>
          <cell r="Z12" t="str">
            <v/>
          </cell>
          <cell r="AA12">
            <v>0</v>
          </cell>
          <cell r="AB12">
            <v>0</v>
          </cell>
          <cell r="AC12" t="str">
            <v>-</v>
          </cell>
          <cell r="AD12">
            <v>20</v>
          </cell>
          <cell r="AE12">
            <v>20</v>
          </cell>
          <cell r="AF12">
            <v>47</v>
          </cell>
          <cell r="AG12">
            <v>87</v>
          </cell>
          <cell r="AH12">
            <v>87</v>
          </cell>
          <cell r="AI12" t="str">
            <v>A</v>
          </cell>
          <cell r="AJ12">
            <v>20</v>
          </cell>
          <cell r="AK12">
            <v>20</v>
          </cell>
          <cell r="AL12">
            <v>46</v>
          </cell>
          <cell r="AM12">
            <v>86</v>
          </cell>
          <cell r="AN12">
            <v>86</v>
          </cell>
          <cell r="AO12" t="str">
            <v>A</v>
          </cell>
          <cell r="AP12">
            <v>15</v>
          </cell>
          <cell r="AQ12">
            <v>10</v>
          </cell>
          <cell r="AR12">
            <v>39</v>
          </cell>
          <cell r="AS12">
            <v>64</v>
          </cell>
          <cell r="AT12">
            <v>64</v>
          </cell>
          <cell r="AU12" t="str">
            <v>B2</v>
          </cell>
          <cell r="AV12">
            <v>20</v>
          </cell>
          <cell r="AW12">
            <v>20</v>
          </cell>
          <cell r="AX12">
            <v>37</v>
          </cell>
          <cell r="AY12">
            <v>77</v>
          </cell>
          <cell r="AZ12">
            <v>77</v>
          </cell>
          <cell r="BA12" t="str">
            <v>B1</v>
          </cell>
          <cell r="BB12" t="str">
            <v/>
          </cell>
          <cell r="BC12" t="str">
            <v/>
          </cell>
          <cell r="BD12" t="str">
            <v/>
          </cell>
          <cell r="BE12">
            <v>0</v>
          </cell>
          <cell r="BF12">
            <v>0</v>
          </cell>
          <cell r="BG12" t="str">
            <v>-</v>
          </cell>
          <cell r="BH12">
            <v>9</v>
          </cell>
          <cell r="BI12">
            <v>20</v>
          </cell>
          <cell r="BJ12">
            <v>51</v>
          </cell>
          <cell r="BK12">
            <v>80</v>
          </cell>
          <cell r="BL12">
            <v>80</v>
          </cell>
          <cell r="BM12" t="str">
            <v>B1</v>
          </cell>
          <cell r="BN12" t="str">
            <v/>
          </cell>
          <cell r="BO12" t="str">
            <v/>
          </cell>
          <cell r="BP12" t="str">
            <v/>
          </cell>
          <cell r="BQ12">
            <v>0</v>
          </cell>
          <cell r="BR12">
            <v>0</v>
          </cell>
          <cell r="BS12" t="str">
            <v>-</v>
          </cell>
          <cell r="BT12">
            <v>20</v>
          </cell>
          <cell r="BU12">
            <v>20</v>
          </cell>
          <cell r="BV12">
            <v>42</v>
          </cell>
          <cell r="BW12">
            <v>82</v>
          </cell>
          <cell r="BX12">
            <v>82</v>
          </cell>
          <cell r="BY12" t="str">
            <v>A</v>
          </cell>
          <cell r="BZ12">
            <v>15</v>
          </cell>
          <cell r="CA12" t="str">
            <v/>
          </cell>
          <cell r="CB12">
            <v>43</v>
          </cell>
          <cell r="CC12">
            <v>58</v>
          </cell>
          <cell r="CD12">
            <v>57.999999999999993</v>
          </cell>
          <cell r="CE12" t="str">
            <v>C4</v>
          </cell>
          <cell r="CF12" t="str">
            <v/>
          </cell>
          <cell r="CG12" t="str">
            <v/>
          </cell>
          <cell r="CH12" t="str">
            <v/>
          </cell>
          <cell r="CI12" t="str">
            <v/>
          </cell>
          <cell r="CJ12" t="str">
            <v/>
          </cell>
          <cell r="CK12" t="str">
            <v/>
          </cell>
          <cell r="CL12">
            <v>771</v>
          </cell>
          <cell r="CM12">
            <v>771</v>
          </cell>
          <cell r="CN12">
            <v>0.85666666666666669</v>
          </cell>
          <cell r="CO12" t="str">
            <v>2nd</v>
          </cell>
          <cell r="CP12">
            <v>80</v>
          </cell>
          <cell r="CQ12">
            <v>41</v>
          </cell>
          <cell r="CR12">
            <v>87</v>
          </cell>
          <cell r="CS12" t="str">
            <v>6th</v>
          </cell>
          <cell r="CT12">
            <v>63</v>
          </cell>
          <cell r="CU12">
            <v>35</v>
          </cell>
          <cell r="CV12">
            <v>74</v>
          </cell>
          <cell r="CW12" t="str">
            <v>6th</v>
          </cell>
          <cell r="CX12">
            <v>94</v>
          </cell>
          <cell r="CY12">
            <v>59</v>
          </cell>
          <cell r="CZ12">
            <v>97</v>
          </cell>
          <cell r="DA12" t="str">
            <v>2nd</v>
          </cell>
          <cell r="DB12">
            <v>0</v>
          </cell>
          <cell r="DC12">
            <v>0</v>
          </cell>
          <cell r="DD12">
            <v>0</v>
          </cell>
          <cell r="DE12" t="str">
            <v>NILL</v>
          </cell>
          <cell r="DF12">
            <v>87</v>
          </cell>
          <cell r="DG12">
            <v>33</v>
          </cell>
          <cell r="DH12">
            <v>87</v>
          </cell>
          <cell r="DI12" t="str">
            <v>1st</v>
          </cell>
          <cell r="DJ12">
            <v>86</v>
          </cell>
          <cell r="DK12">
            <v>29</v>
          </cell>
          <cell r="DL12">
            <v>88</v>
          </cell>
          <cell r="DM12" t="str">
            <v>2nd</v>
          </cell>
          <cell r="DN12">
            <v>64</v>
          </cell>
          <cell r="DO12">
            <v>35</v>
          </cell>
          <cell r="DP12">
            <v>92</v>
          </cell>
          <cell r="DQ12" t="str">
            <v>20th</v>
          </cell>
          <cell r="DR12">
            <v>77</v>
          </cell>
          <cell r="DS12">
            <v>0</v>
          </cell>
          <cell r="DT12">
            <v>81</v>
          </cell>
          <cell r="DU12" t="str">
            <v>4th</v>
          </cell>
          <cell r="DV12">
            <v>0</v>
          </cell>
          <cell r="DW12">
            <v>0</v>
          </cell>
          <cell r="DX12">
            <v>0</v>
          </cell>
          <cell r="DY12" t="str">
            <v>NILL</v>
          </cell>
          <cell r="DZ12">
            <v>80</v>
          </cell>
          <cell r="EA12">
            <v>0</v>
          </cell>
          <cell r="EB12">
            <v>86</v>
          </cell>
          <cell r="EC12" t="str">
            <v>8th</v>
          </cell>
          <cell r="ED12">
            <v>0</v>
          </cell>
          <cell r="EE12">
            <v>0</v>
          </cell>
          <cell r="EF12">
            <v>2</v>
          </cell>
          <cell r="EG12" t="str">
            <v>NILL</v>
          </cell>
          <cell r="EH12">
            <v>82</v>
          </cell>
          <cell r="EI12">
            <v>0</v>
          </cell>
          <cell r="EJ12">
            <v>89</v>
          </cell>
          <cell r="EK12" t="str">
            <v>9th</v>
          </cell>
          <cell r="EL12">
            <v>58</v>
          </cell>
          <cell r="EM12">
            <v>0</v>
          </cell>
          <cell r="EN12">
            <v>91</v>
          </cell>
          <cell r="EO12" t="str">
            <v>12th</v>
          </cell>
          <cell r="EP12" t="str">
            <v/>
          </cell>
          <cell r="EQ12">
            <v>0</v>
          </cell>
          <cell r="ER12">
            <v>0</v>
          </cell>
          <cell r="ES12" t="e">
            <v>#VALUE!</v>
          </cell>
        </row>
        <row r="13">
          <cell r="A13" t="str">
            <v>BDS/21/005</v>
          </cell>
          <cell r="B13" t="str">
            <v>CHIMA DESTINY CHIMECHEFULAM</v>
          </cell>
          <cell r="C13" t="str">
            <v>MALE</v>
          </cell>
          <cell r="D13" t="str">
            <v>29/02/2012</v>
          </cell>
          <cell r="E13" t="str">
            <v>JET</v>
          </cell>
          <cell r="F13">
            <v>15</v>
          </cell>
          <cell r="G13">
            <v>15</v>
          </cell>
          <cell r="H13">
            <v>49</v>
          </cell>
          <cell r="I13">
            <v>79</v>
          </cell>
          <cell r="J13">
            <v>79</v>
          </cell>
          <cell r="K13" t="str">
            <v>B1</v>
          </cell>
          <cell r="L13">
            <v>11</v>
          </cell>
          <cell r="M13">
            <v>20</v>
          </cell>
          <cell r="N13">
            <v>29</v>
          </cell>
          <cell r="O13">
            <v>60</v>
          </cell>
          <cell r="P13">
            <v>60</v>
          </cell>
          <cell r="Q13" t="str">
            <v>C4</v>
          </cell>
          <cell r="R13">
            <v>10</v>
          </cell>
          <cell r="S13">
            <v>16</v>
          </cell>
          <cell r="T13">
            <v>51</v>
          </cell>
          <cell r="U13">
            <v>77</v>
          </cell>
          <cell r="V13">
            <v>77</v>
          </cell>
          <cell r="W13" t="str">
            <v>B1</v>
          </cell>
          <cell r="X13" t="str">
            <v/>
          </cell>
          <cell r="Y13" t="str">
            <v/>
          </cell>
          <cell r="Z13" t="str">
            <v/>
          </cell>
          <cell r="AA13">
            <v>0</v>
          </cell>
          <cell r="AB13">
            <v>0</v>
          </cell>
          <cell r="AC13" t="str">
            <v>-</v>
          </cell>
          <cell r="AD13">
            <v>16</v>
          </cell>
          <cell r="AE13">
            <v>16</v>
          </cell>
          <cell r="AF13">
            <v>48</v>
          </cell>
          <cell r="AG13">
            <v>80</v>
          </cell>
          <cell r="AH13">
            <v>80</v>
          </cell>
          <cell r="AI13" t="str">
            <v>B1</v>
          </cell>
          <cell r="AJ13">
            <v>20</v>
          </cell>
          <cell r="AK13">
            <v>20</v>
          </cell>
          <cell r="AL13">
            <v>46</v>
          </cell>
          <cell r="AM13">
            <v>86</v>
          </cell>
          <cell r="AN13">
            <v>86</v>
          </cell>
          <cell r="AO13" t="str">
            <v>A</v>
          </cell>
          <cell r="AP13">
            <v>15</v>
          </cell>
          <cell r="AQ13">
            <v>20</v>
          </cell>
          <cell r="AR13">
            <v>27</v>
          </cell>
          <cell r="AS13">
            <v>62</v>
          </cell>
          <cell r="AT13">
            <v>62</v>
          </cell>
          <cell r="AU13" t="str">
            <v>B2</v>
          </cell>
          <cell r="AV13">
            <v>15</v>
          </cell>
          <cell r="AW13">
            <v>16</v>
          </cell>
          <cell r="AX13">
            <v>20</v>
          </cell>
          <cell r="AY13">
            <v>51</v>
          </cell>
          <cell r="AZ13">
            <v>51</v>
          </cell>
          <cell r="BA13" t="str">
            <v>C4</v>
          </cell>
          <cell r="BB13" t="str">
            <v/>
          </cell>
          <cell r="BC13" t="str">
            <v/>
          </cell>
          <cell r="BD13" t="str">
            <v/>
          </cell>
          <cell r="BE13">
            <v>0</v>
          </cell>
          <cell r="BF13">
            <v>0</v>
          </cell>
          <cell r="BG13" t="str">
            <v>-</v>
          </cell>
          <cell r="BH13">
            <v>10</v>
          </cell>
          <cell r="BI13">
            <v>20</v>
          </cell>
          <cell r="BJ13">
            <v>45</v>
          </cell>
          <cell r="BK13">
            <v>75</v>
          </cell>
          <cell r="BL13">
            <v>75</v>
          </cell>
          <cell r="BM13" t="str">
            <v>B1</v>
          </cell>
          <cell r="BN13" t="str">
            <v/>
          </cell>
          <cell r="BO13" t="str">
            <v/>
          </cell>
          <cell r="BP13" t="str">
            <v/>
          </cell>
          <cell r="BQ13">
            <v>0</v>
          </cell>
          <cell r="BR13">
            <v>0</v>
          </cell>
          <cell r="BS13" t="str">
            <v>-</v>
          </cell>
          <cell r="BT13" t="str">
            <v/>
          </cell>
          <cell r="BU13" t="str">
            <v/>
          </cell>
          <cell r="BV13" t="str">
            <v/>
          </cell>
          <cell r="BW13">
            <v>0</v>
          </cell>
          <cell r="BX13">
            <v>0</v>
          </cell>
          <cell r="BY13" t="str">
            <v>-</v>
          </cell>
          <cell r="BZ13" t="str">
            <v/>
          </cell>
          <cell r="CA13" t="str">
            <v/>
          </cell>
          <cell r="CB13" t="str">
            <v/>
          </cell>
          <cell r="CC13">
            <v>0</v>
          </cell>
          <cell r="CD13">
            <v>0</v>
          </cell>
          <cell r="CE13" t="str">
            <v>-</v>
          </cell>
          <cell r="CF13" t="str">
            <v/>
          </cell>
          <cell r="CG13" t="str">
            <v/>
          </cell>
          <cell r="CH13" t="str">
            <v/>
          </cell>
          <cell r="CI13" t="str">
            <v/>
          </cell>
          <cell r="CJ13" t="str">
            <v/>
          </cell>
          <cell r="CK13" t="str">
            <v/>
          </cell>
          <cell r="CL13">
            <v>570</v>
          </cell>
          <cell r="CM13">
            <v>570</v>
          </cell>
          <cell r="CN13">
            <v>0.6333333333333333</v>
          </cell>
          <cell r="CO13" t="str">
            <v>21st</v>
          </cell>
          <cell r="CP13">
            <v>79</v>
          </cell>
          <cell r="CQ13">
            <v>41</v>
          </cell>
          <cell r="CR13">
            <v>87</v>
          </cell>
          <cell r="CS13" t="str">
            <v>10th</v>
          </cell>
          <cell r="CT13">
            <v>60</v>
          </cell>
          <cell r="CU13">
            <v>35</v>
          </cell>
          <cell r="CV13">
            <v>74</v>
          </cell>
          <cell r="CW13" t="str">
            <v>8th</v>
          </cell>
          <cell r="CX13">
            <v>77</v>
          </cell>
          <cell r="CY13">
            <v>59</v>
          </cell>
          <cell r="CZ13">
            <v>97</v>
          </cell>
          <cell r="DA13" t="str">
            <v>15th</v>
          </cell>
          <cell r="DB13">
            <v>0</v>
          </cell>
          <cell r="DC13">
            <v>0</v>
          </cell>
          <cell r="DD13">
            <v>0</v>
          </cell>
          <cell r="DE13" t="str">
            <v>NILL</v>
          </cell>
          <cell r="DF13">
            <v>80</v>
          </cell>
          <cell r="DG13">
            <v>33</v>
          </cell>
          <cell r="DH13">
            <v>87</v>
          </cell>
          <cell r="DI13" t="str">
            <v>10th</v>
          </cell>
          <cell r="DJ13">
            <v>86</v>
          </cell>
          <cell r="DK13">
            <v>29</v>
          </cell>
          <cell r="DL13">
            <v>88</v>
          </cell>
          <cell r="DM13" t="str">
            <v>2nd</v>
          </cell>
          <cell r="DN13">
            <v>62</v>
          </cell>
          <cell r="DO13">
            <v>35</v>
          </cell>
          <cell r="DP13">
            <v>92</v>
          </cell>
          <cell r="DQ13" t="str">
            <v>21st</v>
          </cell>
          <cell r="DR13">
            <v>51</v>
          </cell>
          <cell r="DS13">
            <v>0</v>
          </cell>
          <cell r="DT13">
            <v>81</v>
          </cell>
          <cell r="DU13" t="str">
            <v>19th</v>
          </cell>
          <cell r="DV13">
            <v>0</v>
          </cell>
          <cell r="DW13">
            <v>0</v>
          </cell>
          <cell r="DX13">
            <v>0</v>
          </cell>
          <cell r="DY13" t="str">
            <v>NILL</v>
          </cell>
          <cell r="DZ13">
            <v>75</v>
          </cell>
          <cell r="EA13">
            <v>0</v>
          </cell>
          <cell r="EB13">
            <v>86</v>
          </cell>
          <cell r="EC13" t="str">
            <v>12th</v>
          </cell>
          <cell r="ED13">
            <v>0</v>
          </cell>
          <cell r="EE13">
            <v>0</v>
          </cell>
          <cell r="EF13">
            <v>3</v>
          </cell>
          <cell r="EG13" t="str">
            <v>NILL</v>
          </cell>
          <cell r="EH13">
            <v>0</v>
          </cell>
          <cell r="EI13">
            <v>0</v>
          </cell>
          <cell r="EJ13">
            <v>89</v>
          </cell>
          <cell r="EK13" t="str">
            <v>NILL</v>
          </cell>
          <cell r="EL13">
            <v>0</v>
          </cell>
          <cell r="EM13">
            <v>0</v>
          </cell>
          <cell r="EN13">
            <v>91</v>
          </cell>
          <cell r="EO13" t="str">
            <v>NILL</v>
          </cell>
          <cell r="EP13" t="str">
            <v/>
          </cell>
          <cell r="EQ13">
            <v>0</v>
          </cell>
          <cell r="ER13">
            <v>0</v>
          </cell>
          <cell r="ES13" t="e">
            <v>#VALUE!</v>
          </cell>
        </row>
        <row r="14">
          <cell r="A14" t="str">
            <v>BDS/21/008</v>
          </cell>
          <cell r="B14" t="str">
            <v>CHUKS NMESOMA EMMANUEL</v>
          </cell>
          <cell r="C14" t="str">
            <v>MALE</v>
          </cell>
          <cell r="D14">
            <v>40607</v>
          </cell>
          <cell r="E14" t="str">
            <v>DEBATE</v>
          </cell>
          <cell r="F14">
            <v>15</v>
          </cell>
          <cell r="G14">
            <v>15</v>
          </cell>
          <cell r="H14">
            <v>52</v>
          </cell>
          <cell r="I14">
            <v>82</v>
          </cell>
          <cell r="J14">
            <v>82</v>
          </cell>
          <cell r="K14" t="str">
            <v>A</v>
          </cell>
          <cell r="L14">
            <v>11</v>
          </cell>
          <cell r="M14">
            <v>20</v>
          </cell>
          <cell r="N14">
            <v>31</v>
          </cell>
          <cell r="O14">
            <v>62</v>
          </cell>
          <cell r="P14">
            <v>62</v>
          </cell>
          <cell r="Q14" t="str">
            <v>B2</v>
          </cell>
          <cell r="R14">
            <v>10</v>
          </cell>
          <cell r="S14">
            <v>7</v>
          </cell>
          <cell r="T14">
            <v>52</v>
          </cell>
          <cell r="U14">
            <v>69</v>
          </cell>
          <cell r="V14">
            <v>69</v>
          </cell>
          <cell r="W14" t="str">
            <v>B2</v>
          </cell>
          <cell r="X14" t="str">
            <v/>
          </cell>
          <cell r="Y14" t="str">
            <v/>
          </cell>
          <cell r="Z14" t="str">
            <v/>
          </cell>
          <cell r="AA14">
            <v>0</v>
          </cell>
          <cell r="AB14">
            <v>0</v>
          </cell>
          <cell r="AC14" t="str">
            <v>-</v>
          </cell>
          <cell r="AD14">
            <v>20</v>
          </cell>
          <cell r="AE14">
            <v>20</v>
          </cell>
          <cell r="AF14">
            <v>39</v>
          </cell>
          <cell r="AG14">
            <v>79</v>
          </cell>
          <cell r="AH14">
            <v>79</v>
          </cell>
          <cell r="AI14" t="str">
            <v>B1</v>
          </cell>
          <cell r="AJ14">
            <v>20</v>
          </cell>
          <cell r="AK14">
            <v>20</v>
          </cell>
          <cell r="AL14">
            <v>31</v>
          </cell>
          <cell r="AM14">
            <v>71</v>
          </cell>
          <cell r="AN14">
            <v>71</v>
          </cell>
          <cell r="AO14" t="str">
            <v>B1</v>
          </cell>
          <cell r="AP14">
            <v>18</v>
          </cell>
          <cell r="AQ14">
            <v>20</v>
          </cell>
          <cell r="AR14">
            <v>49</v>
          </cell>
          <cell r="AS14">
            <v>87</v>
          </cell>
          <cell r="AT14">
            <v>87</v>
          </cell>
          <cell r="AU14" t="str">
            <v>A</v>
          </cell>
          <cell r="AV14">
            <v>10</v>
          </cell>
          <cell r="AW14">
            <v>17</v>
          </cell>
          <cell r="AX14">
            <v>37</v>
          </cell>
          <cell r="AY14">
            <v>64</v>
          </cell>
          <cell r="AZ14">
            <v>64</v>
          </cell>
          <cell r="BA14" t="str">
            <v>B2</v>
          </cell>
          <cell r="BB14" t="str">
            <v/>
          </cell>
          <cell r="BC14" t="str">
            <v/>
          </cell>
          <cell r="BD14" t="str">
            <v/>
          </cell>
          <cell r="BE14">
            <v>0</v>
          </cell>
          <cell r="BF14">
            <v>0</v>
          </cell>
          <cell r="BG14" t="str">
            <v>-</v>
          </cell>
          <cell r="BH14">
            <v>14</v>
          </cell>
          <cell r="BI14">
            <v>20</v>
          </cell>
          <cell r="BJ14">
            <v>45</v>
          </cell>
          <cell r="BK14">
            <v>79</v>
          </cell>
          <cell r="BL14">
            <v>79</v>
          </cell>
          <cell r="BM14" t="str">
            <v>B1</v>
          </cell>
          <cell r="BN14" t="str">
            <v/>
          </cell>
          <cell r="BO14" t="str">
            <v/>
          </cell>
          <cell r="BP14" t="str">
            <v/>
          </cell>
          <cell r="BQ14">
            <v>0</v>
          </cell>
          <cell r="BR14">
            <v>0</v>
          </cell>
          <cell r="BS14" t="str">
            <v>-</v>
          </cell>
          <cell r="BT14" t="str">
            <v/>
          </cell>
          <cell r="BU14" t="str">
            <v/>
          </cell>
          <cell r="BV14" t="str">
            <v/>
          </cell>
          <cell r="BW14">
            <v>0</v>
          </cell>
          <cell r="BX14">
            <v>0</v>
          </cell>
          <cell r="BY14" t="str">
            <v>-</v>
          </cell>
          <cell r="BZ14">
            <v>15</v>
          </cell>
          <cell r="CA14">
            <v>20</v>
          </cell>
          <cell r="CB14">
            <v>32</v>
          </cell>
          <cell r="CC14">
            <v>67</v>
          </cell>
          <cell r="CD14">
            <v>67</v>
          </cell>
          <cell r="CE14" t="str">
            <v>B2</v>
          </cell>
          <cell r="CF14" t="str">
            <v/>
          </cell>
          <cell r="CG14" t="str">
            <v/>
          </cell>
          <cell r="CH14" t="str">
            <v/>
          </cell>
          <cell r="CI14" t="str">
            <v/>
          </cell>
          <cell r="CJ14" t="str">
            <v/>
          </cell>
          <cell r="CK14" t="str">
            <v/>
          </cell>
          <cell r="CL14">
            <v>660</v>
          </cell>
          <cell r="CM14">
            <v>660</v>
          </cell>
          <cell r="CN14">
            <v>0.73333333333333328</v>
          </cell>
          <cell r="CO14" t="str">
            <v>9th</v>
          </cell>
          <cell r="CP14">
            <v>82</v>
          </cell>
          <cell r="CQ14">
            <v>41</v>
          </cell>
          <cell r="CR14">
            <v>87</v>
          </cell>
          <cell r="CS14" t="str">
            <v>4th</v>
          </cell>
          <cell r="CT14">
            <v>62</v>
          </cell>
          <cell r="CU14">
            <v>35</v>
          </cell>
          <cell r="CV14">
            <v>74</v>
          </cell>
          <cell r="CW14" t="str">
            <v>7th</v>
          </cell>
          <cell r="CX14">
            <v>69</v>
          </cell>
          <cell r="CY14">
            <v>59</v>
          </cell>
          <cell r="CZ14">
            <v>97</v>
          </cell>
          <cell r="DA14" t="str">
            <v>23rd</v>
          </cell>
          <cell r="DB14">
            <v>0</v>
          </cell>
          <cell r="DC14">
            <v>0</v>
          </cell>
          <cell r="DD14">
            <v>0</v>
          </cell>
          <cell r="DE14" t="str">
            <v>NILL</v>
          </cell>
          <cell r="DF14">
            <v>79</v>
          </cell>
          <cell r="DG14">
            <v>33</v>
          </cell>
          <cell r="DH14">
            <v>87</v>
          </cell>
          <cell r="DI14" t="str">
            <v>11th</v>
          </cell>
          <cell r="DJ14">
            <v>71</v>
          </cell>
          <cell r="DK14">
            <v>29</v>
          </cell>
          <cell r="DL14">
            <v>88</v>
          </cell>
          <cell r="DM14" t="str">
            <v>16th</v>
          </cell>
          <cell r="DN14">
            <v>87</v>
          </cell>
          <cell r="DO14">
            <v>35</v>
          </cell>
          <cell r="DP14">
            <v>92</v>
          </cell>
          <cell r="DQ14" t="str">
            <v>5th</v>
          </cell>
          <cell r="DR14">
            <v>64</v>
          </cell>
          <cell r="DS14">
            <v>0</v>
          </cell>
          <cell r="DT14">
            <v>81</v>
          </cell>
          <cell r="DU14" t="str">
            <v>11th</v>
          </cell>
          <cell r="DV14">
            <v>0</v>
          </cell>
          <cell r="DW14">
            <v>0</v>
          </cell>
          <cell r="DX14">
            <v>0</v>
          </cell>
          <cell r="DY14" t="str">
            <v>NILL</v>
          </cell>
          <cell r="DZ14">
            <v>79</v>
          </cell>
          <cell r="EA14">
            <v>0</v>
          </cell>
          <cell r="EB14">
            <v>86</v>
          </cell>
          <cell r="EC14" t="str">
            <v>10th</v>
          </cell>
          <cell r="ED14">
            <v>0</v>
          </cell>
          <cell r="EE14">
            <v>0</v>
          </cell>
          <cell r="EF14">
            <v>4</v>
          </cell>
          <cell r="EG14" t="str">
            <v>NILL</v>
          </cell>
          <cell r="EH14">
            <v>0</v>
          </cell>
          <cell r="EI14">
            <v>0</v>
          </cell>
          <cell r="EJ14">
            <v>89</v>
          </cell>
          <cell r="EK14" t="str">
            <v>NILL</v>
          </cell>
          <cell r="EL14">
            <v>67</v>
          </cell>
          <cell r="EM14">
            <v>0</v>
          </cell>
          <cell r="EN14">
            <v>91</v>
          </cell>
          <cell r="EO14" t="str">
            <v>8th</v>
          </cell>
          <cell r="EP14" t="str">
            <v/>
          </cell>
          <cell r="EQ14">
            <v>0</v>
          </cell>
          <cell r="ER14">
            <v>0</v>
          </cell>
          <cell r="ES14" t="e">
            <v>#VALUE!</v>
          </cell>
        </row>
        <row r="15">
          <cell r="A15" t="str">
            <v>BDS/21/009</v>
          </cell>
          <cell r="B15" t="str">
            <v xml:space="preserve">EBEREGBULAM CHIDIEBUBE </v>
          </cell>
          <cell r="C15" t="str">
            <v>MALE</v>
          </cell>
          <cell r="D15" t="str">
            <v>14/05/2010</v>
          </cell>
          <cell r="E15" t="str">
            <v>JET</v>
          </cell>
          <cell r="F15">
            <v>10</v>
          </cell>
          <cell r="G15">
            <v>15</v>
          </cell>
          <cell r="H15">
            <v>55</v>
          </cell>
          <cell r="I15">
            <v>80</v>
          </cell>
          <cell r="J15">
            <v>80</v>
          </cell>
          <cell r="K15" t="str">
            <v>B1</v>
          </cell>
          <cell r="L15">
            <v>11</v>
          </cell>
          <cell r="M15">
            <v>20</v>
          </cell>
          <cell r="N15">
            <v>20</v>
          </cell>
          <cell r="O15">
            <v>51</v>
          </cell>
          <cell r="P15">
            <v>51</v>
          </cell>
          <cell r="Q15" t="str">
            <v>C4</v>
          </cell>
          <cell r="R15">
            <v>10</v>
          </cell>
          <cell r="S15">
            <v>6</v>
          </cell>
          <cell r="T15">
            <v>58</v>
          </cell>
          <cell r="U15">
            <v>74</v>
          </cell>
          <cell r="V15">
            <v>74</v>
          </cell>
          <cell r="W15" t="str">
            <v>B1</v>
          </cell>
          <cell r="X15" t="str">
            <v/>
          </cell>
          <cell r="Y15" t="str">
            <v/>
          </cell>
          <cell r="Z15" t="str">
            <v/>
          </cell>
          <cell r="AA15">
            <v>0</v>
          </cell>
          <cell r="AB15">
            <v>0</v>
          </cell>
          <cell r="AC15" t="str">
            <v>-</v>
          </cell>
          <cell r="AD15">
            <v>12</v>
          </cell>
          <cell r="AE15">
            <v>12</v>
          </cell>
          <cell r="AF15">
            <v>45</v>
          </cell>
          <cell r="AG15">
            <v>69</v>
          </cell>
          <cell r="AH15">
            <v>69</v>
          </cell>
          <cell r="AI15" t="str">
            <v>B2</v>
          </cell>
          <cell r="AJ15">
            <v>20</v>
          </cell>
          <cell r="AK15">
            <v>20</v>
          </cell>
          <cell r="AL15">
            <v>44</v>
          </cell>
          <cell r="AM15">
            <v>84</v>
          </cell>
          <cell r="AN15">
            <v>84</v>
          </cell>
          <cell r="AO15" t="str">
            <v>A</v>
          </cell>
          <cell r="AP15">
            <v>18</v>
          </cell>
          <cell r="AQ15">
            <v>20</v>
          </cell>
          <cell r="AR15">
            <v>10</v>
          </cell>
          <cell r="AS15">
            <v>48</v>
          </cell>
          <cell r="AT15">
            <v>48</v>
          </cell>
          <cell r="AU15" t="str">
            <v>C5</v>
          </cell>
          <cell r="AV15">
            <v>15</v>
          </cell>
          <cell r="AW15">
            <v>21</v>
          </cell>
          <cell r="AX15">
            <v>28</v>
          </cell>
          <cell r="AY15">
            <v>64</v>
          </cell>
          <cell r="AZ15">
            <v>64</v>
          </cell>
          <cell r="BA15" t="str">
            <v>B2</v>
          </cell>
          <cell r="BB15" t="str">
            <v/>
          </cell>
          <cell r="BC15" t="str">
            <v/>
          </cell>
          <cell r="BD15" t="str">
            <v/>
          </cell>
          <cell r="BE15">
            <v>0</v>
          </cell>
          <cell r="BF15">
            <v>0</v>
          </cell>
          <cell r="BG15" t="str">
            <v>-</v>
          </cell>
          <cell r="BH15">
            <v>15</v>
          </cell>
          <cell r="BI15">
            <v>20</v>
          </cell>
          <cell r="BJ15">
            <v>49</v>
          </cell>
          <cell r="BK15">
            <v>84</v>
          </cell>
          <cell r="BL15">
            <v>84</v>
          </cell>
          <cell r="BM15" t="str">
            <v>A</v>
          </cell>
          <cell r="BN15" t="str">
            <v/>
          </cell>
          <cell r="BO15" t="str">
            <v/>
          </cell>
          <cell r="BP15" t="str">
            <v/>
          </cell>
          <cell r="BQ15">
            <v>0</v>
          </cell>
          <cell r="BR15">
            <v>0</v>
          </cell>
          <cell r="BS15" t="str">
            <v>-</v>
          </cell>
          <cell r="BT15" t="str">
            <v/>
          </cell>
          <cell r="BU15" t="str">
            <v/>
          </cell>
          <cell r="BV15" t="str">
            <v/>
          </cell>
          <cell r="BW15">
            <v>0</v>
          </cell>
          <cell r="BX15">
            <v>0</v>
          </cell>
          <cell r="BY15" t="str">
            <v>-</v>
          </cell>
          <cell r="BZ15">
            <v>15</v>
          </cell>
          <cell r="CA15">
            <v>20</v>
          </cell>
          <cell r="CB15">
            <v>48</v>
          </cell>
          <cell r="CC15">
            <v>83</v>
          </cell>
          <cell r="CD15">
            <v>83</v>
          </cell>
          <cell r="CE15" t="str">
            <v>A</v>
          </cell>
          <cell r="CF15" t="str">
            <v/>
          </cell>
          <cell r="CG15" t="str">
            <v/>
          </cell>
          <cell r="CH15" t="str">
            <v/>
          </cell>
          <cell r="CI15" t="str">
            <v/>
          </cell>
          <cell r="CJ15" t="str">
            <v/>
          </cell>
          <cell r="CK15" t="str">
            <v/>
          </cell>
          <cell r="CL15">
            <v>637</v>
          </cell>
          <cell r="CM15">
            <v>637</v>
          </cell>
          <cell r="CN15">
            <v>0.70777777777777773</v>
          </cell>
          <cell r="CO15" t="str">
            <v>13th</v>
          </cell>
          <cell r="CP15">
            <v>80</v>
          </cell>
          <cell r="CQ15">
            <v>41</v>
          </cell>
          <cell r="CR15">
            <v>87</v>
          </cell>
          <cell r="CS15" t="str">
            <v>6th</v>
          </cell>
          <cell r="CT15">
            <v>51</v>
          </cell>
          <cell r="CU15">
            <v>35</v>
          </cell>
          <cell r="CV15">
            <v>74</v>
          </cell>
          <cell r="CW15" t="str">
            <v>20th</v>
          </cell>
          <cell r="CX15">
            <v>74</v>
          </cell>
          <cell r="CY15">
            <v>59</v>
          </cell>
          <cell r="CZ15">
            <v>97</v>
          </cell>
          <cell r="DA15" t="str">
            <v>17th</v>
          </cell>
          <cell r="DB15">
            <v>0</v>
          </cell>
          <cell r="DC15">
            <v>0</v>
          </cell>
          <cell r="DD15">
            <v>0</v>
          </cell>
          <cell r="DE15" t="str">
            <v>NILL</v>
          </cell>
          <cell r="DF15">
            <v>69</v>
          </cell>
          <cell r="DG15">
            <v>33</v>
          </cell>
          <cell r="DH15">
            <v>87</v>
          </cell>
          <cell r="DI15" t="str">
            <v>23rd</v>
          </cell>
          <cell r="DJ15">
            <v>84</v>
          </cell>
          <cell r="DK15">
            <v>29</v>
          </cell>
          <cell r="DL15">
            <v>88</v>
          </cell>
          <cell r="DM15" t="str">
            <v>6th</v>
          </cell>
          <cell r="DN15">
            <v>48</v>
          </cell>
          <cell r="DO15">
            <v>35</v>
          </cell>
          <cell r="DP15">
            <v>92</v>
          </cell>
          <cell r="DQ15" t="str">
            <v>27th</v>
          </cell>
          <cell r="DR15">
            <v>64</v>
          </cell>
          <cell r="DS15">
            <v>0</v>
          </cell>
          <cell r="DT15">
            <v>81</v>
          </cell>
          <cell r="DU15" t="str">
            <v>11th</v>
          </cell>
          <cell r="DV15">
            <v>0</v>
          </cell>
          <cell r="DW15">
            <v>0</v>
          </cell>
          <cell r="DX15">
            <v>0</v>
          </cell>
          <cell r="DY15" t="str">
            <v>NILL</v>
          </cell>
          <cell r="DZ15">
            <v>84</v>
          </cell>
          <cell r="EA15">
            <v>0</v>
          </cell>
          <cell r="EB15">
            <v>86</v>
          </cell>
          <cell r="EC15" t="str">
            <v>5th</v>
          </cell>
          <cell r="ED15">
            <v>0</v>
          </cell>
          <cell r="EE15">
            <v>0</v>
          </cell>
          <cell r="EF15">
            <v>5</v>
          </cell>
          <cell r="EG15" t="str">
            <v>NILL</v>
          </cell>
          <cell r="EH15">
            <v>0</v>
          </cell>
          <cell r="EI15">
            <v>0</v>
          </cell>
          <cell r="EJ15">
            <v>89</v>
          </cell>
          <cell r="EK15" t="str">
            <v>NILL</v>
          </cell>
          <cell r="EL15">
            <v>83</v>
          </cell>
          <cell r="EM15">
            <v>0</v>
          </cell>
          <cell r="EN15">
            <v>91</v>
          </cell>
          <cell r="EO15" t="str">
            <v>3rd</v>
          </cell>
          <cell r="EP15" t="str">
            <v/>
          </cell>
          <cell r="EQ15">
            <v>0</v>
          </cell>
          <cell r="ER15">
            <v>0</v>
          </cell>
          <cell r="ES15" t="e">
            <v>#VALUE!</v>
          </cell>
        </row>
        <row r="16">
          <cell r="A16" t="str">
            <v>BDS/21/011</v>
          </cell>
          <cell r="B16" t="str">
            <v>ETUZU CHIMAMANDA HILDA</v>
          </cell>
          <cell r="C16" t="str">
            <v>FEMALE</v>
          </cell>
          <cell r="D16" t="str">
            <v>16/11/2011</v>
          </cell>
          <cell r="E16" t="str">
            <v>DEBATE</v>
          </cell>
          <cell r="F16">
            <v>15</v>
          </cell>
          <cell r="G16">
            <v>15</v>
          </cell>
          <cell r="H16">
            <v>46</v>
          </cell>
          <cell r="I16">
            <v>76</v>
          </cell>
          <cell r="J16">
            <v>76</v>
          </cell>
          <cell r="K16" t="str">
            <v>B1</v>
          </cell>
          <cell r="L16">
            <v>8</v>
          </cell>
          <cell r="M16">
            <v>20</v>
          </cell>
          <cell r="N16">
            <v>45</v>
          </cell>
          <cell r="O16">
            <v>73</v>
          </cell>
          <cell r="P16">
            <v>73</v>
          </cell>
          <cell r="Q16" t="str">
            <v>B1</v>
          </cell>
          <cell r="R16">
            <v>20</v>
          </cell>
          <cell r="S16">
            <v>19</v>
          </cell>
          <cell r="T16">
            <v>46</v>
          </cell>
          <cell r="U16">
            <v>85</v>
          </cell>
          <cell r="V16">
            <v>85</v>
          </cell>
          <cell r="W16" t="str">
            <v>A</v>
          </cell>
          <cell r="X16" t="str">
            <v/>
          </cell>
          <cell r="Y16" t="str">
            <v/>
          </cell>
          <cell r="Z16" t="str">
            <v/>
          </cell>
          <cell r="AA16">
            <v>0</v>
          </cell>
          <cell r="AB16">
            <v>0</v>
          </cell>
          <cell r="AC16" t="str">
            <v>-</v>
          </cell>
          <cell r="AD16">
            <v>15</v>
          </cell>
          <cell r="AE16">
            <v>15</v>
          </cell>
          <cell r="AF16">
            <v>33</v>
          </cell>
          <cell r="AG16">
            <v>63</v>
          </cell>
          <cell r="AH16">
            <v>63</v>
          </cell>
          <cell r="AI16" t="str">
            <v>B2</v>
          </cell>
          <cell r="AJ16">
            <v>20</v>
          </cell>
          <cell r="AK16">
            <v>20</v>
          </cell>
          <cell r="AL16">
            <v>20</v>
          </cell>
          <cell r="AM16">
            <v>60</v>
          </cell>
          <cell r="AN16">
            <v>60</v>
          </cell>
          <cell r="AO16" t="str">
            <v>C4</v>
          </cell>
          <cell r="AP16">
            <v>15</v>
          </cell>
          <cell r="AQ16">
            <v>20</v>
          </cell>
          <cell r="AR16">
            <v>35</v>
          </cell>
          <cell r="AS16">
            <v>70</v>
          </cell>
          <cell r="AT16">
            <v>70</v>
          </cell>
          <cell r="AU16" t="str">
            <v>B2</v>
          </cell>
          <cell r="AV16">
            <v>14</v>
          </cell>
          <cell r="AW16">
            <v>20</v>
          </cell>
          <cell r="AX16">
            <v>28</v>
          </cell>
          <cell r="AY16">
            <v>62</v>
          </cell>
          <cell r="AZ16">
            <v>62</v>
          </cell>
          <cell r="BA16" t="str">
            <v>B2</v>
          </cell>
          <cell r="BB16" t="str">
            <v/>
          </cell>
          <cell r="BC16" t="str">
            <v/>
          </cell>
          <cell r="BD16" t="str">
            <v/>
          </cell>
          <cell r="BE16">
            <v>0</v>
          </cell>
          <cell r="BF16">
            <v>0</v>
          </cell>
          <cell r="BG16" t="str">
            <v>-</v>
          </cell>
          <cell r="BH16" t="str">
            <v/>
          </cell>
          <cell r="BI16" t="str">
            <v/>
          </cell>
          <cell r="BJ16" t="str">
            <v/>
          </cell>
          <cell r="BK16">
            <v>0</v>
          </cell>
          <cell r="BL16">
            <v>0</v>
          </cell>
          <cell r="BM16" t="str">
            <v>-</v>
          </cell>
          <cell r="BN16">
            <v>17</v>
          </cell>
          <cell r="BO16">
            <v>15</v>
          </cell>
          <cell r="BP16">
            <v>27</v>
          </cell>
          <cell r="BQ16">
            <v>59</v>
          </cell>
          <cell r="BR16">
            <v>59</v>
          </cell>
          <cell r="BS16" t="str">
            <v>C4</v>
          </cell>
          <cell r="BT16">
            <v>20</v>
          </cell>
          <cell r="BU16">
            <v>20</v>
          </cell>
          <cell r="BV16">
            <v>42</v>
          </cell>
          <cell r="BW16">
            <v>82</v>
          </cell>
          <cell r="BX16">
            <v>82</v>
          </cell>
          <cell r="BY16" t="str">
            <v>A</v>
          </cell>
          <cell r="BZ16" t="str">
            <v/>
          </cell>
          <cell r="CA16" t="str">
            <v/>
          </cell>
          <cell r="CB16" t="str">
            <v/>
          </cell>
          <cell r="CC16">
            <v>0</v>
          </cell>
          <cell r="CD16">
            <v>0</v>
          </cell>
          <cell r="CE16" t="str">
            <v>-</v>
          </cell>
          <cell r="CF16" t="str">
            <v/>
          </cell>
          <cell r="CG16" t="str">
            <v/>
          </cell>
          <cell r="CH16" t="str">
            <v/>
          </cell>
          <cell r="CI16" t="str">
            <v/>
          </cell>
          <cell r="CJ16" t="str">
            <v/>
          </cell>
          <cell r="CK16" t="str">
            <v/>
          </cell>
          <cell r="CL16">
            <v>630</v>
          </cell>
          <cell r="CM16">
            <v>630</v>
          </cell>
          <cell r="CN16">
            <v>0.7</v>
          </cell>
          <cell r="CO16" t="str">
            <v>14th</v>
          </cell>
          <cell r="CP16">
            <v>76</v>
          </cell>
          <cell r="CQ16">
            <v>41</v>
          </cell>
          <cell r="CR16">
            <v>87</v>
          </cell>
          <cell r="CS16" t="str">
            <v>13th</v>
          </cell>
          <cell r="CT16">
            <v>73</v>
          </cell>
          <cell r="CU16">
            <v>35</v>
          </cell>
          <cell r="CV16">
            <v>74</v>
          </cell>
          <cell r="CW16" t="str">
            <v>2nd</v>
          </cell>
          <cell r="CX16">
            <v>85</v>
          </cell>
          <cell r="CY16">
            <v>59</v>
          </cell>
          <cell r="CZ16">
            <v>97</v>
          </cell>
          <cell r="DA16" t="str">
            <v>8th</v>
          </cell>
          <cell r="DB16">
            <v>0</v>
          </cell>
          <cell r="DC16">
            <v>0</v>
          </cell>
          <cell r="DD16">
            <v>0</v>
          </cell>
          <cell r="DE16" t="str">
            <v>NILL</v>
          </cell>
          <cell r="DF16">
            <v>63</v>
          </cell>
          <cell r="DG16">
            <v>33</v>
          </cell>
          <cell r="DH16">
            <v>87</v>
          </cell>
          <cell r="DI16" t="str">
            <v>26th</v>
          </cell>
          <cell r="DJ16">
            <v>60</v>
          </cell>
          <cell r="DK16">
            <v>29</v>
          </cell>
          <cell r="DL16">
            <v>88</v>
          </cell>
          <cell r="DM16" t="str">
            <v>26th</v>
          </cell>
          <cell r="DN16">
            <v>70</v>
          </cell>
          <cell r="DO16">
            <v>35</v>
          </cell>
          <cell r="DP16">
            <v>92</v>
          </cell>
          <cell r="DQ16" t="str">
            <v>13th</v>
          </cell>
          <cell r="DR16">
            <v>62</v>
          </cell>
          <cell r="DS16">
            <v>0</v>
          </cell>
          <cell r="DT16">
            <v>81</v>
          </cell>
          <cell r="DU16" t="str">
            <v>14th</v>
          </cell>
          <cell r="DV16">
            <v>0</v>
          </cell>
          <cell r="DW16">
            <v>0</v>
          </cell>
          <cell r="DX16">
            <v>0</v>
          </cell>
          <cell r="DY16" t="str">
            <v>NILL</v>
          </cell>
          <cell r="DZ16">
            <v>0</v>
          </cell>
          <cell r="EA16">
            <v>0</v>
          </cell>
          <cell r="EB16">
            <v>86</v>
          </cell>
          <cell r="EC16" t="str">
            <v>NILL</v>
          </cell>
          <cell r="ED16">
            <v>59</v>
          </cell>
          <cell r="EE16">
            <v>0</v>
          </cell>
          <cell r="EF16">
            <v>6</v>
          </cell>
          <cell r="EG16" t="str">
            <v>8th</v>
          </cell>
          <cell r="EH16">
            <v>82</v>
          </cell>
          <cell r="EI16">
            <v>0</v>
          </cell>
          <cell r="EJ16">
            <v>89</v>
          </cell>
          <cell r="EK16" t="str">
            <v>9th</v>
          </cell>
          <cell r="EL16">
            <v>0</v>
          </cell>
          <cell r="EM16">
            <v>0</v>
          </cell>
          <cell r="EN16">
            <v>91</v>
          </cell>
          <cell r="EO16" t="str">
            <v>NILL</v>
          </cell>
          <cell r="EP16" t="str">
            <v/>
          </cell>
          <cell r="EQ16">
            <v>0</v>
          </cell>
          <cell r="ER16">
            <v>0</v>
          </cell>
          <cell r="ES16" t="e">
            <v>#VALUE!</v>
          </cell>
        </row>
        <row r="17">
          <cell r="A17" t="str">
            <v>BDS/21/014</v>
          </cell>
          <cell r="B17" t="str">
            <v>IBEKU EMMANUELLA OLUCHUKWU</v>
          </cell>
          <cell r="C17" t="str">
            <v>FEMALE</v>
          </cell>
          <cell r="D17" t="str">
            <v>16/12/2011</v>
          </cell>
          <cell r="E17" t="str">
            <v>DEBATE</v>
          </cell>
          <cell r="F17">
            <v>15</v>
          </cell>
          <cell r="G17">
            <v>15</v>
          </cell>
          <cell r="H17">
            <v>48</v>
          </cell>
          <cell r="I17">
            <v>78</v>
          </cell>
          <cell r="J17">
            <v>78</v>
          </cell>
          <cell r="K17" t="str">
            <v>B1</v>
          </cell>
          <cell r="L17">
            <v>10</v>
          </cell>
          <cell r="M17">
            <v>20</v>
          </cell>
          <cell r="N17">
            <v>42</v>
          </cell>
          <cell r="O17">
            <v>72</v>
          </cell>
          <cell r="P17">
            <v>72</v>
          </cell>
          <cell r="Q17" t="str">
            <v>B1</v>
          </cell>
          <cell r="R17">
            <v>10</v>
          </cell>
          <cell r="S17">
            <v>10</v>
          </cell>
          <cell r="T17">
            <v>45</v>
          </cell>
          <cell r="U17">
            <v>65</v>
          </cell>
          <cell r="V17">
            <v>65</v>
          </cell>
          <cell r="W17" t="str">
            <v>B2</v>
          </cell>
          <cell r="X17" t="str">
            <v/>
          </cell>
          <cell r="Y17" t="str">
            <v/>
          </cell>
          <cell r="Z17" t="str">
            <v/>
          </cell>
          <cell r="AA17">
            <v>0</v>
          </cell>
          <cell r="AB17">
            <v>0</v>
          </cell>
          <cell r="AC17" t="str">
            <v>-</v>
          </cell>
          <cell r="AD17">
            <v>20</v>
          </cell>
          <cell r="AE17">
            <v>20</v>
          </cell>
          <cell r="AF17">
            <v>45</v>
          </cell>
          <cell r="AG17">
            <v>85</v>
          </cell>
          <cell r="AH17">
            <v>85</v>
          </cell>
          <cell r="AI17" t="str">
            <v>A</v>
          </cell>
          <cell r="AJ17">
            <v>20</v>
          </cell>
          <cell r="AK17">
            <v>20</v>
          </cell>
          <cell r="AL17">
            <v>41</v>
          </cell>
          <cell r="AM17">
            <v>81</v>
          </cell>
          <cell r="AN17">
            <v>81</v>
          </cell>
          <cell r="AO17" t="str">
            <v>A</v>
          </cell>
          <cell r="AP17">
            <v>18</v>
          </cell>
          <cell r="AQ17">
            <v>20</v>
          </cell>
          <cell r="AR17">
            <v>51</v>
          </cell>
          <cell r="AS17">
            <v>89</v>
          </cell>
          <cell r="AT17">
            <v>89</v>
          </cell>
          <cell r="AU17" t="str">
            <v>A</v>
          </cell>
          <cell r="AV17" t="str">
            <v/>
          </cell>
          <cell r="AW17" t="str">
            <v/>
          </cell>
          <cell r="AX17" t="str">
            <v/>
          </cell>
          <cell r="AY17">
            <v>0</v>
          </cell>
          <cell r="AZ17">
            <v>0</v>
          </cell>
          <cell r="BA17" t="str">
            <v>-</v>
          </cell>
          <cell r="BB17" t="str">
            <v/>
          </cell>
          <cell r="BC17" t="str">
            <v/>
          </cell>
          <cell r="BD17" t="str">
            <v/>
          </cell>
          <cell r="BE17">
            <v>0</v>
          </cell>
          <cell r="BF17">
            <v>0</v>
          </cell>
          <cell r="BG17" t="str">
            <v>-</v>
          </cell>
          <cell r="BH17">
            <v>12</v>
          </cell>
          <cell r="BI17">
            <v>20</v>
          </cell>
          <cell r="BJ17">
            <v>53</v>
          </cell>
          <cell r="BK17">
            <v>85</v>
          </cell>
          <cell r="BL17">
            <v>85</v>
          </cell>
          <cell r="BM17" t="str">
            <v>A</v>
          </cell>
          <cell r="BN17" t="str">
            <v/>
          </cell>
          <cell r="BO17" t="str">
            <v/>
          </cell>
          <cell r="BP17" t="str">
            <v/>
          </cell>
          <cell r="BQ17">
            <v>0</v>
          </cell>
          <cell r="BR17">
            <v>0</v>
          </cell>
          <cell r="BS17" t="str">
            <v>-</v>
          </cell>
          <cell r="BT17">
            <v>20</v>
          </cell>
          <cell r="BU17">
            <v>20</v>
          </cell>
          <cell r="BV17">
            <v>48</v>
          </cell>
          <cell r="BW17">
            <v>88</v>
          </cell>
          <cell r="BX17">
            <v>88</v>
          </cell>
          <cell r="BY17" t="str">
            <v>A</v>
          </cell>
          <cell r="BZ17">
            <v>15</v>
          </cell>
          <cell r="CA17">
            <v>20</v>
          </cell>
          <cell r="CB17">
            <v>48</v>
          </cell>
          <cell r="CC17">
            <v>83</v>
          </cell>
          <cell r="CD17">
            <v>83</v>
          </cell>
          <cell r="CE17" t="str">
            <v>A</v>
          </cell>
          <cell r="CF17" t="str">
            <v/>
          </cell>
          <cell r="CG17" t="str">
            <v/>
          </cell>
          <cell r="CH17" t="str">
            <v/>
          </cell>
          <cell r="CI17" t="str">
            <v/>
          </cell>
          <cell r="CJ17" t="str">
            <v/>
          </cell>
          <cell r="CK17" t="str">
            <v/>
          </cell>
          <cell r="CL17">
            <v>726</v>
          </cell>
          <cell r="CM17">
            <v>726</v>
          </cell>
          <cell r="CN17">
            <v>0.80666666666666675</v>
          </cell>
          <cell r="CO17" t="str">
            <v>3rd</v>
          </cell>
          <cell r="CP17">
            <v>78</v>
          </cell>
          <cell r="CQ17">
            <v>41</v>
          </cell>
          <cell r="CR17">
            <v>87</v>
          </cell>
          <cell r="CS17" t="str">
            <v>12th</v>
          </cell>
          <cell r="CT17">
            <v>72</v>
          </cell>
          <cell r="CU17">
            <v>35</v>
          </cell>
          <cell r="CV17">
            <v>74</v>
          </cell>
          <cell r="CW17" t="str">
            <v>3rd</v>
          </cell>
          <cell r="CX17">
            <v>65</v>
          </cell>
          <cell r="CY17">
            <v>59</v>
          </cell>
          <cell r="CZ17">
            <v>97</v>
          </cell>
          <cell r="DA17" t="str">
            <v>24th</v>
          </cell>
          <cell r="DB17">
            <v>0</v>
          </cell>
          <cell r="DC17">
            <v>0</v>
          </cell>
          <cell r="DD17">
            <v>0</v>
          </cell>
          <cell r="DE17" t="str">
            <v>NILL</v>
          </cell>
          <cell r="DF17">
            <v>85</v>
          </cell>
          <cell r="DG17">
            <v>33</v>
          </cell>
          <cell r="DH17">
            <v>87</v>
          </cell>
          <cell r="DI17" t="str">
            <v>3rd</v>
          </cell>
          <cell r="DJ17">
            <v>81</v>
          </cell>
          <cell r="DK17">
            <v>29</v>
          </cell>
          <cell r="DL17">
            <v>88</v>
          </cell>
          <cell r="DM17" t="str">
            <v>10th</v>
          </cell>
          <cell r="DN17">
            <v>89</v>
          </cell>
          <cell r="DO17">
            <v>35</v>
          </cell>
          <cell r="DP17">
            <v>92</v>
          </cell>
          <cell r="DQ17" t="str">
            <v>3rd</v>
          </cell>
          <cell r="DR17">
            <v>0</v>
          </cell>
          <cell r="DS17">
            <v>0</v>
          </cell>
          <cell r="DT17">
            <v>81</v>
          </cell>
          <cell r="DU17" t="str">
            <v>NILL</v>
          </cell>
          <cell r="DV17">
            <v>0</v>
          </cell>
          <cell r="DW17">
            <v>0</v>
          </cell>
          <cell r="DX17">
            <v>0</v>
          </cell>
          <cell r="DY17" t="str">
            <v>NILL</v>
          </cell>
          <cell r="DZ17">
            <v>85</v>
          </cell>
          <cell r="EA17">
            <v>0</v>
          </cell>
          <cell r="EB17">
            <v>86</v>
          </cell>
          <cell r="EC17" t="str">
            <v>2nd</v>
          </cell>
          <cell r="ED17">
            <v>0</v>
          </cell>
          <cell r="EE17">
            <v>0</v>
          </cell>
          <cell r="EF17">
            <v>7</v>
          </cell>
          <cell r="EG17" t="str">
            <v>NILL</v>
          </cell>
          <cell r="EH17">
            <v>88</v>
          </cell>
          <cell r="EI17">
            <v>0</v>
          </cell>
          <cell r="EJ17">
            <v>89</v>
          </cell>
          <cell r="EK17" t="str">
            <v>2nd</v>
          </cell>
          <cell r="EL17">
            <v>83</v>
          </cell>
          <cell r="EM17">
            <v>0</v>
          </cell>
          <cell r="EN17">
            <v>91</v>
          </cell>
          <cell r="EO17" t="str">
            <v>3rd</v>
          </cell>
          <cell r="EP17" t="str">
            <v/>
          </cell>
          <cell r="EQ17">
            <v>0</v>
          </cell>
          <cell r="ER17">
            <v>0</v>
          </cell>
          <cell r="ES17" t="e">
            <v>#VALUE!</v>
          </cell>
        </row>
        <row r="18">
          <cell r="A18" t="str">
            <v>BDS/21/018</v>
          </cell>
          <cell r="B18" t="str">
            <v>JOHN CHIAMAKA MARYJANE</v>
          </cell>
          <cell r="C18" t="str">
            <v>FEMALE</v>
          </cell>
          <cell r="D18">
            <v>40733</v>
          </cell>
          <cell r="E18" t="str">
            <v>DEBATE</v>
          </cell>
          <cell r="F18">
            <v>15</v>
          </cell>
          <cell r="G18">
            <v>15</v>
          </cell>
          <cell r="H18">
            <v>51</v>
          </cell>
          <cell r="I18">
            <v>81</v>
          </cell>
          <cell r="J18">
            <v>81</v>
          </cell>
          <cell r="K18" t="str">
            <v>A</v>
          </cell>
          <cell r="L18">
            <v>10</v>
          </cell>
          <cell r="M18">
            <v>20</v>
          </cell>
          <cell r="N18">
            <v>30</v>
          </cell>
          <cell r="O18">
            <v>60</v>
          </cell>
          <cell r="P18">
            <v>60</v>
          </cell>
          <cell r="Q18" t="str">
            <v>C4</v>
          </cell>
          <cell r="R18">
            <v>10</v>
          </cell>
          <cell r="S18">
            <v>9</v>
          </cell>
          <cell r="T18">
            <v>46</v>
          </cell>
          <cell r="U18">
            <v>65</v>
          </cell>
          <cell r="V18">
            <v>65</v>
          </cell>
          <cell r="W18" t="str">
            <v>B2</v>
          </cell>
          <cell r="X18" t="str">
            <v/>
          </cell>
          <cell r="Y18" t="str">
            <v/>
          </cell>
          <cell r="Z18" t="str">
            <v/>
          </cell>
          <cell r="AA18">
            <v>0</v>
          </cell>
          <cell r="AB18">
            <v>0</v>
          </cell>
          <cell r="AC18" t="str">
            <v>-</v>
          </cell>
          <cell r="AD18">
            <v>20</v>
          </cell>
          <cell r="AE18">
            <v>20</v>
          </cell>
          <cell r="AF18">
            <v>36</v>
          </cell>
          <cell r="AG18">
            <v>76</v>
          </cell>
          <cell r="AH18">
            <v>76</v>
          </cell>
          <cell r="AI18" t="str">
            <v>B1</v>
          </cell>
          <cell r="AJ18">
            <v>20</v>
          </cell>
          <cell r="AK18">
            <v>20</v>
          </cell>
          <cell r="AL18">
            <v>34</v>
          </cell>
          <cell r="AM18">
            <v>74</v>
          </cell>
          <cell r="AN18">
            <v>74</v>
          </cell>
          <cell r="AO18" t="str">
            <v>B1</v>
          </cell>
          <cell r="AP18">
            <v>20</v>
          </cell>
          <cell r="AQ18">
            <v>18</v>
          </cell>
          <cell r="AR18">
            <v>54</v>
          </cell>
          <cell r="AS18">
            <v>92</v>
          </cell>
          <cell r="AT18">
            <v>92</v>
          </cell>
          <cell r="AU18" t="str">
            <v>A</v>
          </cell>
          <cell r="AV18" t="str">
            <v/>
          </cell>
          <cell r="AW18" t="str">
            <v/>
          </cell>
          <cell r="AX18" t="str">
            <v/>
          </cell>
          <cell r="AY18">
            <v>0</v>
          </cell>
          <cell r="AZ18">
            <v>0</v>
          </cell>
          <cell r="BA18" t="str">
            <v>-</v>
          </cell>
          <cell r="BB18" t="str">
            <v/>
          </cell>
          <cell r="BC18" t="str">
            <v/>
          </cell>
          <cell r="BD18" t="str">
            <v/>
          </cell>
          <cell r="BE18">
            <v>0</v>
          </cell>
          <cell r="BF18">
            <v>0</v>
          </cell>
          <cell r="BG18" t="str">
            <v>-</v>
          </cell>
          <cell r="BH18">
            <v>14</v>
          </cell>
          <cell r="BI18">
            <v>20</v>
          </cell>
          <cell r="BJ18">
            <v>51</v>
          </cell>
          <cell r="BK18">
            <v>85</v>
          </cell>
          <cell r="BL18">
            <v>85</v>
          </cell>
          <cell r="BM18" t="str">
            <v>A</v>
          </cell>
          <cell r="BN18" t="str">
            <v/>
          </cell>
          <cell r="BO18" t="str">
            <v/>
          </cell>
          <cell r="BP18" t="str">
            <v/>
          </cell>
          <cell r="BQ18">
            <v>0</v>
          </cell>
          <cell r="BR18">
            <v>0</v>
          </cell>
          <cell r="BS18" t="str">
            <v>-</v>
          </cell>
          <cell r="BT18">
            <v>20</v>
          </cell>
          <cell r="BU18" t="str">
            <v/>
          </cell>
          <cell r="BV18">
            <v>30</v>
          </cell>
          <cell r="BW18">
            <v>50</v>
          </cell>
          <cell r="BX18">
            <v>50</v>
          </cell>
          <cell r="BY18" t="str">
            <v>C5</v>
          </cell>
          <cell r="BZ18">
            <v>10</v>
          </cell>
          <cell r="CA18">
            <v>20</v>
          </cell>
          <cell r="CB18">
            <v>29</v>
          </cell>
          <cell r="CC18">
            <v>59</v>
          </cell>
          <cell r="CD18">
            <v>59</v>
          </cell>
          <cell r="CE18" t="str">
            <v>C4</v>
          </cell>
          <cell r="CF18" t="str">
            <v/>
          </cell>
          <cell r="CG18" t="str">
            <v/>
          </cell>
          <cell r="CH18" t="str">
            <v/>
          </cell>
          <cell r="CI18" t="str">
            <v/>
          </cell>
          <cell r="CJ18" t="str">
            <v/>
          </cell>
          <cell r="CK18" t="str">
            <v/>
          </cell>
          <cell r="CL18">
            <v>642</v>
          </cell>
          <cell r="CM18">
            <v>642</v>
          </cell>
          <cell r="CN18">
            <v>0.71333333333333326</v>
          </cell>
          <cell r="CO18" t="str">
            <v>12th</v>
          </cell>
          <cell r="CP18">
            <v>81</v>
          </cell>
          <cell r="CQ18">
            <v>41</v>
          </cell>
          <cell r="CR18">
            <v>87</v>
          </cell>
          <cell r="CS18" t="str">
            <v>5th</v>
          </cell>
          <cell r="CT18">
            <v>60</v>
          </cell>
          <cell r="CU18">
            <v>35</v>
          </cell>
          <cell r="CV18">
            <v>74</v>
          </cell>
          <cell r="CW18" t="str">
            <v>8th</v>
          </cell>
          <cell r="CX18">
            <v>65</v>
          </cell>
          <cell r="CY18">
            <v>59</v>
          </cell>
          <cell r="CZ18">
            <v>97</v>
          </cell>
          <cell r="DA18" t="str">
            <v>24th</v>
          </cell>
          <cell r="DB18">
            <v>0</v>
          </cell>
          <cell r="DC18">
            <v>0</v>
          </cell>
          <cell r="DD18">
            <v>0</v>
          </cell>
          <cell r="DE18" t="str">
            <v>NILL</v>
          </cell>
          <cell r="DF18">
            <v>76</v>
          </cell>
          <cell r="DG18">
            <v>33</v>
          </cell>
          <cell r="DH18">
            <v>87</v>
          </cell>
          <cell r="DI18" t="str">
            <v>16th</v>
          </cell>
          <cell r="DJ18">
            <v>74</v>
          </cell>
          <cell r="DK18">
            <v>29</v>
          </cell>
          <cell r="DL18">
            <v>88</v>
          </cell>
          <cell r="DM18" t="str">
            <v>14th</v>
          </cell>
          <cell r="DN18">
            <v>92</v>
          </cell>
          <cell r="DO18">
            <v>35</v>
          </cell>
          <cell r="DP18">
            <v>92</v>
          </cell>
          <cell r="DQ18" t="str">
            <v>1st</v>
          </cell>
          <cell r="DR18">
            <v>0</v>
          </cell>
          <cell r="DS18">
            <v>0</v>
          </cell>
          <cell r="DT18">
            <v>81</v>
          </cell>
          <cell r="DU18" t="str">
            <v>NILL</v>
          </cell>
          <cell r="DV18">
            <v>0</v>
          </cell>
          <cell r="DW18">
            <v>0</v>
          </cell>
          <cell r="DX18">
            <v>0</v>
          </cell>
          <cell r="DY18" t="str">
            <v>NILL</v>
          </cell>
          <cell r="DZ18">
            <v>85</v>
          </cell>
          <cell r="EA18">
            <v>0</v>
          </cell>
          <cell r="EB18">
            <v>86</v>
          </cell>
          <cell r="EC18" t="str">
            <v>2nd</v>
          </cell>
          <cell r="ED18">
            <v>0</v>
          </cell>
          <cell r="EE18">
            <v>0</v>
          </cell>
          <cell r="EF18">
            <v>8</v>
          </cell>
          <cell r="EG18" t="str">
            <v>NILL</v>
          </cell>
          <cell r="EH18">
            <v>50</v>
          </cell>
          <cell r="EI18">
            <v>0</v>
          </cell>
          <cell r="EJ18">
            <v>89</v>
          </cell>
          <cell r="EK18" t="str">
            <v>16th</v>
          </cell>
          <cell r="EL18">
            <v>59</v>
          </cell>
          <cell r="EM18">
            <v>0</v>
          </cell>
          <cell r="EN18">
            <v>91</v>
          </cell>
          <cell r="EO18" t="str">
            <v>11th</v>
          </cell>
          <cell r="EP18" t="str">
            <v/>
          </cell>
          <cell r="EQ18">
            <v>0</v>
          </cell>
          <cell r="ER18">
            <v>0</v>
          </cell>
          <cell r="ES18" t="e">
            <v>#VALUE!</v>
          </cell>
        </row>
        <row r="19">
          <cell r="A19" t="str">
            <v>BDS/21/020</v>
          </cell>
          <cell r="B19" t="str">
            <v>JONATHAN CHIDIEBUBE ANTHONY</v>
          </cell>
          <cell r="C19" t="str">
            <v>MALE</v>
          </cell>
          <cell r="D19" t="str">
            <v>13/06/2011</v>
          </cell>
          <cell r="E19" t="str">
            <v>DEBATE</v>
          </cell>
          <cell r="F19">
            <v>15</v>
          </cell>
          <cell r="G19">
            <v>15</v>
          </cell>
          <cell r="H19">
            <v>49</v>
          </cell>
          <cell r="I19">
            <v>79</v>
          </cell>
          <cell r="J19">
            <v>79</v>
          </cell>
          <cell r="K19" t="str">
            <v>B1</v>
          </cell>
          <cell r="L19">
            <v>10</v>
          </cell>
          <cell r="M19">
            <v>20</v>
          </cell>
          <cell r="N19">
            <v>42</v>
          </cell>
          <cell r="O19">
            <v>72</v>
          </cell>
          <cell r="P19">
            <v>72</v>
          </cell>
          <cell r="Q19" t="str">
            <v>B1</v>
          </cell>
          <cell r="R19">
            <v>20</v>
          </cell>
          <cell r="S19">
            <v>18</v>
          </cell>
          <cell r="T19">
            <v>52</v>
          </cell>
          <cell r="U19">
            <v>90</v>
          </cell>
          <cell r="V19">
            <v>90</v>
          </cell>
          <cell r="W19" t="str">
            <v>A</v>
          </cell>
          <cell r="X19" t="str">
            <v/>
          </cell>
          <cell r="Y19" t="str">
            <v/>
          </cell>
          <cell r="Z19" t="str">
            <v/>
          </cell>
          <cell r="AA19">
            <v>0</v>
          </cell>
          <cell r="AB19">
            <v>0</v>
          </cell>
          <cell r="AC19" t="str">
            <v>-</v>
          </cell>
          <cell r="AD19">
            <v>11</v>
          </cell>
          <cell r="AE19">
            <v>11</v>
          </cell>
          <cell r="AF19">
            <v>47</v>
          </cell>
          <cell r="AG19">
            <v>69</v>
          </cell>
          <cell r="AH19">
            <v>69</v>
          </cell>
          <cell r="AI19" t="str">
            <v>B2</v>
          </cell>
          <cell r="AJ19">
            <v>20</v>
          </cell>
          <cell r="AK19">
            <v>20</v>
          </cell>
          <cell r="AL19">
            <v>39</v>
          </cell>
          <cell r="AM19">
            <v>79</v>
          </cell>
          <cell r="AN19">
            <v>79</v>
          </cell>
          <cell r="AO19" t="str">
            <v>B1</v>
          </cell>
          <cell r="AP19">
            <v>18</v>
          </cell>
          <cell r="AQ19">
            <v>20</v>
          </cell>
          <cell r="AR19">
            <v>53</v>
          </cell>
          <cell r="AS19">
            <v>91</v>
          </cell>
          <cell r="AT19">
            <v>91</v>
          </cell>
          <cell r="AU19" t="str">
            <v>A</v>
          </cell>
          <cell r="AV19">
            <v>17</v>
          </cell>
          <cell r="AW19">
            <v>20</v>
          </cell>
          <cell r="AX19">
            <v>34</v>
          </cell>
          <cell r="AY19">
            <v>71</v>
          </cell>
          <cell r="AZ19">
            <v>71</v>
          </cell>
          <cell r="BA19" t="str">
            <v>B1</v>
          </cell>
          <cell r="BB19" t="str">
            <v/>
          </cell>
          <cell r="BC19" t="str">
            <v/>
          </cell>
          <cell r="BD19" t="str">
            <v/>
          </cell>
          <cell r="BE19">
            <v>0</v>
          </cell>
          <cell r="BF19">
            <v>0</v>
          </cell>
          <cell r="BG19" t="str">
            <v>-</v>
          </cell>
          <cell r="BH19">
            <v>15</v>
          </cell>
          <cell r="BI19">
            <v>20</v>
          </cell>
          <cell r="BJ19">
            <v>45</v>
          </cell>
          <cell r="BK19">
            <v>80</v>
          </cell>
          <cell r="BL19">
            <v>80</v>
          </cell>
          <cell r="BM19" t="str">
            <v>B1</v>
          </cell>
          <cell r="BN19" t="str">
            <v/>
          </cell>
          <cell r="BO19" t="str">
            <v/>
          </cell>
          <cell r="BP19" t="str">
            <v/>
          </cell>
          <cell r="BQ19">
            <v>0</v>
          </cell>
          <cell r="BR19">
            <v>0</v>
          </cell>
          <cell r="BS19" t="str">
            <v>-</v>
          </cell>
          <cell r="BT19">
            <v>18</v>
          </cell>
          <cell r="BU19">
            <v>20</v>
          </cell>
          <cell r="BV19">
            <v>46</v>
          </cell>
          <cell r="BW19">
            <v>84</v>
          </cell>
          <cell r="BX19">
            <v>84</v>
          </cell>
          <cell r="BY19" t="str">
            <v>A</v>
          </cell>
          <cell r="BZ19">
            <v>15</v>
          </cell>
          <cell r="CA19">
            <v>20</v>
          </cell>
          <cell r="CB19">
            <v>56</v>
          </cell>
          <cell r="CC19">
            <v>91</v>
          </cell>
          <cell r="CD19">
            <v>91</v>
          </cell>
          <cell r="CE19" t="str">
            <v>A</v>
          </cell>
          <cell r="CF19" t="str">
            <v/>
          </cell>
          <cell r="CG19" t="str">
            <v/>
          </cell>
          <cell r="CH19" t="str">
            <v/>
          </cell>
          <cell r="CI19" t="str">
            <v/>
          </cell>
          <cell r="CJ19" t="str">
            <v/>
          </cell>
          <cell r="CK19" t="str">
            <v/>
          </cell>
          <cell r="CL19">
            <v>806</v>
          </cell>
          <cell r="CM19">
            <v>806</v>
          </cell>
          <cell r="CN19">
            <v>0.89555555555555555</v>
          </cell>
          <cell r="CO19" t="str">
            <v>1st</v>
          </cell>
          <cell r="CP19">
            <v>79</v>
          </cell>
          <cell r="CQ19">
            <v>41</v>
          </cell>
          <cell r="CR19">
            <v>87</v>
          </cell>
          <cell r="CS19" t="str">
            <v>10th</v>
          </cell>
          <cell r="CT19">
            <v>72</v>
          </cell>
          <cell r="CU19">
            <v>35</v>
          </cell>
          <cell r="CV19">
            <v>74</v>
          </cell>
          <cell r="CW19" t="str">
            <v>3rd</v>
          </cell>
          <cell r="CX19">
            <v>90</v>
          </cell>
          <cell r="CY19">
            <v>59</v>
          </cell>
          <cell r="CZ19">
            <v>97</v>
          </cell>
          <cell r="DA19" t="str">
            <v>4th</v>
          </cell>
          <cell r="DB19">
            <v>0</v>
          </cell>
          <cell r="DC19">
            <v>0</v>
          </cell>
          <cell r="DD19">
            <v>0</v>
          </cell>
          <cell r="DE19" t="str">
            <v>NILL</v>
          </cell>
          <cell r="DF19">
            <v>69</v>
          </cell>
          <cell r="DG19">
            <v>33</v>
          </cell>
          <cell r="DH19">
            <v>87</v>
          </cell>
          <cell r="DI19" t="str">
            <v>23rd</v>
          </cell>
          <cell r="DJ19">
            <v>79</v>
          </cell>
          <cell r="DK19">
            <v>29</v>
          </cell>
          <cell r="DL19">
            <v>88</v>
          </cell>
          <cell r="DM19" t="str">
            <v>13th</v>
          </cell>
          <cell r="DN19">
            <v>91</v>
          </cell>
          <cell r="DO19">
            <v>35</v>
          </cell>
          <cell r="DP19">
            <v>92</v>
          </cell>
          <cell r="DQ19" t="str">
            <v>2nd</v>
          </cell>
          <cell r="DR19">
            <v>71</v>
          </cell>
          <cell r="DS19">
            <v>0</v>
          </cell>
          <cell r="DT19">
            <v>81</v>
          </cell>
          <cell r="DU19" t="str">
            <v>6th</v>
          </cell>
          <cell r="DV19">
            <v>0</v>
          </cell>
          <cell r="DW19">
            <v>0</v>
          </cell>
          <cell r="DX19">
            <v>0</v>
          </cell>
          <cell r="DY19" t="str">
            <v>NILL</v>
          </cell>
          <cell r="DZ19">
            <v>80</v>
          </cell>
          <cell r="EA19">
            <v>0</v>
          </cell>
          <cell r="EB19">
            <v>86</v>
          </cell>
          <cell r="EC19" t="str">
            <v>8th</v>
          </cell>
          <cell r="ED19">
            <v>0</v>
          </cell>
          <cell r="EE19">
            <v>0</v>
          </cell>
          <cell r="EF19">
            <v>9</v>
          </cell>
          <cell r="EG19" t="str">
            <v>NILL</v>
          </cell>
          <cell r="EH19">
            <v>84</v>
          </cell>
          <cell r="EI19">
            <v>0</v>
          </cell>
          <cell r="EJ19">
            <v>89</v>
          </cell>
          <cell r="EK19" t="str">
            <v>4th</v>
          </cell>
          <cell r="EL19">
            <v>91</v>
          </cell>
          <cell r="EM19">
            <v>0</v>
          </cell>
          <cell r="EN19">
            <v>91</v>
          </cell>
          <cell r="EO19" t="str">
            <v>1st</v>
          </cell>
          <cell r="EP19" t="str">
            <v/>
          </cell>
          <cell r="EQ19">
            <v>0</v>
          </cell>
          <cell r="ER19">
            <v>0</v>
          </cell>
          <cell r="ES19" t="e">
            <v>#VALUE!</v>
          </cell>
        </row>
        <row r="20">
          <cell r="A20" t="str">
            <v>BDS/21/021</v>
          </cell>
          <cell r="B20" t="str">
            <v>KANU FAVOUR AKUDO</v>
          </cell>
          <cell r="C20" t="str">
            <v>FEMALE</v>
          </cell>
          <cell r="D20" t="str">
            <v>15/04/2011</v>
          </cell>
          <cell r="E20" t="str">
            <v>DANCING</v>
          </cell>
          <cell r="F20">
            <v>15</v>
          </cell>
          <cell r="G20">
            <v>15</v>
          </cell>
          <cell r="H20">
            <v>40</v>
          </cell>
          <cell r="I20">
            <v>70</v>
          </cell>
          <cell r="J20">
            <v>70</v>
          </cell>
          <cell r="K20" t="str">
            <v>B2</v>
          </cell>
          <cell r="L20">
            <v>6</v>
          </cell>
          <cell r="M20">
            <v>20</v>
          </cell>
          <cell r="N20">
            <v>29</v>
          </cell>
          <cell r="O20">
            <v>55</v>
          </cell>
          <cell r="P20">
            <v>55.000000000000007</v>
          </cell>
          <cell r="Q20" t="str">
            <v>C4</v>
          </cell>
          <cell r="R20">
            <v>20</v>
          </cell>
          <cell r="S20">
            <v>19</v>
          </cell>
          <cell r="T20">
            <v>46</v>
          </cell>
          <cell r="U20">
            <v>85</v>
          </cell>
          <cell r="V20">
            <v>85</v>
          </cell>
          <cell r="W20" t="str">
            <v>A</v>
          </cell>
          <cell r="X20" t="str">
            <v/>
          </cell>
          <cell r="Y20" t="str">
            <v/>
          </cell>
          <cell r="Z20" t="str">
            <v/>
          </cell>
          <cell r="AA20">
            <v>0</v>
          </cell>
          <cell r="AB20">
            <v>0</v>
          </cell>
          <cell r="AC20" t="str">
            <v>-</v>
          </cell>
          <cell r="AD20" t="str">
            <v/>
          </cell>
          <cell r="AE20" t="str">
            <v/>
          </cell>
          <cell r="AF20">
            <v>33</v>
          </cell>
          <cell r="AG20">
            <v>33</v>
          </cell>
          <cell r="AH20">
            <v>33</v>
          </cell>
          <cell r="AI20" t="str">
            <v>F9</v>
          </cell>
          <cell r="AJ20">
            <v>20</v>
          </cell>
          <cell r="AK20">
            <v>20</v>
          </cell>
          <cell r="AL20">
            <v>26</v>
          </cell>
          <cell r="AM20">
            <v>66</v>
          </cell>
          <cell r="AN20">
            <v>66</v>
          </cell>
          <cell r="AO20" t="str">
            <v>B2</v>
          </cell>
          <cell r="AP20">
            <v>15</v>
          </cell>
          <cell r="AQ20">
            <v>20</v>
          </cell>
          <cell r="AR20">
            <v>44</v>
          </cell>
          <cell r="AS20">
            <v>79</v>
          </cell>
          <cell r="AT20">
            <v>79</v>
          </cell>
          <cell r="AU20" t="str">
            <v>B1</v>
          </cell>
          <cell r="AV20">
            <v>17</v>
          </cell>
          <cell r="AW20">
            <v>10</v>
          </cell>
          <cell r="AX20">
            <v>16</v>
          </cell>
          <cell r="AY20">
            <v>43</v>
          </cell>
          <cell r="AZ20">
            <v>43</v>
          </cell>
          <cell r="BA20" t="str">
            <v>D</v>
          </cell>
          <cell r="BB20" t="str">
            <v/>
          </cell>
          <cell r="BC20" t="str">
            <v/>
          </cell>
          <cell r="BD20" t="str">
            <v/>
          </cell>
          <cell r="BE20">
            <v>0</v>
          </cell>
          <cell r="BF20">
            <v>0</v>
          </cell>
          <cell r="BG20" t="str">
            <v>-</v>
          </cell>
          <cell r="BH20" t="str">
            <v/>
          </cell>
          <cell r="BI20" t="str">
            <v/>
          </cell>
          <cell r="BJ20" t="str">
            <v/>
          </cell>
          <cell r="BK20">
            <v>0</v>
          </cell>
          <cell r="BL20">
            <v>0</v>
          </cell>
          <cell r="BM20" t="str">
            <v>-</v>
          </cell>
          <cell r="BN20">
            <v>18</v>
          </cell>
          <cell r="BO20">
            <v>18</v>
          </cell>
          <cell r="BP20">
            <v>21</v>
          </cell>
          <cell r="BQ20">
            <v>57</v>
          </cell>
          <cell r="BR20">
            <v>56.999999999999993</v>
          </cell>
          <cell r="BS20" t="str">
            <v>C4</v>
          </cell>
          <cell r="BT20" t="str">
            <v/>
          </cell>
          <cell r="BU20" t="str">
            <v/>
          </cell>
          <cell r="BV20" t="str">
            <v/>
          </cell>
          <cell r="BW20">
            <v>0</v>
          </cell>
          <cell r="BX20">
            <v>0</v>
          </cell>
          <cell r="BY20" t="str">
            <v>-</v>
          </cell>
          <cell r="BZ20">
            <v>15</v>
          </cell>
          <cell r="CA20">
            <v>19</v>
          </cell>
          <cell r="CB20">
            <v>19</v>
          </cell>
          <cell r="CC20">
            <v>53</v>
          </cell>
          <cell r="CD20">
            <v>53</v>
          </cell>
          <cell r="CE20" t="str">
            <v>C4</v>
          </cell>
          <cell r="CF20" t="str">
            <v/>
          </cell>
          <cell r="CG20" t="str">
            <v/>
          </cell>
          <cell r="CH20" t="str">
            <v/>
          </cell>
          <cell r="CI20" t="str">
            <v/>
          </cell>
          <cell r="CJ20" t="str">
            <v/>
          </cell>
          <cell r="CK20" t="str">
            <v/>
          </cell>
          <cell r="CL20">
            <v>541</v>
          </cell>
          <cell r="CM20">
            <v>541</v>
          </cell>
          <cell r="CN20">
            <v>0.60111111111111115</v>
          </cell>
          <cell r="CO20" t="str">
            <v>23rd</v>
          </cell>
          <cell r="CP20">
            <v>70</v>
          </cell>
          <cell r="CQ20">
            <v>41</v>
          </cell>
          <cell r="CR20">
            <v>87</v>
          </cell>
          <cell r="CS20" t="str">
            <v>17th</v>
          </cell>
          <cell r="CT20">
            <v>55</v>
          </cell>
          <cell r="CU20">
            <v>35</v>
          </cell>
          <cell r="CV20">
            <v>74</v>
          </cell>
          <cell r="CW20" t="str">
            <v>14th</v>
          </cell>
          <cell r="CX20">
            <v>85</v>
          </cell>
          <cell r="CY20">
            <v>59</v>
          </cell>
          <cell r="CZ20">
            <v>97</v>
          </cell>
          <cell r="DA20" t="str">
            <v>8th</v>
          </cell>
          <cell r="DB20">
            <v>0</v>
          </cell>
          <cell r="DC20">
            <v>0</v>
          </cell>
          <cell r="DD20">
            <v>0</v>
          </cell>
          <cell r="DE20" t="str">
            <v>NILL</v>
          </cell>
          <cell r="DF20">
            <v>33</v>
          </cell>
          <cell r="DG20">
            <v>33</v>
          </cell>
          <cell r="DH20">
            <v>87</v>
          </cell>
          <cell r="DI20" t="str">
            <v>32nd</v>
          </cell>
          <cell r="DJ20">
            <v>66</v>
          </cell>
          <cell r="DK20">
            <v>29</v>
          </cell>
          <cell r="DL20">
            <v>88</v>
          </cell>
          <cell r="DM20" t="str">
            <v>21st</v>
          </cell>
          <cell r="DN20">
            <v>79</v>
          </cell>
          <cell r="DO20">
            <v>35</v>
          </cell>
          <cell r="DP20">
            <v>92</v>
          </cell>
          <cell r="DQ20" t="str">
            <v>7th</v>
          </cell>
          <cell r="DR20">
            <v>43</v>
          </cell>
          <cell r="DS20">
            <v>0</v>
          </cell>
          <cell r="DT20">
            <v>81</v>
          </cell>
          <cell r="DU20" t="str">
            <v>23rd</v>
          </cell>
          <cell r="DV20">
            <v>0</v>
          </cell>
          <cell r="DW20">
            <v>0</v>
          </cell>
          <cell r="DX20">
            <v>0</v>
          </cell>
          <cell r="DY20" t="str">
            <v>NILL</v>
          </cell>
          <cell r="DZ20">
            <v>0</v>
          </cell>
          <cell r="EA20">
            <v>0</v>
          </cell>
          <cell r="EB20">
            <v>86</v>
          </cell>
          <cell r="EC20" t="str">
            <v>NILL</v>
          </cell>
          <cell r="ED20">
            <v>57</v>
          </cell>
          <cell r="EE20">
            <v>0</v>
          </cell>
          <cell r="EF20">
            <v>10</v>
          </cell>
          <cell r="EG20" t="str">
            <v>9th</v>
          </cell>
          <cell r="EH20">
            <v>0</v>
          </cell>
          <cell r="EI20">
            <v>0</v>
          </cell>
          <cell r="EJ20">
            <v>89</v>
          </cell>
          <cell r="EK20" t="str">
            <v>NILL</v>
          </cell>
          <cell r="EL20">
            <v>53</v>
          </cell>
          <cell r="EM20">
            <v>0</v>
          </cell>
          <cell r="EN20">
            <v>91</v>
          </cell>
          <cell r="EO20" t="str">
            <v>14th</v>
          </cell>
          <cell r="EP20" t="str">
            <v/>
          </cell>
          <cell r="EQ20">
            <v>0</v>
          </cell>
          <cell r="ER20">
            <v>0</v>
          </cell>
          <cell r="ES20" t="e">
            <v>#VALUE!</v>
          </cell>
        </row>
        <row r="21">
          <cell r="A21" t="str">
            <v>BDS/21/022</v>
          </cell>
          <cell r="B21" t="str">
            <v>KANU GOODLUCK CHIGOZIRIM</v>
          </cell>
          <cell r="C21" t="str">
            <v>MALE</v>
          </cell>
          <cell r="D21" t="str">
            <v>30/05/2010</v>
          </cell>
          <cell r="E21" t="str">
            <v>JET</v>
          </cell>
          <cell r="F21">
            <v>5</v>
          </cell>
          <cell r="G21">
            <v>5</v>
          </cell>
          <cell r="H21">
            <v>43</v>
          </cell>
          <cell r="I21">
            <v>53</v>
          </cell>
          <cell r="J21">
            <v>53</v>
          </cell>
          <cell r="K21" t="str">
            <v>C4</v>
          </cell>
          <cell r="L21">
            <v>0</v>
          </cell>
          <cell r="M21">
            <v>20</v>
          </cell>
          <cell r="N21">
            <v>27</v>
          </cell>
          <cell r="O21">
            <v>47</v>
          </cell>
          <cell r="P21">
            <v>47</v>
          </cell>
          <cell r="Q21" t="str">
            <v>C5</v>
          </cell>
          <cell r="R21">
            <v>20</v>
          </cell>
          <cell r="S21">
            <v>15</v>
          </cell>
          <cell r="T21">
            <v>53</v>
          </cell>
          <cell r="U21">
            <v>88</v>
          </cell>
          <cell r="V21">
            <v>88</v>
          </cell>
          <cell r="W21" t="str">
            <v>A</v>
          </cell>
          <cell r="X21" t="str">
            <v/>
          </cell>
          <cell r="Y21" t="str">
            <v/>
          </cell>
          <cell r="Z21" t="str">
            <v/>
          </cell>
          <cell r="AA21">
            <v>0</v>
          </cell>
          <cell r="AB21">
            <v>0</v>
          </cell>
          <cell r="AC21" t="str">
            <v>-</v>
          </cell>
          <cell r="AD21">
            <v>18</v>
          </cell>
          <cell r="AE21">
            <v>18</v>
          </cell>
          <cell r="AF21">
            <v>43</v>
          </cell>
          <cell r="AG21">
            <v>79</v>
          </cell>
          <cell r="AH21">
            <v>79</v>
          </cell>
          <cell r="AI21" t="str">
            <v>B1</v>
          </cell>
          <cell r="AJ21">
            <v>20</v>
          </cell>
          <cell r="AK21">
            <v>20</v>
          </cell>
          <cell r="AL21">
            <v>40</v>
          </cell>
          <cell r="AM21">
            <v>80</v>
          </cell>
          <cell r="AN21">
            <v>80</v>
          </cell>
          <cell r="AO21" t="str">
            <v>B1</v>
          </cell>
          <cell r="AP21">
            <v>15</v>
          </cell>
          <cell r="AQ21">
            <v>20</v>
          </cell>
          <cell r="AR21">
            <v>10</v>
          </cell>
          <cell r="AS21">
            <v>45</v>
          </cell>
          <cell r="AT21">
            <v>45</v>
          </cell>
          <cell r="AU21" t="str">
            <v>D</v>
          </cell>
          <cell r="AV21">
            <v>18</v>
          </cell>
          <cell r="AW21">
            <v>10</v>
          </cell>
          <cell r="AX21">
            <v>12</v>
          </cell>
          <cell r="AY21">
            <v>40</v>
          </cell>
          <cell r="AZ21">
            <v>40</v>
          </cell>
          <cell r="BA21" t="str">
            <v>E8</v>
          </cell>
          <cell r="BB21" t="str">
            <v/>
          </cell>
          <cell r="BC21" t="str">
            <v/>
          </cell>
          <cell r="BD21" t="str">
            <v/>
          </cell>
          <cell r="BE21">
            <v>0</v>
          </cell>
          <cell r="BF21">
            <v>0</v>
          </cell>
          <cell r="BG21" t="str">
            <v>-</v>
          </cell>
          <cell r="BH21" t="str">
            <v/>
          </cell>
          <cell r="BI21">
            <v>20</v>
          </cell>
          <cell r="BJ21">
            <v>41</v>
          </cell>
          <cell r="BK21">
            <v>61</v>
          </cell>
          <cell r="BL21">
            <v>61</v>
          </cell>
          <cell r="BM21" t="str">
            <v>B2</v>
          </cell>
          <cell r="BN21" t="str">
            <v/>
          </cell>
          <cell r="BO21" t="str">
            <v/>
          </cell>
          <cell r="BP21" t="str">
            <v/>
          </cell>
          <cell r="BQ21">
            <v>0</v>
          </cell>
          <cell r="BR21">
            <v>0</v>
          </cell>
          <cell r="BS21" t="str">
            <v>-</v>
          </cell>
          <cell r="BT21" t="str">
            <v/>
          </cell>
          <cell r="BU21" t="str">
            <v/>
          </cell>
          <cell r="BV21" t="str">
            <v/>
          </cell>
          <cell r="BW21">
            <v>0</v>
          </cell>
          <cell r="BX21">
            <v>0</v>
          </cell>
          <cell r="BY21" t="str">
            <v>-</v>
          </cell>
          <cell r="BZ21" t="str">
            <v/>
          </cell>
          <cell r="CA21" t="str">
            <v/>
          </cell>
          <cell r="CB21">
            <v>38</v>
          </cell>
          <cell r="CC21">
            <v>38</v>
          </cell>
          <cell r="CD21">
            <v>38</v>
          </cell>
          <cell r="CE21" t="str">
            <v>E8</v>
          </cell>
          <cell r="CF21" t="str">
            <v/>
          </cell>
          <cell r="CG21" t="str">
            <v/>
          </cell>
          <cell r="CH21" t="str">
            <v/>
          </cell>
          <cell r="CI21" t="str">
            <v/>
          </cell>
          <cell r="CJ21" t="str">
            <v/>
          </cell>
          <cell r="CK21" t="str">
            <v/>
          </cell>
          <cell r="CL21">
            <v>531</v>
          </cell>
          <cell r="CM21">
            <v>531</v>
          </cell>
          <cell r="CN21">
            <v>0.59</v>
          </cell>
          <cell r="CO21" t="str">
            <v>25th</v>
          </cell>
          <cell r="CP21">
            <v>53</v>
          </cell>
          <cell r="CQ21">
            <v>41</v>
          </cell>
          <cell r="CR21">
            <v>87</v>
          </cell>
          <cell r="CS21" t="str">
            <v>28th</v>
          </cell>
          <cell r="CT21">
            <v>47</v>
          </cell>
          <cell r="CU21">
            <v>35</v>
          </cell>
          <cell r="CV21">
            <v>74</v>
          </cell>
          <cell r="CW21" t="str">
            <v>24th</v>
          </cell>
          <cell r="CX21">
            <v>88</v>
          </cell>
          <cell r="CY21">
            <v>59</v>
          </cell>
          <cell r="CZ21">
            <v>97</v>
          </cell>
          <cell r="DA21" t="str">
            <v>6th</v>
          </cell>
          <cell r="DB21">
            <v>0</v>
          </cell>
          <cell r="DC21">
            <v>0</v>
          </cell>
          <cell r="DD21">
            <v>0</v>
          </cell>
          <cell r="DE21" t="str">
            <v>NILL</v>
          </cell>
          <cell r="DF21">
            <v>79</v>
          </cell>
          <cell r="DG21">
            <v>33</v>
          </cell>
          <cell r="DH21">
            <v>87</v>
          </cell>
          <cell r="DI21" t="str">
            <v>11th</v>
          </cell>
          <cell r="DJ21">
            <v>80</v>
          </cell>
          <cell r="DK21">
            <v>29</v>
          </cell>
          <cell r="DL21">
            <v>88</v>
          </cell>
          <cell r="DM21" t="str">
            <v>12th</v>
          </cell>
          <cell r="DN21">
            <v>45</v>
          </cell>
          <cell r="DO21">
            <v>35</v>
          </cell>
          <cell r="DP21">
            <v>92</v>
          </cell>
          <cell r="DQ21" t="str">
            <v>28th</v>
          </cell>
          <cell r="DR21">
            <v>40</v>
          </cell>
          <cell r="DS21">
            <v>0</v>
          </cell>
          <cell r="DT21">
            <v>81</v>
          </cell>
          <cell r="DU21" t="str">
            <v>25th</v>
          </cell>
          <cell r="DV21">
            <v>0</v>
          </cell>
          <cell r="DW21">
            <v>0</v>
          </cell>
          <cell r="DX21">
            <v>0</v>
          </cell>
          <cell r="DY21" t="str">
            <v>NILL</v>
          </cell>
          <cell r="DZ21">
            <v>61</v>
          </cell>
          <cell r="EA21">
            <v>0</v>
          </cell>
          <cell r="EB21">
            <v>86</v>
          </cell>
          <cell r="EC21" t="str">
            <v>18th</v>
          </cell>
          <cell r="ED21">
            <v>0</v>
          </cell>
          <cell r="EE21">
            <v>0</v>
          </cell>
          <cell r="EF21">
            <v>11</v>
          </cell>
          <cell r="EG21" t="str">
            <v>NILL</v>
          </cell>
          <cell r="EH21">
            <v>0</v>
          </cell>
          <cell r="EI21">
            <v>0</v>
          </cell>
          <cell r="EJ21">
            <v>89</v>
          </cell>
          <cell r="EK21" t="str">
            <v>NILL</v>
          </cell>
          <cell r="EL21">
            <v>38</v>
          </cell>
          <cell r="EM21">
            <v>0</v>
          </cell>
          <cell r="EN21">
            <v>91</v>
          </cell>
          <cell r="EO21" t="str">
            <v>17th</v>
          </cell>
          <cell r="EP21" t="str">
            <v/>
          </cell>
          <cell r="EQ21">
            <v>0</v>
          </cell>
          <cell r="ER21">
            <v>0</v>
          </cell>
          <cell r="ES21" t="e">
            <v>#VALUE!</v>
          </cell>
        </row>
        <row r="22">
          <cell r="A22" t="str">
            <v>BDS/21/024</v>
          </cell>
          <cell r="B22" t="str">
            <v>NKEMAKOLAM GLORY CHINWEOTITO</v>
          </cell>
          <cell r="C22" t="str">
            <v>FEMALE</v>
          </cell>
          <cell r="D22" t="str">
            <v>21/03/2010</v>
          </cell>
          <cell r="E22" t="str">
            <v xml:space="preserve">SINGING AND DANCING </v>
          </cell>
          <cell r="F22">
            <v>10</v>
          </cell>
          <cell r="G22">
            <v>10</v>
          </cell>
          <cell r="H22">
            <v>37</v>
          </cell>
          <cell r="I22">
            <v>57</v>
          </cell>
          <cell r="J22">
            <v>56.999999999999993</v>
          </cell>
          <cell r="K22" t="str">
            <v>C4</v>
          </cell>
          <cell r="L22">
            <v>0</v>
          </cell>
          <cell r="M22">
            <v>20</v>
          </cell>
          <cell r="N22">
            <v>29</v>
          </cell>
          <cell r="O22">
            <v>49</v>
          </cell>
          <cell r="P22">
            <v>49</v>
          </cell>
          <cell r="Q22" t="str">
            <v>C5</v>
          </cell>
          <cell r="R22">
            <v>10</v>
          </cell>
          <cell r="S22">
            <v>7</v>
          </cell>
          <cell r="T22">
            <v>46</v>
          </cell>
          <cell r="U22">
            <v>63</v>
          </cell>
          <cell r="V22">
            <v>63</v>
          </cell>
          <cell r="W22" t="str">
            <v>B2</v>
          </cell>
          <cell r="X22" t="str">
            <v/>
          </cell>
          <cell r="Y22" t="str">
            <v/>
          </cell>
          <cell r="Z22" t="str">
            <v/>
          </cell>
          <cell r="AA22">
            <v>0</v>
          </cell>
          <cell r="AB22">
            <v>0</v>
          </cell>
          <cell r="AC22" t="str">
            <v>-</v>
          </cell>
          <cell r="AD22">
            <v>18</v>
          </cell>
          <cell r="AE22">
            <v>18</v>
          </cell>
          <cell r="AF22">
            <v>47</v>
          </cell>
          <cell r="AG22">
            <v>83</v>
          </cell>
          <cell r="AH22">
            <v>83</v>
          </cell>
          <cell r="AI22" t="str">
            <v>A</v>
          </cell>
          <cell r="AJ22">
            <v>20</v>
          </cell>
          <cell r="AK22">
            <v>20</v>
          </cell>
          <cell r="AL22">
            <v>31</v>
          </cell>
          <cell r="AM22">
            <v>71</v>
          </cell>
          <cell r="AN22">
            <v>71</v>
          </cell>
          <cell r="AO22" t="str">
            <v>B1</v>
          </cell>
          <cell r="AP22">
            <v>18</v>
          </cell>
          <cell r="AQ22">
            <v>20</v>
          </cell>
          <cell r="AR22">
            <v>50</v>
          </cell>
          <cell r="AS22">
            <v>88</v>
          </cell>
          <cell r="AT22">
            <v>88</v>
          </cell>
          <cell r="AU22" t="str">
            <v>A</v>
          </cell>
          <cell r="AV22">
            <v>10</v>
          </cell>
          <cell r="AW22">
            <v>15</v>
          </cell>
          <cell r="AX22">
            <v>37</v>
          </cell>
          <cell r="AY22">
            <v>62</v>
          </cell>
          <cell r="AZ22">
            <v>62</v>
          </cell>
          <cell r="BA22" t="str">
            <v>B2</v>
          </cell>
          <cell r="BB22" t="str">
            <v/>
          </cell>
          <cell r="BC22" t="str">
            <v/>
          </cell>
          <cell r="BD22" t="str">
            <v/>
          </cell>
          <cell r="BE22">
            <v>0</v>
          </cell>
          <cell r="BF22">
            <v>0</v>
          </cell>
          <cell r="BG22" t="str">
            <v>-</v>
          </cell>
          <cell r="BH22">
            <v>8</v>
          </cell>
          <cell r="BI22">
            <v>20</v>
          </cell>
          <cell r="BJ22">
            <v>25</v>
          </cell>
          <cell r="BK22">
            <v>53</v>
          </cell>
          <cell r="BL22">
            <v>53</v>
          </cell>
          <cell r="BM22" t="str">
            <v>C4</v>
          </cell>
          <cell r="BN22" t="str">
            <v/>
          </cell>
          <cell r="BO22" t="str">
            <v/>
          </cell>
          <cell r="BP22" t="str">
            <v/>
          </cell>
          <cell r="BQ22">
            <v>0</v>
          </cell>
          <cell r="BR22">
            <v>0</v>
          </cell>
          <cell r="BS22" t="str">
            <v>-</v>
          </cell>
          <cell r="BT22">
            <v>14</v>
          </cell>
          <cell r="BU22">
            <v>20</v>
          </cell>
          <cell r="BV22">
            <v>43</v>
          </cell>
          <cell r="BW22">
            <v>77</v>
          </cell>
          <cell r="BX22">
            <v>77</v>
          </cell>
          <cell r="BY22" t="str">
            <v>B1</v>
          </cell>
          <cell r="BZ22" t="str">
            <v/>
          </cell>
          <cell r="CA22" t="str">
            <v/>
          </cell>
          <cell r="CB22" t="str">
            <v/>
          </cell>
          <cell r="CC22">
            <v>0</v>
          </cell>
          <cell r="CD22">
            <v>0</v>
          </cell>
          <cell r="CE22" t="str">
            <v>-</v>
          </cell>
          <cell r="CF22" t="str">
            <v/>
          </cell>
          <cell r="CG22" t="str">
            <v/>
          </cell>
          <cell r="CH22" t="str">
            <v/>
          </cell>
          <cell r="CI22" t="str">
            <v/>
          </cell>
          <cell r="CJ22" t="str">
            <v/>
          </cell>
          <cell r="CK22" t="str">
            <v/>
          </cell>
          <cell r="CL22">
            <v>603</v>
          </cell>
          <cell r="CM22">
            <v>603</v>
          </cell>
          <cell r="CN22">
            <v>0.67</v>
          </cell>
          <cell r="CO22" t="str">
            <v>17th</v>
          </cell>
          <cell r="CP22">
            <v>57</v>
          </cell>
          <cell r="CQ22">
            <v>41</v>
          </cell>
          <cell r="CR22">
            <v>87</v>
          </cell>
          <cell r="CS22" t="str">
            <v>27th</v>
          </cell>
          <cell r="CT22">
            <v>49</v>
          </cell>
          <cell r="CU22">
            <v>35</v>
          </cell>
          <cell r="CV22">
            <v>74</v>
          </cell>
          <cell r="CW22" t="str">
            <v>23rd</v>
          </cell>
          <cell r="CX22">
            <v>63</v>
          </cell>
          <cell r="CY22">
            <v>59</v>
          </cell>
          <cell r="CZ22">
            <v>97</v>
          </cell>
          <cell r="DA22" t="str">
            <v>26th</v>
          </cell>
          <cell r="DB22">
            <v>0</v>
          </cell>
          <cell r="DC22">
            <v>0</v>
          </cell>
          <cell r="DD22">
            <v>0</v>
          </cell>
          <cell r="DE22" t="str">
            <v>NILL</v>
          </cell>
          <cell r="DF22">
            <v>83</v>
          </cell>
          <cell r="DG22">
            <v>33</v>
          </cell>
          <cell r="DH22">
            <v>87</v>
          </cell>
          <cell r="DI22" t="str">
            <v>5th</v>
          </cell>
          <cell r="DJ22">
            <v>71</v>
          </cell>
          <cell r="DK22">
            <v>29</v>
          </cell>
          <cell r="DL22">
            <v>88</v>
          </cell>
          <cell r="DM22" t="str">
            <v>16th</v>
          </cell>
          <cell r="DN22">
            <v>88</v>
          </cell>
          <cell r="DO22">
            <v>35</v>
          </cell>
          <cell r="DP22">
            <v>92</v>
          </cell>
          <cell r="DQ22" t="str">
            <v>4th</v>
          </cell>
          <cell r="DR22">
            <v>62</v>
          </cell>
          <cell r="DS22">
            <v>0</v>
          </cell>
          <cell r="DT22">
            <v>81</v>
          </cell>
          <cell r="DU22" t="str">
            <v>14th</v>
          </cell>
          <cell r="DV22">
            <v>0</v>
          </cell>
          <cell r="DW22">
            <v>0</v>
          </cell>
          <cell r="DX22">
            <v>0</v>
          </cell>
          <cell r="DY22" t="str">
            <v>NILL</v>
          </cell>
          <cell r="DZ22">
            <v>53</v>
          </cell>
          <cell r="EA22">
            <v>0</v>
          </cell>
          <cell r="EB22">
            <v>86</v>
          </cell>
          <cell r="EC22" t="str">
            <v>20th</v>
          </cell>
          <cell r="ED22">
            <v>0</v>
          </cell>
          <cell r="EE22">
            <v>0</v>
          </cell>
          <cell r="EF22">
            <v>12</v>
          </cell>
          <cell r="EG22" t="str">
            <v>NILL</v>
          </cell>
          <cell r="EH22">
            <v>77</v>
          </cell>
          <cell r="EI22">
            <v>0</v>
          </cell>
          <cell r="EJ22">
            <v>89</v>
          </cell>
          <cell r="EK22" t="str">
            <v>12th</v>
          </cell>
          <cell r="EL22">
            <v>0</v>
          </cell>
          <cell r="EM22">
            <v>0</v>
          </cell>
          <cell r="EN22">
            <v>91</v>
          </cell>
          <cell r="EO22" t="str">
            <v>NILL</v>
          </cell>
          <cell r="EP22" t="str">
            <v/>
          </cell>
          <cell r="EQ22">
            <v>0</v>
          </cell>
          <cell r="ER22">
            <v>0</v>
          </cell>
          <cell r="ES22" t="e">
            <v>#VALUE!</v>
          </cell>
        </row>
        <row r="23">
          <cell r="A23" t="str">
            <v>BDS/21/030</v>
          </cell>
          <cell r="B23" t="str">
            <v xml:space="preserve">ORJI SUCCESS CHIOMA </v>
          </cell>
          <cell r="C23" t="str">
            <v>FEMALE</v>
          </cell>
          <cell r="D23" t="str">
            <v>22/02/2012</v>
          </cell>
          <cell r="E23" t="str">
            <v>DEBATE</v>
          </cell>
          <cell r="F23">
            <v>15</v>
          </cell>
          <cell r="G23">
            <v>15</v>
          </cell>
          <cell r="H23">
            <v>50</v>
          </cell>
          <cell r="I23">
            <v>80</v>
          </cell>
          <cell r="J23">
            <v>80</v>
          </cell>
          <cell r="K23" t="str">
            <v>B1</v>
          </cell>
          <cell r="L23">
            <v>10</v>
          </cell>
          <cell r="M23">
            <v>20</v>
          </cell>
          <cell r="N23">
            <v>44</v>
          </cell>
          <cell r="O23">
            <v>74</v>
          </cell>
          <cell r="P23">
            <v>74</v>
          </cell>
          <cell r="Q23" t="str">
            <v>B1</v>
          </cell>
          <cell r="R23">
            <v>10</v>
          </cell>
          <cell r="S23">
            <v>17</v>
          </cell>
          <cell r="T23">
            <v>56</v>
          </cell>
          <cell r="U23">
            <v>83</v>
          </cell>
          <cell r="V23">
            <v>83</v>
          </cell>
          <cell r="W23" t="str">
            <v>A</v>
          </cell>
          <cell r="X23" t="str">
            <v/>
          </cell>
          <cell r="Y23" t="str">
            <v/>
          </cell>
          <cell r="Z23" t="str">
            <v/>
          </cell>
          <cell r="AA23">
            <v>0</v>
          </cell>
          <cell r="AB23">
            <v>0</v>
          </cell>
          <cell r="AC23" t="str">
            <v>-</v>
          </cell>
          <cell r="AD23">
            <v>18</v>
          </cell>
          <cell r="AE23">
            <v>18</v>
          </cell>
          <cell r="AF23">
            <v>43</v>
          </cell>
          <cell r="AG23">
            <v>79</v>
          </cell>
          <cell r="AH23">
            <v>79</v>
          </cell>
          <cell r="AI23" t="str">
            <v>B1</v>
          </cell>
          <cell r="AJ23">
            <v>20</v>
          </cell>
          <cell r="AK23">
            <v>20</v>
          </cell>
          <cell r="AL23">
            <v>46</v>
          </cell>
          <cell r="AM23">
            <v>86</v>
          </cell>
          <cell r="AN23">
            <v>86</v>
          </cell>
          <cell r="AO23" t="str">
            <v>A</v>
          </cell>
          <cell r="AP23">
            <v>16</v>
          </cell>
          <cell r="AQ23">
            <v>20</v>
          </cell>
          <cell r="AR23">
            <v>29</v>
          </cell>
          <cell r="AS23">
            <v>65</v>
          </cell>
          <cell r="AT23">
            <v>65</v>
          </cell>
          <cell r="AU23" t="str">
            <v>B2</v>
          </cell>
          <cell r="AV23" t="str">
            <v/>
          </cell>
          <cell r="AW23" t="str">
            <v/>
          </cell>
          <cell r="AX23" t="str">
            <v/>
          </cell>
          <cell r="AY23">
            <v>0</v>
          </cell>
          <cell r="AZ23">
            <v>0</v>
          </cell>
          <cell r="BA23" t="str">
            <v>-</v>
          </cell>
          <cell r="BB23" t="str">
            <v/>
          </cell>
          <cell r="BC23" t="str">
            <v/>
          </cell>
          <cell r="BD23" t="str">
            <v/>
          </cell>
          <cell r="BE23">
            <v>0</v>
          </cell>
          <cell r="BF23">
            <v>0</v>
          </cell>
          <cell r="BG23" t="str">
            <v>-</v>
          </cell>
          <cell r="BH23">
            <v>13</v>
          </cell>
          <cell r="BI23">
            <v>20</v>
          </cell>
          <cell r="BJ23">
            <v>50</v>
          </cell>
          <cell r="BK23">
            <v>83</v>
          </cell>
          <cell r="BL23">
            <v>83</v>
          </cell>
          <cell r="BM23" t="str">
            <v>A</v>
          </cell>
          <cell r="BN23" t="str">
            <v/>
          </cell>
          <cell r="BO23" t="str">
            <v/>
          </cell>
          <cell r="BP23" t="str">
            <v/>
          </cell>
          <cell r="BQ23">
            <v>0</v>
          </cell>
          <cell r="BR23">
            <v>0</v>
          </cell>
          <cell r="BS23" t="str">
            <v>-</v>
          </cell>
          <cell r="BT23">
            <v>18</v>
          </cell>
          <cell r="BU23">
            <v>20</v>
          </cell>
          <cell r="BV23">
            <v>44</v>
          </cell>
          <cell r="BW23">
            <v>82</v>
          </cell>
          <cell r="BX23">
            <v>82</v>
          </cell>
          <cell r="BY23" t="str">
            <v>A</v>
          </cell>
          <cell r="BZ23">
            <v>15</v>
          </cell>
          <cell r="CA23" t="str">
            <v/>
          </cell>
          <cell r="CB23">
            <v>39</v>
          </cell>
          <cell r="CC23">
            <v>54</v>
          </cell>
          <cell r="CD23">
            <v>54</v>
          </cell>
          <cell r="CE23" t="str">
            <v>C4</v>
          </cell>
          <cell r="CF23" t="str">
            <v/>
          </cell>
          <cell r="CG23" t="str">
            <v/>
          </cell>
          <cell r="CH23" t="str">
            <v/>
          </cell>
          <cell r="CI23" t="str">
            <v/>
          </cell>
          <cell r="CJ23" t="str">
            <v/>
          </cell>
          <cell r="CK23" t="str">
            <v/>
          </cell>
          <cell r="CL23">
            <v>686</v>
          </cell>
          <cell r="CM23">
            <v>686</v>
          </cell>
          <cell r="CN23">
            <v>0.76222222222222225</v>
          </cell>
          <cell r="CO23" t="str">
            <v>6th</v>
          </cell>
          <cell r="CP23">
            <v>80</v>
          </cell>
          <cell r="CQ23">
            <v>41</v>
          </cell>
          <cell r="CR23">
            <v>87</v>
          </cell>
          <cell r="CS23" t="str">
            <v>6th</v>
          </cell>
          <cell r="CT23">
            <v>74</v>
          </cell>
          <cell r="CU23">
            <v>35</v>
          </cell>
          <cell r="CV23">
            <v>74</v>
          </cell>
          <cell r="CW23" t="str">
            <v>1st</v>
          </cell>
          <cell r="CX23">
            <v>83</v>
          </cell>
          <cell r="CY23">
            <v>59</v>
          </cell>
          <cell r="CZ23">
            <v>97</v>
          </cell>
          <cell r="DA23" t="str">
            <v>11th</v>
          </cell>
          <cell r="DB23">
            <v>0</v>
          </cell>
          <cell r="DC23">
            <v>0</v>
          </cell>
          <cell r="DD23">
            <v>0</v>
          </cell>
          <cell r="DE23" t="str">
            <v>NILL</v>
          </cell>
          <cell r="DF23">
            <v>79</v>
          </cell>
          <cell r="DG23">
            <v>33</v>
          </cell>
          <cell r="DH23">
            <v>87</v>
          </cell>
          <cell r="DI23" t="str">
            <v>11th</v>
          </cell>
          <cell r="DJ23">
            <v>86</v>
          </cell>
          <cell r="DK23">
            <v>29</v>
          </cell>
          <cell r="DL23">
            <v>88</v>
          </cell>
          <cell r="DM23" t="str">
            <v>2nd</v>
          </cell>
          <cell r="DN23">
            <v>65</v>
          </cell>
          <cell r="DO23">
            <v>35</v>
          </cell>
          <cell r="DP23">
            <v>92</v>
          </cell>
          <cell r="DQ23" t="str">
            <v>17th</v>
          </cell>
          <cell r="DR23">
            <v>0</v>
          </cell>
          <cell r="DS23">
            <v>0</v>
          </cell>
          <cell r="DT23">
            <v>81</v>
          </cell>
          <cell r="DU23" t="str">
            <v>NILL</v>
          </cell>
          <cell r="DV23">
            <v>0</v>
          </cell>
          <cell r="DW23">
            <v>0</v>
          </cell>
          <cell r="DX23">
            <v>0</v>
          </cell>
          <cell r="DY23" t="str">
            <v>NILL</v>
          </cell>
          <cell r="DZ23">
            <v>83</v>
          </cell>
          <cell r="EA23">
            <v>0</v>
          </cell>
          <cell r="EB23">
            <v>86</v>
          </cell>
          <cell r="EC23" t="str">
            <v>7th</v>
          </cell>
          <cell r="ED23">
            <v>0</v>
          </cell>
          <cell r="EE23">
            <v>0</v>
          </cell>
          <cell r="EF23">
            <v>13</v>
          </cell>
          <cell r="EG23" t="str">
            <v>NILL</v>
          </cell>
          <cell r="EH23">
            <v>82</v>
          </cell>
          <cell r="EI23">
            <v>0</v>
          </cell>
          <cell r="EJ23">
            <v>89</v>
          </cell>
          <cell r="EK23" t="str">
            <v>9th</v>
          </cell>
          <cell r="EL23">
            <v>54</v>
          </cell>
          <cell r="EM23">
            <v>0</v>
          </cell>
          <cell r="EN23">
            <v>91</v>
          </cell>
          <cell r="EO23" t="str">
            <v>13th</v>
          </cell>
          <cell r="EP23" t="str">
            <v/>
          </cell>
          <cell r="EQ23">
            <v>0</v>
          </cell>
          <cell r="ER23">
            <v>0</v>
          </cell>
          <cell r="ES23" t="e">
            <v>#VALUE!</v>
          </cell>
        </row>
        <row r="24">
          <cell r="A24" t="str">
            <v>BDS/21/033</v>
          </cell>
          <cell r="B24" t="str">
            <v>RICHARD SALVATION IHENDU</v>
          </cell>
          <cell r="C24" t="str">
            <v>FEMALE</v>
          </cell>
          <cell r="D24">
            <v>40455</v>
          </cell>
          <cell r="E24" t="str">
            <v xml:space="preserve">SINGING AND DANCING </v>
          </cell>
          <cell r="F24">
            <v>15</v>
          </cell>
          <cell r="G24">
            <v>15</v>
          </cell>
          <cell r="H24">
            <v>38</v>
          </cell>
          <cell r="I24">
            <v>68</v>
          </cell>
          <cell r="J24">
            <v>68</v>
          </cell>
          <cell r="K24" t="str">
            <v>B2</v>
          </cell>
          <cell r="L24" t="str">
            <v/>
          </cell>
          <cell r="M24">
            <v>20</v>
          </cell>
          <cell r="N24">
            <v>24</v>
          </cell>
          <cell r="O24">
            <v>44</v>
          </cell>
          <cell r="P24">
            <v>44</v>
          </cell>
          <cell r="Q24" t="str">
            <v>D</v>
          </cell>
          <cell r="R24">
            <v>20</v>
          </cell>
          <cell r="S24">
            <v>13</v>
          </cell>
          <cell r="T24">
            <v>49</v>
          </cell>
          <cell r="U24">
            <v>82</v>
          </cell>
          <cell r="V24">
            <v>82</v>
          </cell>
          <cell r="W24" t="str">
            <v>A</v>
          </cell>
          <cell r="X24" t="str">
            <v/>
          </cell>
          <cell r="Y24" t="str">
            <v/>
          </cell>
          <cell r="Z24" t="str">
            <v/>
          </cell>
          <cell r="AA24">
            <v>0</v>
          </cell>
          <cell r="AB24">
            <v>0</v>
          </cell>
          <cell r="AC24" t="str">
            <v>-</v>
          </cell>
          <cell r="AD24">
            <v>18</v>
          </cell>
          <cell r="AE24">
            <v>18</v>
          </cell>
          <cell r="AF24">
            <v>47</v>
          </cell>
          <cell r="AG24">
            <v>83</v>
          </cell>
          <cell r="AH24">
            <v>83</v>
          </cell>
          <cell r="AI24" t="str">
            <v>A</v>
          </cell>
          <cell r="AJ24" t="str">
            <v/>
          </cell>
          <cell r="AK24" t="str">
            <v/>
          </cell>
          <cell r="AL24">
            <v>29</v>
          </cell>
          <cell r="AM24">
            <v>29</v>
          </cell>
          <cell r="AN24">
            <v>28.999999999999996</v>
          </cell>
          <cell r="AO24" t="str">
            <v>F9</v>
          </cell>
          <cell r="AP24">
            <v>10</v>
          </cell>
          <cell r="AQ24" t="str">
            <v/>
          </cell>
          <cell r="AR24">
            <v>59</v>
          </cell>
          <cell r="AS24">
            <v>69</v>
          </cell>
          <cell r="AT24">
            <v>69</v>
          </cell>
          <cell r="AU24" t="str">
            <v>B2</v>
          </cell>
          <cell r="AV24">
            <v>10</v>
          </cell>
          <cell r="AW24">
            <v>16</v>
          </cell>
          <cell r="AX24">
            <v>41</v>
          </cell>
          <cell r="AY24">
            <v>67</v>
          </cell>
          <cell r="AZ24">
            <v>67</v>
          </cell>
          <cell r="BA24" t="str">
            <v>B2</v>
          </cell>
          <cell r="BB24" t="str">
            <v/>
          </cell>
          <cell r="BC24" t="str">
            <v/>
          </cell>
          <cell r="BD24" t="str">
            <v/>
          </cell>
          <cell r="BE24">
            <v>0</v>
          </cell>
          <cell r="BF24">
            <v>0</v>
          </cell>
          <cell r="BG24" t="str">
            <v>-</v>
          </cell>
          <cell r="BH24" t="str">
            <v/>
          </cell>
          <cell r="BI24" t="str">
            <v/>
          </cell>
          <cell r="BJ24" t="str">
            <v/>
          </cell>
          <cell r="BK24">
            <v>0</v>
          </cell>
          <cell r="BL24">
            <v>0</v>
          </cell>
          <cell r="BM24" t="str">
            <v>-</v>
          </cell>
          <cell r="BN24">
            <v>18</v>
          </cell>
          <cell r="BO24">
            <v>15</v>
          </cell>
          <cell r="BP24">
            <v>38</v>
          </cell>
          <cell r="BQ24">
            <v>71</v>
          </cell>
          <cell r="BR24">
            <v>71</v>
          </cell>
          <cell r="BS24" t="str">
            <v>B1</v>
          </cell>
          <cell r="BT24">
            <v>20</v>
          </cell>
          <cell r="BU24">
            <v>20</v>
          </cell>
          <cell r="BV24">
            <v>43</v>
          </cell>
          <cell r="BW24">
            <v>83</v>
          </cell>
          <cell r="BX24">
            <v>83</v>
          </cell>
          <cell r="BY24" t="str">
            <v>A</v>
          </cell>
          <cell r="BZ24" t="str">
            <v/>
          </cell>
          <cell r="CA24" t="str">
            <v/>
          </cell>
          <cell r="CB24" t="str">
            <v/>
          </cell>
          <cell r="CC24">
            <v>0</v>
          </cell>
          <cell r="CD24">
            <v>0</v>
          </cell>
          <cell r="CE24" t="str">
            <v>-</v>
          </cell>
          <cell r="CF24" t="str">
            <v/>
          </cell>
          <cell r="CG24" t="str">
            <v/>
          </cell>
          <cell r="CH24" t="str">
            <v/>
          </cell>
          <cell r="CI24" t="str">
            <v/>
          </cell>
          <cell r="CJ24" t="str">
            <v/>
          </cell>
          <cell r="CK24" t="str">
            <v/>
          </cell>
          <cell r="CL24">
            <v>596</v>
          </cell>
          <cell r="CM24">
            <v>596</v>
          </cell>
          <cell r="CN24">
            <v>0.66222222222222227</v>
          </cell>
          <cell r="CO24" t="str">
            <v>19th</v>
          </cell>
          <cell r="CP24">
            <v>68</v>
          </cell>
          <cell r="CQ24">
            <v>41</v>
          </cell>
          <cell r="CR24">
            <v>87</v>
          </cell>
          <cell r="CS24" t="str">
            <v>22nd</v>
          </cell>
          <cell r="CT24">
            <v>44</v>
          </cell>
          <cell r="CU24">
            <v>35</v>
          </cell>
          <cell r="CV24">
            <v>74</v>
          </cell>
          <cell r="CW24" t="str">
            <v>29th</v>
          </cell>
          <cell r="CX24">
            <v>82</v>
          </cell>
          <cell r="CY24">
            <v>59</v>
          </cell>
          <cell r="CZ24">
            <v>97</v>
          </cell>
          <cell r="DA24" t="str">
            <v>12th</v>
          </cell>
          <cell r="DB24">
            <v>0</v>
          </cell>
          <cell r="DC24">
            <v>0</v>
          </cell>
          <cell r="DD24">
            <v>0</v>
          </cell>
          <cell r="DE24" t="str">
            <v>NILL</v>
          </cell>
          <cell r="DF24">
            <v>83</v>
          </cell>
          <cell r="DG24">
            <v>33</v>
          </cell>
          <cell r="DH24">
            <v>87</v>
          </cell>
          <cell r="DI24" t="str">
            <v>5th</v>
          </cell>
          <cell r="DJ24">
            <v>29</v>
          </cell>
          <cell r="DK24">
            <v>29</v>
          </cell>
          <cell r="DL24">
            <v>88</v>
          </cell>
          <cell r="DM24" t="str">
            <v>31st</v>
          </cell>
          <cell r="DN24">
            <v>69</v>
          </cell>
          <cell r="DO24">
            <v>35</v>
          </cell>
          <cell r="DP24">
            <v>92</v>
          </cell>
          <cell r="DQ24" t="str">
            <v>14th</v>
          </cell>
          <cell r="DR24">
            <v>67</v>
          </cell>
          <cell r="DS24">
            <v>0</v>
          </cell>
          <cell r="DT24">
            <v>81</v>
          </cell>
          <cell r="DU24" t="str">
            <v>8th</v>
          </cell>
          <cell r="DV24">
            <v>0</v>
          </cell>
          <cell r="DW24">
            <v>0</v>
          </cell>
          <cell r="DX24">
            <v>0</v>
          </cell>
          <cell r="DY24" t="str">
            <v>NILL</v>
          </cell>
          <cell r="DZ24">
            <v>0</v>
          </cell>
          <cell r="EA24">
            <v>0</v>
          </cell>
          <cell r="EB24">
            <v>86</v>
          </cell>
          <cell r="EC24" t="str">
            <v>NILL</v>
          </cell>
          <cell r="ED24">
            <v>71</v>
          </cell>
          <cell r="EE24">
            <v>0</v>
          </cell>
          <cell r="EF24">
            <v>14</v>
          </cell>
          <cell r="EG24" t="str">
            <v>3rd</v>
          </cell>
          <cell r="EH24">
            <v>83</v>
          </cell>
          <cell r="EI24">
            <v>0</v>
          </cell>
          <cell r="EJ24">
            <v>89</v>
          </cell>
          <cell r="EK24" t="str">
            <v>7th</v>
          </cell>
          <cell r="EL24">
            <v>0</v>
          </cell>
          <cell r="EM24">
            <v>0</v>
          </cell>
          <cell r="EN24">
            <v>91</v>
          </cell>
          <cell r="EO24" t="str">
            <v>NILL</v>
          </cell>
          <cell r="EP24" t="str">
            <v/>
          </cell>
          <cell r="EQ24">
            <v>0</v>
          </cell>
          <cell r="ER24">
            <v>0</v>
          </cell>
          <cell r="ES24" t="e">
            <v>#VALUE!</v>
          </cell>
        </row>
        <row r="25">
          <cell r="A25" t="str">
            <v>BDS/21/034</v>
          </cell>
          <cell r="B25" t="str">
            <v>STANLEY HALELLUYAH</v>
          </cell>
          <cell r="C25" t="str">
            <v>FEMALE</v>
          </cell>
          <cell r="D25" t="str">
            <v>16/06/2012</v>
          </cell>
          <cell r="E25" t="str">
            <v>SINGING</v>
          </cell>
          <cell r="F25">
            <v>15</v>
          </cell>
          <cell r="G25">
            <v>15</v>
          </cell>
          <cell r="H25">
            <v>40</v>
          </cell>
          <cell r="I25">
            <v>70</v>
          </cell>
          <cell r="J25">
            <v>70</v>
          </cell>
          <cell r="K25" t="str">
            <v>B2</v>
          </cell>
          <cell r="L25" t="str">
            <v/>
          </cell>
          <cell r="M25">
            <v>20</v>
          </cell>
          <cell r="N25">
            <v>15</v>
          </cell>
          <cell r="O25">
            <v>35</v>
          </cell>
          <cell r="P25">
            <v>35</v>
          </cell>
          <cell r="Q25" t="str">
            <v>F9</v>
          </cell>
          <cell r="R25">
            <v>10</v>
          </cell>
          <cell r="S25">
            <v>6</v>
          </cell>
          <cell r="T25">
            <v>43</v>
          </cell>
          <cell r="U25">
            <v>59</v>
          </cell>
          <cell r="V25">
            <v>59</v>
          </cell>
          <cell r="W25" t="str">
            <v>C4</v>
          </cell>
          <cell r="X25" t="str">
            <v/>
          </cell>
          <cell r="Y25" t="str">
            <v/>
          </cell>
          <cell r="Z25" t="str">
            <v/>
          </cell>
          <cell r="AA25">
            <v>0</v>
          </cell>
          <cell r="AB25">
            <v>0</v>
          </cell>
          <cell r="AC25" t="str">
            <v>-</v>
          </cell>
          <cell r="AD25">
            <v>18</v>
          </cell>
          <cell r="AE25">
            <v>18</v>
          </cell>
          <cell r="AF25">
            <v>33</v>
          </cell>
          <cell r="AG25">
            <v>69</v>
          </cell>
          <cell r="AH25">
            <v>69</v>
          </cell>
          <cell r="AI25" t="str">
            <v>B2</v>
          </cell>
          <cell r="AJ25">
            <v>20</v>
          </cell>
          <cell r="AK25">
            <v>20</v>
          </cell>
          <cell r="AL25">
            <v>22</v>
          </cell>
          <cell r="AM25">
            <v>62</v>
          </cell>
          <cell r="AN25">
            <v>62</v>
          </cell>
          <cell r="AO25" t="str">
            <v>B2</v>
          </cell>
          <cell r="AP25">
            <v>15</v>
          </cell>
          <cell r="AQ25">
            <v>20</v>
          </cell>
          <cell r="AR25">
            <v>34</v>
          </cell>
          <cell r="AS25">
            <v>69</v>
          </cell>
          <cell r="AT25">
            <v>69</v>
          </cell>
          <cell r="AU25" t="str">
            <v>B2</v>
          </cell>
          <cell r="AV25">
            <v>15</v>
          </cell>
          <cell r="AW25">
            <v>20</v>
          </cell>
          <cell r="AX25">
            <v>12</v>
          </cell>
          <cell r="AY25">
            <v>47</v>
          </cell>
          <cell r="AZ25">
            <v>47</v>
          </cell>
          <cell r="BA25" t="str">
            <v>C5</v>
          </cell>
          <cell r="BB25" t="str">
            <v/>
          </cell>
          <cell r="BC25" t="str">
            <v/>
          </cell>
          <cell r="BD25" t="str">
            <v/>
          </cell>
          <cell r="BE25">
            <v>0</v>
          </cell>
          <cell r="BF25">
            <v>0</v>
          </cell>
          <cell r="BG25" t="str">
            <v>-</v>
          </cell>
          <cell r="BH25" t="str">
            <v/>
          </cell>
          <cell r="BI25" t="str">
            <v/>
          </cell>
          <cell r="BJ25" t="str">
            <v/>
          </cell>
          <cell r="BK25">
            <v>0</v>
          </cell>
          <cell r="BL25">
            <v>0</v>
          </cell>
          <cell r="BM25" t="str">
            <v>-</v>
          </cell>
          <cell r="BN25">
            <v>16</v>
          </cell>
          <cell r="BO25">
            <v>17</v>
          </cell>
          <cell r="BP25">
            <v>38</v>
          </cell>
          <cell r="BQ25">
            <v>71</v>
          </cell>
          <cell r="BR25">
            <v>71</v>
          </cell>
          <cell r="BS25" t="str">
            <v>B1</v>
          </cell>
          <cell r="BT25" t="str">
            <v/>
          </cell>
          <cell r="BU25" t="str">
            <v/>
          </cell>
          <cell r="BV25" t="str">
            <v/>
          </cell>
          <cell r="BW25">
            <v>0</v>
          </cell>
          <cell r="BX25">
            <v>0</v>
          </cell>
          <cell r="BY25" t="str">
            <v>-</v>
          </cell>
          <cell r="BZ25">
            <v>15</v>
          </cell>
          <cell r="CA25" t="str">
            <v/>
          </cell>
          <cell r="CB25">
            <v>34</v>
          </cell>
          <cell r="CC25">
            <v>49</v>
          </cell>
          <cell r="CD25">
            <v>49</v>
          </cell>
          <cell r="CE25" t="str">
            <v>C5</v>
          </cell>
          <cell r="CF25" t="str">
            <v/>
          </cell>
          <cell r="CG25" t="str">
            <v/>
          </cell>
          <cell r="CH25" t="str">
            <v/>
          </cell>
          <cell r="CI25" t="str">
            <v/>
          </cell>
          <cell r="CJ25" t="str">
            <v/>
          </cell>
          <cell r="CK25" t="str">
            <v/>
          </cell>
          <cell r="CL25">
            <v>531</v>
          </cell>
          <cell r="CM25">
            <v>531</v>
          </cell>
          <cell r="CN25">
            <v>0.59</v>
          </cell>
          <cell r="CO25" t="str">
            <v>25th</v>
          </cell>
          <cell r="CP25">
            <v>70</v>
          </cell>
          <cell r="CQ25">
            <v>41</v>
          </cell>
          <cell r="CR25">
            <v>87</v>
          </cell>
          <cell r="CS25" t="str">
            <v>17th</v>
          </cell>
          <cell r="CT25">
            <v>35</v>
          </cell>
          <cell r="CU25">
            <v>35</v>
          </cell>
          <cell r="CV25">
            <v>74</v>
          </cell>
          <cell r="CW25" t="str">
            <v>31st</v>
          </cell>
          <cell r="CX25">
            <v>59</v>
          </cell>
          <cell r="CY25">
            <v>59</v>
          </cell>
          <cell r="CZ25">
            <v>97</v>
          </cell>
          <cell r="DA25" t="str">
            <v>28th</v>
          </cell>
          <cell r="DB25">
            <v>0</v>
          </cell>
          <cell r="DC25">
            <v>0</v>
          </cell>
          <cell r="DD25">
            <v>0</v>
          </cell>
          <cell r="DE25" t="str">
            <v>NILL</v>
          </cell>
          <cell r="DF25">
            <v>69</v>
          </cell>
          <cell r="DG25">
            <v>33</v>
          </cell>
          <cell r="DH25">
            <v>87</v>
          </cell>
          <cell r="DI25" t="str">
            <v>23rd</v>
          </cell>
          <cell r="DJ25">
            <v>62</v>
          </cell>
          <cell r="DK25">
            <v>29</v>
          </cell>
          <cell r="DL25">
            <v>88</v>
          </cell>
          <cell r="DM25" t="str">
            <v>24th</v>
          </cell>
          <cell r="DN25">
            <v>69</v>
          </cell>
          <cell r="DO25">
            <v>35</v>
          </cell>
          <cell r="DP25">
            <v>92</v>
          </cell>
          <cell r="DQ25" t="str">
            <v>14th</v>
          </cell>
          <cell r="DR25">
            <v>47</v>
          </cell>
          <cell r="DS25">
            <v>0</v>
          </cell>
          <cell r="DT25">
            <v>81</v>
          </cell>
          <cell r="DU25" t="str">
            <v>21st</v>
          </cell>
          <cell r="DV25">
            <v>0</v>
          </cell>
          <cell r="DW25">
            <v>0</v>
          </cell>
          <cell r="DX25">
            <v>0</v>
          </cell>
          <cell r="DY25" t="str">
            <v>NILL</v>
          </cell>
          <cell r="DZ25">
            <v>0</v>
          </cell>
          <cell r="EA25">
            <v>0</v>
          </cell>
          <cell r="EB25">
            <v>86</v>
          </cell>
          <cell r="EC25" t="str">
            <v>NILL</v>
          </cell>
          <cell r="ED25">
            <v>71</v>
          </cell>
          <cell r="EE25">
            <v>0</v>
          </cell>
          <cell r="EF25">
            <v>15</v>
          </cell>
          <cell r="EG25" t="str">
            <v>3rd</v>
          </cell>
          <cell r="EH25">
            <v>0</v>
          </cell>
          <cell r="EI25">
            <v>0</v>
          </cell>
          <cell r="EJ25">
            <v>89</v>
          </cell>
          <cell r="EK25" t="str">
            <v>NILL</v>
          </cell>
          <cell r="EL25">
            <v>49</v>
          </cell>
          <cell r="EM25">
            <v>0</v>
          </cell>
          <cell r="EN25">
            <v>91</v>
          </cell>
          <cell r="EO25" t="str">
            <v>16th</v>
          </cell>
          <cell r="EP25" t="str">
            <v/>
          </cell>
          <cell r="EQ25">
            <v>0</v>
          </cell>
          <cell r="ER25">
            <v>0</v>
          </cell>
          <cell r="ES25" t="e">
            <v>#VALUE!</v>
          </cell>
        </row>
        <row r="26">
          <cell r="A26" t="str">
            <v>BDS/21/038</v>
          </cell>
          <cell r="B26" t="str">
            <v>UDUMA CHIMDI DELIGHT</v>
          </cell>
          <cell r="C26" t="str">
            <v>MALE</v>
          </cell>
          <cell r="D26" t="str">
            <v>29/04/2011</v>
          </cell>
          <cell r="E26" t="str">
            <v>DEBATE</v>
          </cell>
          <cell r="F26">
            <v>15</v>
          </cell>
          <cell r="G26">
            <v>15</v>
          </cell>
          <cell r="H26">
            <v>55</v>
          </cell>
          <cell r="I26">
            <v>85</v>
          </cell>
          <cell r="J26">
            <v>85</v>
          </cell>
          <cell r="K26" t="str">
            <v>A</v>
          </cell>
          <cell r="L26">
            <v>11</v>
          </cell>
          <cell r="M26">
            <v>20</v>
          </cell>
          <cell r="N26">
            <v>15</v>
          </cell>
          <cell r="O26">
            <v>46</v>
          </cell>
          <cell r="P26">
            <v>46</v>
          </cell>
          <cell r="Q26" t="str">
            <v>C5</v>
          </cell>
          <cell r="R26">
            <v>10</v>
          </cell>
          <cell r="S26">
            <v>7</v>
          </cell>
          <cell r="T26">
            <v>53</v>
          </cell>
          <cell r="U26">
            <v>70</v>
          </cell>
          <cell r="V26">
            <v>70</v>
          </cell>
          <cell r="W26" t="str">
            <v>B2</v>
          </cell>
          <cell r="X26" t="str">
            <v/>
          </cell>
          <cell r="Y26" t="str">
            <v/>
          </cell>
          <cell r="Z26" t="str">
            <v/>
          </cell>
          <cell r="AA26">
            <v>0</v>
          </cell>
          <cell r="AB26">
            <v>0</v>
          </cell>
          <cell r="AC26" t="str">
            <v>-</v>
          </cell>
          <cell r="AD26">
            <v>18</v>
          </cell>
          <cell r="AE26">
            <v>18</v>
          </cell>
          <cell r="AF26">
            <v>24</v>
          </cell>
          <cell r="AG26">
            <v>60</v>
          </cell>
          <cell r="AH26">
            <v>60</v>
          </cell>
          <cell r="AI26" t="str">
            <v>C4</v>
          </cell>
          <cell r="AJ26">
            <v>20</v>
          </cell>
          <cell r="AK26">
            <v>20</v>
          </cell>
          <cell r="AL26">
            <v>29</v>
          </cell>
          <cell r="AM26">
            <v>69</v>
          </cell>
          <cell r="AN26">
            <v>69</v>
          </cell>
          <cell r="AO26" t="str">
            <v>B2</v>
          </cell>
          <cell r="AP26">
            <v>18</v>
          </cell>
          <cell r="AQ26">
            <v>20</v>
          </cell>
          <cell r="AR26">
            <v>44</v>
          </cell>
          <cell r="AS26">
            <v>82</v>
          </cell>
          <cell r="AT26">
            <v>82</v>
          </cell>
          <cell r="AU26" t="str">
            <v>A</v>
          </cell>
          <cell r="AV26">
            <v>15</v>
          </cell>
          <cell r="AW26">
            <v>20</v>
          </cell>
          <cell r="AX26">
            <v>39</v>
          </cell>
          <cell r="AY26">
            <v>74</v>
          </cell>
          <cell r="AZ26">
            <v>74</v>
          </cell>
          <cell r="BA26" t="str">
            <v>B1</v>
          </cell>
          <cell r="BB26" t="str">
            <v/>
          </cell>
          <cell r="BC26" t="str">
            <v/>
          </cell>
          <cell r="BD26" t="str">
            <v/>
          </cell>
          <cell r="BE26">
            <v>0</v>
          </cell>
          <cell r="BF26">
            <v>0</v>
          </cell>
          <cell r="BG26" t="str">
            <v>-</v>
          </cell>
          <cell r="BH26">
            <v>15</v>
          </cell>
          <cell r="BI26">
            <v>20</v>
          </cell>
          <cell r="BJ26">
            <v>49</v>
          </cell>
          <cell r="BK26">
            <v>84</v>
          </cell>
          <cell r="BL26">
            <v>84</v>
          </cell>
          <cell r="BM26" t="str">
            <v>A</v>
          </cell>
          <cell r="BN26" t="str">
            <v/>
          </cell>
          <cell r="BO26" t="str">
            <v/>
          </cell>
          <cell r="BP26" t="str">
            <v/>
          </cell>
          <cell r="BQ26">
            <v>0</v>
          </cell>
          <cell r="BR26">
            <v>0</v>
          </cell>
          <cell r="BS26" t="str">
            <v>-</v>
          </cell>
          <cell r="BT26" t="str">
            <v/>
          </cell>
          <cell r="BU26" t="str">
            <v/>
          </cell>
          <cell r="BV26" t="str">
            <v/>
          </cell>
          <cell r="BW26">
            <v>0</v>
          </cell>
          <cell r="BX26">
            <v>0</v>
          </cell>
          <cell r="BY26" t="str">
            <v>-</v>
          </cell>
          <cell r="BZ26">
            <v>15</v>
          </cell>
          <cell r="CA26">
            <v>20</v>
          </cell>
          <cell r="CB26">
            <v>53</v>
          </cell>
          <cell r="CC26">
            <v>88</v>
          </cell>
          <cell r="CD26">
            <v>88</v>
          </cell>
          <cell r="CE26" t="str">
            <v>A</v>
          </cell>
          <cell r="CF26" t="str">
            <v/>
          </cell>
          <cell r="CG26" t="str">
            <v/>
          </cell>
          <cell r="CH26" t="str">
            <v/>
          </cell>
          <cell r="CI26" t="str">
            <v/>
          </cell>
          <cell r="CJ26" t="str">
            <v/>
          </cell>
          <cell r="CK26" t="str">
            <v/>
          </cell>
          <cell r="CL26">
            <v>658</v>
          </cell>
          <cell r="CM26">
            <v>658</v>
          </cell>
          <cell r="CN26">
            <v>0.73111111111111116</v>
          </cell>
          <cell r="CO26" t="str">
            <v>10th</v>
          </cell>
          <cell r="CP26">
            <v>85</v>
          </cell>
          <cell r="CQ26">
            <v>41</v>
          </cell>
          <cell r="CR26">
            <v>87</v>
          </cell>
          <cell r="CS26" t="str">
            <v>2nd</v>
          </cell>
          <cell r="CT26">
            <v>46</v>
          </cell>
          <cell r="CU26">
            <v>35</v>
          </cell>
          <cell r="CV26">
            <v>74</v>
          </cell>
          <cell r="CW26" t="str">
            <v>26th</v>
          </cell>
          <cell r="CX26">
            <v>70</v>
          </cell>
          <cell r="CY26">
            <v>59</v>
          </cell>
          <cell r="CZ26">
            <v>97</v>
          </cell>
          <cell r="DA26" t="str">
            <v>22nd</v>
          </cell>
          <cell r="DB26">
            <v>0</v>
          </cell>
          <cell r="DC26">
            <v>0</v>
          </cell>
          <cell r="DD26">
            <v>0</v>
          </cell>
          <cell r="DE26" t="str">
            <v>NILL</v>
          </cell>
          <cell r="DF26">
            <v>60</v>
          </cell>
          <cell r="DG26">
            <v>33</v>
          </cell>
          <cell r="DH26">
            <v>87</v>
          </cell>
          <cell r="DI26" t="str">
            <v>29th</v>
          </cell>
          <cell r="DJ26">
            <v>69</v>
          </cell>
          <cell r="DK26">
            <v>29</v>
          </cell>
          <cell r="DL26">
            <v>88</v>
          </cell>
          <cell r="DM26" t="str">
            <v>19th</v>
          </cell>
          <cell r="DN26">
            <v>82</v>
          </cell>
          <cell r="DO26">
            <v>35</v>
          </cell>
          <cell r="DP26">
            <v>92</v>
          </cell>
          <cell r="DQ26" t="str">
            <v>6th</v>
          </cell>
          <cell r="DR26">
            <v>74</v>
          </cell>
          <cell r="DS26">
            <v>0</v>
          </cell>
          <cell r="DT26">
            <v>81</v>
          </cell>
          <cell r="DU26" t="str">
            <v>5th</v>
          </cell>
          <cell r="DV26">
            <v>0</v>
          </cell>
          <cell r="DW26">
            <v>0</v>
          </cell>
          <cell r="DX26">
            <v>0</v>
          </cell>
          <cell r="DY26" t="str">
            <v>NILL</v>
          </cell>
          <cell r="DZ26">
            <v>84</v>
          </cell>
          <cell r="EA26">
            <v>0</v>
          </cell>
          <cell r="EB26">
            <v>86</v>
          </cell>
          <cell r="EC26" t="str">
            <v>5th</v>
          </cell>
          <cell r="ED26">
            <v>0</v>
          </cell>
          <cell r="EE26">
            <v>0</v>
          </cell>
          <cell r="EF26">
            <v>16</v>
          </cell>
          <cell r="EG26" t="str">
            <v>NILL</v>
          </cell>
          <cell r="EH26">
            <v>0</v>
          </cell>
          <cell r="EI26">
            <v>0</v>
          </cell>
          <cell r="EJ26">
            <v>89</v>
          </cell>
          <cell r="EK26" t="str">
            <v>NILL</v>
          </cell>
          <cell r="EL26">
            <v>88</v>
          </cell>
          <cell r="EM26">
            <v>0</v>
          </cell>
          <cell r="EN26">
            <v>91</v>
          </cell>
          <cell r="EO26" t="str">
            <v>2nd</v>
          </cell>
          <cell r="EP26" t="str">
            <v/>
          </cell>
          <cell r="EQ26">
            <v>0</v>
          </cell>
          <cell r="ER26">
            <v>0</v>
          </cell>
          <cell r="ES26" t="e">
            <v>#VALUE!</v>
          </cell>
        </row>
        <row r="27">
          <cell r="A27" t="str">
            <v>BDS/21/039</v>
          </cell>
          <cell r="B27" t="str">
            <v xml:space="preserve"> UGOCHUKWU VICTORIA ADAEZE</v>
          </cell>
          <cell r="C27" t="str">
            <v>FEMALE</v>
          </cell>
          <cell r="D27">
            <v>40850</v>
          </cell>
          <cell r="E27" t="str">
            <v xml:space="preserve">SINGING AND DANCING </v>
          </cell>
          <cell r="F27">
            <v>15</v>
          </cell>
          <cell r="G27">
            <v>15</v>
          </cell>
          <cell r="H27">
            <v>40</v>
          </cell>
          <cell r="I27">
            <v>70</v>
          </cell>
          <cell r="J27">
            <v>70</v>
          </cell>
          <cell r="K27" t="str">
            <v>B2</v>
          </cell>
          <cell r="L27">
            <v>0</v>
          </cell>
          <cell r="M27">
            <v>20</v>
          </cell>
          <cell r="N27">
            <v>27</v>
          </cell>
          <cell r="O27">
            <v>47</v>
          </cell>
          <cell r="P27">
            <v>47</v>
          </cell>
          <cell r="Q27" t="str">
            <v>C5</v>
          </cell>
          <cell r="R27">
            <v>20</v>
          </cell>
          <cell r="S27">
            <v>20</v>
          </cell>
          <cell r="T27">
            <v>57</v>
          </cell>
          <cell r="U27">
            <v>97</v>
          </cell>
          <cell r="V27">
            <v>97</v>
          </cell>
          <cell r="W27" t="str">
            <v>A</v>
          </cell>
          <cell r="X27" t="str">
            <v/>
          </cell>
          <cell r="Y27" t="str">
            <v/>
          </cell>
          <cell r="Z27" t="str">
            <v/>
          </cell>
          <cell r="AA27">
            <v>0</v>
          </cell>
          <cell r="AB27">
            <v>0</v>
          </cell>
          <cell r="AC27" t="str">
            <v>-</v>
          </cell>
          <cell r="AD27">
            <v>18</v>
          </cell>
          <cell r="AE27">
            <v>18</v>
          </cell>
          <cell r="AF27">
            <v>39</v>
          </cell>
          <cell r="AG27">
            <v>75</v>
          </cell>
          <cell r="AH27">
            <v>75</v>
          </cell>
          <cell r="AI27" t="str">
            <v>B1</v>
          </cell>
          <cell r="AJ27">
            <v>20</v>
          </cell>
          <cell r="AK27">
            <v>20</v>
          </cell>
          <cell r="AL27">
            <v>41</v>
          </cell>
          <cell r="AM27">
            <v>81</v>
          </cell>
          <cell r="AN27">
            <v>81</v>
          </cell>
          <cell r="AO27" t="str">
            <v>A</v>
          </cell>
          <cell r="AP27">
            <v>20</v>
          </cell>
          <cell r="AQ27">
            <v>10</v>
          </cell>
          <cell r="AR27">
            <v>35</v>
          </cell>
          <cell r="AS27">
            <v>65</v>
          </cell>
          <cell r="AT27">
            <v>65</v>
          </cell>
          <cell r="AU27" t="str">
            <v>B2</v>
          </cell>
          <cell r="AV27">
            <v>16</v>
          </cell>
          <cell r="AW27">
            <v>20</v>
          </cell>
          <cell r="AX27">
            <v>44</v>
          </cell>
          <cell r="AY27">
            <v>80</v>
          </cell>
          <cell r="AZ27">
            <v>80</v>
          </cell>
          <cell r="BA27" t="str">
            <v>B1</v>
          </cell>
          <cell r="BB27" t="str">
            <v/>
          </cell>
          <cell r="BC27" t="str">
            <v/>
          </cell>
          <cell r="BD27" t="str">
            <v/>
          </cell>
          <cell r="BE27">
            <v>0</v>
          </cell>
          <cell r="BF27">
            <v>0</v>
          </cell>
          <cell r="BG27" t="str">
            <v>-</v>
          </cell>
          <cell r="BH27" t="str">
            <v/>
          </cell>
          <cell r="BI27" t="str">
            <v/>
          </cell>
          <cell r="BJ27" t="str">
            <v/>
          </cell>
          <cell r="BK27">
            <v>0</v>
          </cell>
          <cell r="BL27">
            <v>0</v>
          </cell>
          <cell r="BM27" t="str">
            <v>-</v>
          </cell>
          <cell r="BN27">
            <v>6</v>
          </cell>
          <cell r="BO27">
            <v>20</v>
          </cell>
          <cell r="BP27">
            <v>49</v>
          </cell>
          <cell r="BQ27">
            <v>75</v>
          </cell>
          <cell r="BR27">
            <v>75</v>
          </cell>
          <cell r="BS27" t="str">
            <v>B1</v>
          </cell>
          <cell r="BT27">
            <v>14</v>
          </cell>
          <cell r="BU27">
            <v>20</v>
          </cell>
          <cell r="BV27">
            <v>50</v>
          </cell>
          <cell r="BW27">
            <v>84</v>
          </cell>
          <cell r="BX27">
            <v>84</v>
          </cell>
          <cell r="BY27" t="str">
            <v>A</v>
          </cell>
          <cell r="BZ27" t="str">
            <v/>
          </cell>
          <cell r="CA27" t="str">
            <v/>
          </cell>
          <cell r="CB27" t="str">
            <v/>
          </cell>
          <cell r="CC27">
            <v>0</v>
          </cell>
          <cell r="CD27">
            <v>0</v>
          </cell>
          <cell r="CE27" t="str">
            <v>-</v>
          </cell>
          <cell r="CF27" t="str">
            <v/>
          </cell>
          <cell r="CG27" t="str">
            <v/>
          </cell>
          <cell r="CH27" t="str">
            <v/>
          </cell>
          <cell r="CI27" t="str">
            <v/>
          </cell>
          <cell r="CJ27" t="str">
            <v/>
          </cell>
          <cell r="CK27" t="str">
            <v/>
          </cell>
          <cell r="CL27">
            <v>674</v>
          </cell>
          <cell r="CM27">
            <v>674</v>
          </cell>
          <cell r="CN27">
            <v>0.74888888888888883</v>
          </cell>
          <cell r="CO27" t="str">
            <v>8th</v>
          </cell>
          <cell r="CP27">
            <v>70</v>
          </cell>
          <cell r="CQ27">
            <v>41</v>
          </cell>
          <cell r="CR27">
            <v>87</v>
          </cell>
          <cell r="CS27" t="str">
            <v>17th</v>
          </cell>
          <cell r="CT27">
            <v>47</v>
          </cell>
          <cell r="CU27">
            <v>35</v>
          </cell>
          <cell r="CV27">
            <v>74</v>
          </cell>
          <cell r="CW27" t="str">
            <v>24th</v>
          </cell>
          <cell r="CX27">
            <v>97</v>
          </cell>
          <cell r="CY27">
            <v>59</v>
          </cell>
          <cell r="CZ27">
            <v>97</v>
          </cell>
          <cell r="DA27" t="str">
            <v>1st</v>
          </cell>
          <cell r="DB27">
            <v>0</v>
          </cell>
          <cell r="DC27">
            <v>0</v>
          </cell>
          <cell r="DD27">
            <v>0</v>
          </cell>
          <cell r="DE27" t="str">
            <v>NILL</v>
          </cell>
          <cell r="DF27">
            <v>75</v>
          </cell>
          <cell r="DG27">
            <v>33</v>
          </cell>
          <cell r="DH27">
            <v>87</v>
          </cell>
          <cell r="DI27" t="str">
            <v>17th</v>
          </cell>
          <cell r="DJ27">
            <v>81</v>
          </cell>
          <cell r="DK27">
            <v>29</v>
          </cell>
          <cell r="DL27">
            <v>88</v>
          </cell>
          <cell r="DM27" t="str">
            <v>10th</v>
          </cell>
          <cell r="DN27">
            <v>65</v>
          </cell>
          <cell r="DO27">
            <v>35</v>
          </cell>
          <cell r="DP27">
            <v>92</v>
          </cell>
          <cell r="DQ27" t="str">
            <v>17th</v>
          </cell>
          <cell r="DR27">
            <v>80</v>
          </cell>
          <cell r="DS27">
            <v>0</v>
          </cell>
          <cell r="DT27">
            <v>81</v>
          </cell>
          <cell r="DU27" t="str">
            <v>2nd</v>
          </cell>
          <cell r="DV27">
            <v>0</v>
          </cell>
          <cell r="DW27">
            <v>0</v>
          </cell>
          <cell r="DX27">
            <v>0</v>
          </cell>
          <cell r="DY27" t="str">
            <v>NILL</v>
          </cell>
          <cell r="DZ27">
            <v>0</v>
          </cell>
          <cell r="EA27">
            <v>0</v>
          </cell>
          <cell r="EB27">
            <v>86</v>
          </cell>
          <cell r="EC27" t="str">
            <v>NILL</v>
          </cell>
          <cell r="ED27">
            <v>75</v>
          </cell>
          <cell r="EE27">
            <v>0</v>
          </cell>
          <cell r="EF27">
            <v>17</v>
          </cell>
          <cell r="EG27" t="str">
            <v>2nd</v>
          </cell>
          <cell r="EH27">
            <v>84</v>
          </cell>
          <cell r="EI27">
            <v>0</v>
          </cell>
          <cell r="EJ27">
            <v>89</v>
          </cell>
          <cell r="EK27" t="str">
            <v>4th</v>
          </cell>
          <cell r="EL27">
            <v>0</v>
          </cell>
          <cell r="EM27">
            <v>0</v>
          </cell>
          <cell r="EN27">
            <v>91</v>
          </cell>
          <cell r="EO27" t="str">
            <v>NILL</v>
          </cell>
          <cell r="EP27" t="str">
            <v/>
          </cell>
          <cell r="EQ27">
            <v>0</v>
          </cell>
          <cell r="ER27">
            <v>0</v>
          </cell>
          <cell r="ES27" t="e">
            <v>#VALUE!</v>
          </cell>
        </row>
        <row r="28">
          <cell r="A28" t="str">
            <v>BDS/21/040</v>
          </cell>
          <cell r="B28" t="str">
            <v>UGOCHUKWU TOCHUKWU PROSPER</v>
          </cell>
          <cell r="C28" t="str">
            <v>MALE</v>
          </cell>
          <cell r="D28" t="str">
            <v>19/11/2011</v>
          </cell>
          <cell r="E28" t="str">
            <v>JET</v>
          </cell>
          <cell r="F28">
            <v>10</v>
          </cell>
          <cell r="G28">
            <v>10</v>
          </cell>
          <cell r="H28">
            <v>51</v>
          </cell>
          <cell r="I28">
            <v>71</v>
          </cell>
          <cell r="J28">
            <v>71</v>
          </cell>
          <cell r="K28" t="str">
            <v>B1</v>
          </cell>
          <cell r="L28">
            <v>11</v>
          </cell>
          <cell r="M28">
            <v>20</v>
          </cell>
          <cell r="N28">
            <v>23</v>
          </cell>
          <cell r="O28">
            <v>54</v>
          </cell>
          <cell r="P28">
            <v>54</v>
          </cell>
          <cell r="Q28" t="str">
            <v>C4</v>
          </cell>
          <cell r="R28">
            <v>11</v>
          </cell>
          <cell r="S28">
            <v>20</v>
          </cell>
          <cell r="T28">
            <v>42</v>
          </cell>
          <cell r="U28">
            <v>73</v>
          </cell>
          <cell r="V28">
            <v>73</v>
          </cell>
          <cell r="W28" t="str">
            <v>B1</v>
          </cell>
          <cell r="X28" t="str">
            <v/>
          </cell>
          <cell r="Y28" t="str">
            <v/>
          </cell>
          <cell r="Z28" t="str">
            <v/>
          </cell>
          <cell r="AA28">
            <v>0</v>
          </cell>
          <cell r="AB28">
            <v>0</v>
          </cell>
          <cell r="AC28" t="str">
            <v>-</v>
          </cell>
          <cell r="AD28">
            <v>18</v>
          </cell>
          <cell r="AE28">
            <v>18</v>
          </cell>
          <cell r="AF28">
            <v>48</v>
          </cell>
          <cell r="AG28">
            <v>84</v>
          </cell>
          <cell r="AH28">
            <v>84</v>
          </cell>
          <cell r="AI28" t="str">
            <v>A</v>
          </cell>
          <cell r="AJ28">
            <v>20</v>
          </cell>
          <cell r="AK28">
            <v>20</v>
          </cell>
          <cell r="AL28">
            <v>44</v>
          </cell>
          <cell r="AM28">
            <v>84</v>
          </cell>
          <cell r="AN28">
            <v>84</v>
          </cell>
          <cell r="AO28" t="str">
            <v>A</v>
          </cell>
          <cell r="AP28">
            <v>15</v>
          </cell>
          <cell r="AQ28">
            <v>20</v>
          </cell>
          <cell r="AR28">
            <v>37</v>
          </cell>
          <cell r="AS28">
            <v>72</v>
          </cell>
          <cell r="AT28">
            <v>72</v>
          </cell>
          <cell r="AU28" t="str">
            <v>B1</v>
          </cell>
          <cell r="AV28">
            <v>17</v>
          </cell>
          <cell r="AW28">
            <v>20</v>
          </cell>
          <cell r="AX28">
            <v>27</v>
          </cell>
          <cell r="AY28">
            <v>64</v>
          </cell>
          <cell r="AZ28">
            <v>64</v>
          </cell>
          <cell r="BA28" t="str">
            <v>B2</v>
          </cell>
          <cell r="BB28" t="str">
            <v/>
          </cell>
          <cell r="BC28" t="str">
            <v/>
          </cell>
          <cell r="BD28" t="str">
            <v/>
          </cell>
          <cell r="BE28">
            <v>0</v>
          </cell>
          <cell r="BF28">
            <v>0</v>
          </cell>
          <cell r="BG28" t="str">
            <v>-</v>
          </cell>
          <cell r="BH28">
            <v>14</v>
          </cell>
          <cell r="BI28">
            <v>20</v>
          </cell>
          <cell r="BJ28">
            <v>52</v>
          </cell>
          <cell r="BK28">
            <v>86</v>
          </cell>
          <cell r="BL28">
            <v>86</v>
          </cell>
          <cell r="BM28" t="str">
            <v>A</v>
          </cell>
          <cell r="BN28" t="str">
            <v/>
          </cell>
          <cell r="BO28" t="str">
            <v/>
          </cell>
          <cell r="BP28" t="str">
            <v/>
          </cell>
          <cell r="BQ28">
            <v>0</v>
          </cell>
          <cell r="BR28">
            <v>0</v>
          </cell>
          <cell r="BS28" t="str">
            <v>-</v>
          </cell>
          <cell r="BT28" t="str">
            <v/>
          </cell>
          <cell r="BU28" t="str">
            <v/>
          </cell>
          <cell r="BV28" t="str">
            <v/>
          </cell>
          <cell r="BW28">
            <v>0</v>
          </cell>
          <cell r="BX28">
            <v>0</v>
          </cell>
          <cell r="BY28" t="str">
            <v>-</v>
          </cell>
          <cell r="BZ28">
            <v>15</v>
          </cell>
          <cell r="CA28" t="str">
            <v/>
          </cell>
          <cell r="CB28">
            <v>45</v>
          </cell>
          <cell r="CC28">
            <v>60</v>
          </cell>
          <cell r="CD28">
            <v>60</v>
          </cell>
          <cell r="CE28" t="str">
            <v>C4</v>
          </cell>
          <cell r="CF28" t="str">
            <v/>
          </cell>
          <cell r="CG28" t="str">
            <v/>
          </cell>
          <cell r="CH28" t="str">
            <v/>
          </cell>
          <cell r="CI28" t="str">
            <v/>
          </cell>
          <cell r="CJ28" t="str">
            <v/>
          </cell>
          <cell r="CK28" t="str">
            <v/>
          </cell>
          <cell r="CL28">
            <v>648</v>
          </cell>
          <cell r="CM28">
            <v>648</v>
          </cell>
          <cell r="CN28">
            <v>0.72</v>
          </cell>
          <cell r="CO28" t="str">
            <v>11th</v>
          </cell>
          <cell r="CP28">
            <v>71</v>
          </cell>
          <cell r="CQ28">
            <v>41</v>
          </cell>
          <cell r="CR28">
            <v>87</v>
          </cell>
          <cell r="CS28" t="str">
            <v>15th</v>
          </cell>
          <cell r="CT28">
            <v>54</v>
          </cell>
          <cell r="CU28">
            <v>35</v>
          </cell>
          <cell r="CV28">
            <v>74</v>
          </cell>
          <cell r="CW28" t="str">
            <v>16th</v>
          </cell>
          <cell r="CX28">
            <v>73</v>
          </cell>
          <cell r="CY28">
            <v>59</v>
          </cell>
          <cell r="CZ28">
            <v>97</v>
          </cell>
          <cell r="DA28" t="str">
            <v>19th</v>
          </cell>
          <cell r="DB28">
            <v>0</v>
          </cell>
          <cell r="DC28">
            <v>0</v>
          </cell>
          <cell r="DD28">
            <v>0</v>
          </cell>
          <cell r="DE28" t="str">
            <v>NILL</v>
          </cell>
          <cell r="DF28">
            <v>84</v>
          </cell>
          <cell r="DG28">
            <v>33</v>
          </cell>
          <cell r="DH28">
            <v>87</v>
          </cell>
          <cell r="DI28" t="str">
            <v>4th</v>
          </cell>
          <cell r="DJ28">
            <v>84</v>
          </cell>
          <cell r="DK28">
            <v>29</v>
          </cell>
          <cell r="DL28">
            <v>88</v>
          </cell>
          <cell r="DM28" t="str">
            <v>6th</v>
          </cell>
          <cell r="DN28">
            <v>72</v>
          </cell>
          <cell r="DO28">
            <v>35</v>
          </cell>
          <cell r="DP28">
            <v>92</v>
          </cell>
          <cell r="DQ28" t="str">
            <v>12th</v>
          </cell>
          <cell r="DR28">
            <v>64</v>
          </cell>
          <cell r="DS28">
            <v>0</v>
          </cell>
          <cell r="DT28">
            <v>81</v>
          </cell>
          <cell r="DU28" t="str">
            <v>11th</v>
          </cell>
          <cell r="DV28">
            <v>0</v>
          </cell>
          <cell r="DW28">
            <v>0</v>
          </cell>
          <cell r="DX28">
            <v>0</v>
          </cell>
          <cell r="DY28" t="str">
            <v>NILL</v>
          </cell>
          <cell r="DZ28">
            <v>86</v>
          </cell>
          <cell r="EA28">
            <v>0</v>
          </cell>
          <cell r="EB28">
            <v>86</v>
          </cell>
          <cell r="EC28" t="str">
            <v>1st</v>
          </cell>
          <cell r="ED28">
            <v>0</v>
          </cell>
          <cell r="EE28">
            <v>0</v>
          </cell>
          <cell r="EF28">
            <v>18</v>
          </cell>
          <cell r="EG28" t="str">
            <v>NILL</v>
          </cell>
          <cell r="EH28">
            <v>0</v>
          </cell>
          <cell r="EI28">
            <v>0</v>
          </cell>
          <cell r="EJ28">
            <v>89</v>
          </cell>
          <cell r="EK28" t="str">
            <v>NILL</v>
          </cell>
          <cell r="EL28">
            <v>60</v>
          </cell>
          <cell r="EM28">
            <v>0</v>
          </cell>
          <cell r="EN28">
            <v>91</v>
          </cell>
          <cell r="EO28" t="str">
            <v>10th</v>
          </cell>
          <cell r="EP28" t="str">
            <v/>
          </cell>
          <cell r="EQ28">
            <v>0</v>
          </cell>
          <cell r="ER28">
            <v>0</v>
          </cell>
          <cell r="ES28" t="e">
            <v>#VALUE!</v>
          </cell>
        </row>
        <row r="29">
          <cell r="A29" t="str">
            <v>BDS/21/042</v>
          </cell>
          <cell r="B29" t="str">
            <v>UZOMA UDOCHUKWU MICHEAL</v>
          </cell>
          <cell r="C29" t="str">
            <v>MALE</v>
          </cell>
          <cell r="D29">
            <v>40765</v>
          </cell>
          <cell r="E29" t="str">
            <v>JET</v>
          </cell>
          <cell r="F29">
            <v>15</v>
          </cell>
          <cell r="G29">
            <v>15</v>
          </cell>
          <cell r="H29">
            <v>54</v>
          </cell>
          <cell r="I29">
            <v>84</v>
          </cell>
          <cell r="J29">
            <v>84</v>
          </cell>
          <cell r="K29" t="str">
            <v>A</v>
          </cell>
          <cell r="L29">
            <v>11</v>
          </cell>
          <cell r="M29">
            <v>20</v>
          </cell>
          <cell r="N29">
            <v>21</v>
          </cell>
          <cell r="O29">
            <v>52</v>
          </cell>
          <cell r="P29">
            <v>52</v>
          </cell>
          <cell r="Q29" t="str">
            <v>C4</v>
          </cell>
          <cell r="R29">
            <v>19</v>
          </cell>
          <cell r="S29">
            <v>20</v>
          </cell>
          <cell r="T29">
            <v>48</v>
          </cell>
          <cell r="U29">
            <v>87</v>
          </cell>
          <cell r="V29">
            <v>87</v>
          </cell>
          <cell r="W29" t="str">
            <v>A</v>
          </cell>
          <cell r="X29" t="str">
            <v/>
          </cell>
          <cell r="Y29" t="str">
            <v/>
          </cell>
          <cell r="Z29" t="str">
            <v/>
          </cell>
          <cell r="AA29">
            <v>0</v>
          </cell>
          <cell r="AB29">
            <v>0</v>
          </cell>
          <cell r="AC29" t="str">
            <v>-</v>
          </cell>
          <cell r="AD29">
            <v>18</v>
          </cell>
          <cell r="AE29">
            <v>18</v>
          </cell>
          <cell r="AF29">
            <v>45</v>
          </cell>
          <cell r="AG29">
            <v>81</v>
          </cell>
          <cell r="AH29">
            <v>81</v>
          </cell>
          <cell r="AI29" t="str">
            <v>A</v>
          </cell>
          <cell r="AJ29">
            <v>20</v>
          </cell>
          <cell r="AK29">
            <v>20</v>
          </cell>
          <cell r="AL29">
            <v>42</v>
          </cell>
          <cell r="AM29">
            <v>82</v>
          </cell>
          <cell r="AN29">
            <v>82</v>
          </cell>
          <cell r="AO29" t="str">
            <v>A</v>
          </cell>
          <cell r="AP29">
            <v>15</v>
          </cell>
          <cell r="AQ29">
            <v>20</v>
          </cell>
          <cell r="AR29">
            <v>10</v>
          </cell>
          <cell r="AS29">
            <v>45</v>
          </cell>
          <cell r="AT29">
            <v>45</v>
          </cell>
          <cell r="AU29" t="str">
            <v>D</v>
          </cell>
          <cell r="AV29">
            <v>16</v>
          </cell>
          <cell r="AW29">
            <v>10</v>
          </cell>
          <cell r="AX29">
            <v>21</v>
          </cell>
          <cell r="AY29">
            <v>47</v>
          </cell>
          <cell r="AZ29">
            <v>47</v>
          </cell>
          <cell r="BA29" t="str">
            <v>C5</v>
          </cell>
          <cell r="BB29" t="str">
            <v/>
          </cell>
          <cell r="BC29" t="str">
            <v/>
          </cell>
          <cell r="BD29" t="str">
            <v/>
          </cell>
          <cell r="BE29">
            <v>0</v>
          </cell>
          <cell r="BF29">
            <v>0</v>
          </cell>
          <cell r="BG29" t="str">
            <v>-</v>
          </cell>
          <cell r="BH29">
            <v>14</v>
          </cell>
          <cell r="BI29">
            <v>20</v>
          </cell>
          <cell r="BJ29">
            <v>51</v>
          </cell>
          <cell r="BK29">
            <v>85</v>
          </cell>
          <cell r="BL29">
            <v>85</v>
          </cell>
          <cell r="BM29" t="str">
            <v>A</v>
          </cell>
          <cell r="BN29" t="str">
            <v/>
          </cell>
          <cell r="BO29" t="str">
            <v/>
          </cell>
          <cell r="BP29" t="str">
            <v/>
          </cell>
          <cell r="BQ29">
            <v>0</v>
          </cell>
          <cell r="BR29">
            <v>0</v>
          </cell>
          <cell r="BS29" t="str">
            <v>-</v>
          </cell>
          <cell r="BT29" t="str">
            <v/>
          </cell>
          <cell r="BU29" t="str">
            <v/>
          </cell>
          <cell r="BV29" t="str">
            <v/>
          </cell>
          <cell r="BW29">
            <v>0</v>
          </cell>
          <cell r="BX29">
            <v>0</v>
          </cell>
          <cell r="BY29" t="str">
            <v>-</v>
          </cell>
          <cell r="BZ29">
            <v>15</v>
          </cell>
          <cell r="CA29" t="str">
            <v/>
          </cell>
          <cell r="CB29">
            <v>47</v>
          </cell>
          <cell r="CC29">
            <v>62</v>
          </cell>
          <cell r="CD29">
            <v>62</v>
          </cell>
          <cell r="CE29" t="str">
            <v>B2</v>
          </cell>
          <cell r="CF29" t="str">
            <v/>
          </cell>
          <cell r="CG29" t="str">
            <v/>
          </cell>
          <cell r="CH29" t="str">
            <v/>
          </cell>
          <cell r="CI29" t="str">
            <v/>
          </cell>
          <cell r="CJ29" t="str">
            <v/>
          </cell>
          <cell r="CK29" t="str">
            <v/>
          </cell>
          <cell r="CL29">
            <v>625</v>
          </cell>
          <cell r="CM29">
            <v>625</v>
          </cell>
          <cell r="CN29">
            <v>0.69444444444444442</v>
          </cell>
          <cell r="CO29" t="str">
            <v>15th</v>
          </cell>
          <cell r="CP29">
            <v>84</v>
          </cell>
          <cell r="CQ29">
            <v>41</v>
          </cell>
          <cell r="CR29">
            <v>87</v>
          </cell>
          <cell r="CS29" t="str">
            <v>3rd</v>
          </cell>
          <cell r="CT29">
            <v>52</v>
          </cell>
          <cell r="CU29">
            <v>35</v>
          </cell>
          <cell r="CV29">
            <v>74</v>
          </cell>
          <cell r="CW29" t="str">
            <v>18th</v>
          </cell>
          <cell r="CX29">
            <v>87</v>
          </cell>
          <cell r="CY29">
            <v>59</v>
          </cell>
          <cell r="CZ29">
            <v>97</v>
          </cell>
          <cell r="DA29" t="str">
            <v>7th</v>
          </cell>
          <cell r="DB29">
            <v>0</v>
          </cell>
          <cell r="DC29">
            <v>0</v>
          </cell>
          <cell r="DD29">
            <v>0</v>
          </cell>
          <cell r="DE29" t="str">
            <v>NILL</v>
          </cell>
          <cell r="DF29">
            <v>81</v>
          </cell>
          <cell r="DG29">
            <v>33</v>
          </cell>
          <cell r="DH29">
            <v>87</v>
          </cell>
          <cell r="DI29" t="str">
            <v>8th</v>
          </cell>
          <cell r="DJ29">
            <v>82</v>
          </cell>
          <cell r="DK29">
            <v>29</v>
          </cell>
          <cell r="DL29">
            <v>88</v>
          </cell>
          <cell r="DM29" t="str">
            <v>8th</v>
          </cell>
          <cell r="DN29">
            <v>45</v>
          </cell>
          <cell r="DO29">
            <v>35</v>
          </cell>
          <cell r="DP29">
            <v>92</v>
          </cell>
          <cell r="DQ29" t="str">
            <v>28th</v>
          </cell>
          <cell r="DR29">
            <v>47</v>
          </cell>
          <cell r="DS29">
            <v>0</v>
          </cell>
          <cell r="DT29">
            <v>81</v>
          </cell>
          <cell r="DU29" t="str">
            <v>21st</v>
          </cell>
          <cell r="DV29">
            <v>0</v>
          </cell>
          <cell r="DW29">
            <v>0</v>
          </cell>
          <cell r="DX29">
            <v>0</v>
          </cell>
          <cell r="DY29" t="str">
            <v>NILL</v>
          </cell>
          <cell r="DZ29">
            <v>85</v>
          </cell>
          <cell r="EA29">
            <v>0</v>
          </cell>
          <cell r="EB29">
            <v>86</v>
          </cell>
          <cell r="EC29" t="str">
            <v>2nd</v>
          </cell>
          <cell r="ED29">
            <v>0</v>
          </cell>
          <cell r="EE29">
            <v>0</v>
          </cell>
          <cell r="EF29">
            <v>19</v>
          </cell>
          <cell r="EG29" t="str">
            <v>NILL</v>
          </cell>
          <cell r="EH29">
            <v>0</v>
          </cell>
          <cell r="EI29">
            <v>0</v>
          </cell>
          <cell r="EJ29">
            <v>89</v>
          </cell>
          <cell r="EK29" t="str">
            <v>NILL</v>
          </cell>
          <cell r="EL29">
            <v>62</v>
          </cell>
          <cell r="EM29">
            <v>0</v>
          </cell>
          <cell r="EN29">
            <v>91</v>
          </cell>
          <cell r="EO29" t="str">
            <v>9th</v>
          </cell>
          <cell r="EP29" t="str">
            <v/>
          </cell>
          <cell r="EQ29">
            <v>0</v>
          </cell>
          <cell r="ER29">
            <v>0</v>
          </cell>
          <cell r="ES29" t="e">
            <v>#VALUE!</v>
          </cell>
        </row>
        <row r="30">
          <cell r="A30" t="str">
            <v>BDS/21/043</v>
          </cell>
          <cell r="B30" t="str">
            <v>WISDOM TOCHUKWU PAUL</v>
          </cell>
          <cell r="C30" t="str">
            <v>MALE</v>
          </cell>
          <cell r="D30" t="str">
            <v>31/08/2010</v>
          </cell>
          <cell r="E30" t="str">
            <v>DANCING</v>
          </cell>
          <cell r="F30">
            <v>15</v>
          </cell>
          <cell r="G30">
            <v>15</v>
          </cell>
          <cell r="H30">
            <v>38</v>
          </cell>
          <cell r="I30">
            <v>68</v>
          </cell>
          <cell r="J30">
            <v>68</v>
          </cell>
          <cell r="K30" t="str">
            <v>B2</v>
          </cell>
          <cell r="L30">
            <v>8</v>
          </cell>
          <cell r="M30">
            <v>20</v>
          </cell>
          <cell r="N30">
            <v>23</v>
          </cell>
          <cell r="O30">
            <v>51</v>
          </cell>
          <cell r="P30">
            <v>51</v>
          </cell>
          <cell r="Q30" t="str">
            <v>C4</v>
          </cell>
          <cell r="R30">
            <v>18</v>
          </cell>
          <cell r="S30">
            <v>18</v>
          </cell>
          <cell r="T30">
            <v>44</v>
          </cell>
          <cell r="U30">
            <v>80</v>
          </cell>
          <cell r="V30">
            <v>80</v>
          </cell>
          <cell r="W30" t="str">
            <v>B1</v>
          </cell>
          <cell r="X30" t="str">
            <v/>
          </cell>
          <cell r="Y30" t="str">
            <v/>
          </cell>
          <cell r="Z30" t="str">
            <v/>
          </cell>
          <cell r="AA30">
            <v>0</v>
          </cell>
          <cell r="AB30">
            <v>0</v>
          </cell>
          <cell r="AC30" t="str">
            <v>-</v>
          </cell>
          <cell r="AD30">
            <v>18</v>
          </cell>
          <cell r="AE30">
            <v>18</v>
          </cell>
          <cell r="AF30">
            <v>26</v>
          </cell>
          <cell r="AG30">
            <v>62</v>
          </cell>
          <cell r="AH30">
            <v>62</v>
          </cell>
          <cell r="AI30" t="str">
            <v>B2</v>
          </cell>
          <cell r="AJ30">
            <v>20</v>
          </cell>
          <cell r="AK30">
            <v>20</v>
          </cell>
          <cell r="AL30">
            <v>23</v>
          </cell>
          <cell r="AM30">
            <v>63</v>
          </cell>
          <cell r="AN30">
            <v>63</v>
          </cell>
          <cell r="AO30" t="str">
            <v>B2</v>
          </cell>
          <cell r="AP30">
            <v>10</v>
          </cell>
          <cell r="AQ30">
            <v>10</v>
          </cell>
          <cell r="AR30">
            <v>45</v>
          </cell>
          <cell r="AS30">
            <v>65</v>
          </cell>
          <cell r="AT30">
            <v>65</v>
          </cell>
          <cell r="AU30" t="str">
            <v>B2</v>
          </cell>
          <cell r="AV30">
            <v>13</v>
          </cell>
          <cell r="AW30">
            <v>10</v>
          </cell>
          <cell r="AX30">
            <v>38</v>
          </cell>
          <cell r="AY30">
            <v>61</v>
          </cell>
          <cell r="AZ30">
            <v>61</v>
          </cell>
          <cell r="BA30" t="str">
            <v>B2</v>
          </cell>
          <cell r="BB30" t="str">
            <v/>
          </cell>
          <cell r="BC30" t="str">
            <v/>
          </cell>
          <cell r="BD30" t="str">
            <v/>
          </cell>
          <cell r="BE30">
            <v>0</v>
          </cell>
          <cell r="BF30">
            <v>0</v>
          </cell>
          <cell r="BG30" t="str">
            <v>-</v>
          </cell>
          <cell r="BH30" t="str">
            <v/>
          </cell>
          <cell r="BI30" t="str">
            <v/>
          </cell>
          <cell r="BJ30" t="str">
            <v/>
          </cell>
          <cell r="BK30">
            <v>0</v>
          </cell>
          <cell r="BL30">
            <v>0</v>
          </cell>
          <cell r="BM30" t="str">
            <v>-</v>
          </cell>
          <cell r="BN30" t="str">
            <v/>
          </cell>
          <cell r="BO30" t="str">
            <v/>
          </cell>
          <cell r="BP30" t="str">
            <v/>
          </cell>
          <cell r="BQ30">
            <v>0</v>
          </cell>
          <cell r="BR30">
            <v>0</v>
          </cell>
          <cell r="BS30" t="str">
            <v>-</v>
          </cell>
          <cell r="BT30" t="str">
            <v/>
          </cell>
          <cell r="BU30" t="str">
            <v/>
          </cell>
          <cell r="BV30" t="str">
            <v/>
          </cell>
          <cell r="BW30">
            <v>0</v>
          </cell>
          <cell r="BX30">
            <v>0</v>
          </cell>
          <cell r="BY30" t="str">
            <v>-</v>
          </cell>
          <cell r="BZ30" t="str">
            <v/>
          </cell>
          <cell r="CA30" t="str">
            <v/>
          </cell>
          <cell r="CB30" t="str">
            <v/>
          </cell>
          <cell r="CC30">
            <v>0</v>
          </cell>
          <cell r="CD30">
            <v>0</v>
          </cell>
          <cell r="CE30" t="str">
            <v>-</v>
          </cell>
          <cell r="CF30" t="str">
            <v/>
          </cell>
          <cell r="CG30" t="str">
            <v/>
          </cell>
          <cell r="CH30" t="str">
            <v/>
          </cell>
          <cell r="CI30" t="str">
            <v/>
          </cell>
          <cell r="CJ30" t="str">
            <v/>
          </cell>
          <cell r="CK30" t="str">
            <v/>
          </cell>
          <cell r="CL30">
            <v>450</v>
          </cell>
          <cell r="CM30">
            <v>450</v>
          </cell>
          <cell r="CN30">
            <v>0.5</v>
          </cell>
          <cell r="CO30" t="str">
            <v>31st</v>
          </cell>
          <cell r="CP30">
            <v>68</v>
          </cell>
          <cell r="CQ30">
            <v>41</v>
          </cell>
          <cell r="CR30">
            <v>87</v>
          </cell>
          <cell r="CS30" t="str">
            <v>22nd</v>
          </cell>
          <cell r="CT30">
            <v>51</v>
          </cell>
          <cell r="CU30">
            <v>35</v>
          </cell>
          <cell r="CV30">
            <v>74</v>
          </cell>
          <cell r="CW30" t="str">
            <v>20th</v>
          </cell>
          <cell r="CX30">
            <v>80</v>
          </cell>
          <cell r="CY30">
            <v>59</v>
          </cell>
          <cell r="CZ30">
            <v>97</v>
          </cell>
          <cell r="DA30" t="str">
            <v>13th</v>
          </cell>
          <cell r="DB30">
            <v>0</v>
          </cell>
          <cell r="DC30">
            <v>0</v>
          </cell>
          <cell r="DD30">
            <v>0</v>
          </cell>
          <cell r="DE30" t="str">
            <v>NILL</v>
          </cell>
          <cell r="DF30">
            <v>62</v>
          </cell>
          <cell r="DG30">
            <v>33</v>
          </cell>
          <cell r="DH30">
            <v>87</v>
          </cell>
          <cell r="DI30" t="str">
            <v>27th</v>
          </cell>
          <cell r="DJ30">
            <v>63</v>
          </cell>
          <cell r="DK30">
            <v>29</v>
          </cell>
          <cell r="DL30">
            <v>88</v>
          </cell>
          <cell r="DM30" t="str">
            <v>23rd</v>
          </cell>
          <cell r="DN30">
            <v>65</v>
          </cell>
          <cell r="DO30">
            <v>35</v>
          </cell>
          <cell r="DP30">
            <v>92</v>
          </cell>
          <cell r="DQ30" t="str">
            <v>17th</v>
          </cell>
          <cell r="DR30">
            <v>61</v>
          </cell>
          <cell r="DS30">
            <v>0</v>
          </cell>
          <cell r="DT30">
            <v>81</v>
          </cell>
          <cell r="DU30" t="str">
            <v>16th</v>
          </cell>
          <cell r="DV30">
            <v>0</v>
          </cell>
          <cell r="DW30">
            <v>0</v>
          </cell>
          <cell r="DX30">
            <v>0</v>
          </cell>
          <cell r="DY30" t="str">
            <v>NILL</v>
          </cell>
          <cell r="DZ30">
            <v>0</v>
          </cell>
          <cell r="EA30">
            <v>0</v>
          </cell>
          <cell r="EB30">
            <v>86</v>
          </cell>
          <cell r="EC30" t="str">
            <v>NILL</v>
          </cell>
          <cell r="ED30">
            <v>0</v>
          </cell>
          <cell r="EE30">
            <v>0</v>
          </cell>
          <cell r="EF30">
            <v>20</v>
          </cell>
          <cell r="EG30" t="str">
            <v>NILL</v>
          </cell>
          <cell r="EH30">
            <v>0</v>
          </cell>
          <cell r="EI30">
            <v>0</v>
          </cell>
          <cell r="EJ30">
            <v>89</v>
          </cell>
          <cell r="EK30" t="str">
            <v>NILL</v>
          </cell>
          <cell r="EL30">
            <v>0</v>
          </cell>
          <cell r="EM30">
            <v>0</v>
          </cell>
          <cell r="EN30">
            <v>91</v>
          </cell>
          <cell r="EO30" t="str">
            <v>NILL</v>
          </cell>
          <cell r="EP30" t="str">
            <v/>
          </cell>
          <cell r="EQ30">
            <v>0</v>
          </cell>
          <cell r="ER30">
            <v>0</v>
          </cell>
          <cell r="ES30" t="e">
            <v>#VALUE!</v>
          </cell>
        </row>
        <row r="31">
          <cell r="A31" t="str">
            <v>BDS/21/054</v>
          </cell>
          <cell r="B31" t="str">
            <v>OBIGWE PRINCEWILL</v>
          </cell>
          <cell r="C31" t="str">
            <v>MALE</v>
          </cell>
          <cell r="D31">
            <v>40733</v>
          </cell>
          <cell r="E31" t="str">
            <v>DEBATE</v>
          </cell>
          <cell r="F31">
            <v>15</v>
          </cell>
          <cell r="G31">
            <v>15</v>
          </cell>
          <cell r="H31">
            <v>40</v>
          </cell>
          <cell r="I31">
            <v>70</v>
          </cell>
          <cell r="J31">
            <v>70</v>
          </cell>
          <cell r="K31" t="str">
            <v>B2</v>
          </cell>
          <cell r="L31">
            <v>8</v>
          </cell>
          <cell r="M31">
            <v>20</v>
          </cell>
          <cell r="N31">
            <v>42</v>
          </cell>
          <cell r="O31">
            <v>70</v>
          </cell>
          <cell r="P31">
            <v>70</v>
          </cell>
          <cell r="Q31" t="str">
            <v>B2</v>
          </cell>
          <cell r="R31">
            <v>18</v>
          </cell>
          <cell r="S31">
            <v>20</v>
          </cell>
          <cell r="T31">
            <v>54</v>
          </cell>
          <cell r="U31">
            <v>92</v>
          </cell>
          <cell r="V31">
            <v>92</v>
          </cell>
          <cell r="W31" t="str">
            <v>A</v>
          </cell>
          <cell r="X31" t="str">
            <v/>
          </cell>
          <cell r="Y31" t="str">
            <v/>
          </cell>
          <cell r="Z31" t="str">
            <v/>
          </cell>
          <cell r="AA31">
            <v>0</v>
          </cell>
          <cell r="AB31">
            <v>0</v>
          </cell>
          <cell r="AC31" t="str">
            <v>-</v>
          </cell>
          <cell r="AD31">
            <v>18</v>
          </cell>
          <cell r="AE31">
            <v>18</v>
          </cell>
          <cell r="AF31">
            <v>38</v>
          </cell>
          <cell r="AG31">
            <v>74</v>
          </cell>
          <cell r="AH31">
            <v>74</v>
          </cell>
          <cell r="AI31" t="str">
            <v>B1</v>
          </cell>
          <cell r="AJ31">
            <v>20</v>
          </cell>
          <cell r="AK31">
            <v>20</v>
          </cell>
          <cell r="AL31">
            <v>34</v>
          </cell>
          <cell r="AM31">
            <v>74</v>
          </cell>
          <cell r="AN31">
            <v>74</v>
          </cell>
          <cell r="AO31" t="str">
            <v>B1</v>
          </cell>
          <cell r="AP31">
            <v>18</v>
          </cell>
          <cell r="AQ31">
            <v>20</v>
          </cell>
          <cell r="AR31">
            <v>18</v>
          </cell>
          <cell r="AS31">
            <v>56</v>
          </cell>
          <cell r="AT31">
            <v>56.000000000000007</v>
          </cell>
          <cell r="AU31" t="str">
            <v>C4</v>
          </cell>
          <cell r="AV31">
            <v>17</v>
          </cell>
          <cell r="AW31">
            <v>10</v>
          </cell>
          <cell r="AX31">
            <v>34</v>
          </cell>
          <cell r="AY31">
            <v>61</v>
          </cell>
          <cell r="AZ31">
            <v>61</v>
          </cell>
          <cell r="BA31" t="str">
            <v>B2</v>
          </cell>
          <cell r="BB31" t="str">
            <v/>
          </cell>
          <cell r="BC31" t="str">
            <v/>
          </cell>
          <cell r="BD31" t="str">
            <v/>
          </cell>
          <cell r="BE31">
            <v>0</v>
          </cell>
          <cell r="BF31">
            <v>0</v>
          </cell>
          <cell r="BG31" t="str">
            <v>-</v>
          </cell>
          <cell r="BH31">
            <v>9</v>
          </cell>
          <cell r="BI31">
            <v>20</v>
          </cell>
          <cell r="BJ31">
            <v>43</v>
          </cell>
          <cell r="BK31">
            <v>72</v>
          </cell>
          <cell r="BL31">
            <v>72</v>
          </cell>
          <cell r="BM31" t="str">
            <v>B1</v>
          </cell>
          <cell r="BN31">
            <v>5</v>
          </cell>
          <cell r="BO31">
            <v>18</v>
          </cell>
          <cell r="BP31">
            <v>22</v>
          </cell>
          <cell r="BQ31">
            <v>45</v>
          </cell>
          <cell r="BR31">
            <v>45</v>
          </cell>
          <cell r="BS31" t="str">
            <v>D</v>
          </cell>
          <cell r="BT31" t="str">
            <v/>
          </cell>
          <cell r="BU31" t="str">
            <v/>
          </cell>
          <cell r="BV31" t="str">
            <v/>
          </cell>
          <cell r="BW31">
            <v>0</v>
          </cell>
          <cell r="BX31">
            <v>0</v>
          </cell>
          <cell r="BY31" t="str">
            <v>-</v>
          </cell>
          <cell r="BZ31">
            <v>14</v>
          </cell>
          <cell r="CA31">
            <v>20</v>
          </cell>
          <cell r="CB31">
            <v>48</v>
          </cell>
          <cell r="CC31">
            <v>82</v>
          </cell>
          <cell r="CD31">
            <v>82</v>
          </cell>
          <cell r="CE31" t="str">
            <v>A</v>
          </cell>
          <cell r="CF31" t="str">
            <v/>
          </cell>
          <cell r="CG31" t="str">
            <v/>
          </cell>
          <cell r="CH31" t="str">
            <v/>
          </cell>
          <cell r="CI31" t="str">
            <v/>
          </cell>
          <cell r="CJ31" t="str">
            <v/>
          </cell>
          <cell r="CK31" t="str">
            <v/>
          </cell>
          <cell r="CL31">
            <v>696</v>
          </cell>
          <cell r="CM31">
            <v>696</v>
          </cell>
          <cell r="CN31">
            <v>0.77333333333333332</v>
          </cell>
          <cell r="CO31" t="str">
            <v>5th</v>
          </cell>
          <cell r="CP31">
            <v>70</v>
          </cell>
          <cell r="CQ31">
            <v>41</v>
          </cell>
          <cell r="CR31">
            <v>87</v>
          </cell>
          <cell r="CS31" t="str">
            <v>17th</v>
          </cell>
          <cell r="CT31">
            <v>70</v>
          </cell>
          <cell r="CU31">
            <v>35</v>
          </cell>
          <cell r="CV31">
            <v>74</v>
          </cell>
          <cell r="CW31" t="str">
            <v>5th</v>
          </cell>
          <cell r="CX31">
            <v>92</v>
          </cell>
          <cell r="CY31">
            <v>59</v>
          </cell>
          <cell r="CZ31">
            <v>97</v>
          </cell>
          <cell r="DA31" t="str">
            <v>3rd</v>
          </cell>
          <cell r="DB31">
            <v>0</v>
          </cell>
          <cell r="DC31">
            <v>0</v>
          </cell>
          <cell r="DD31">
            <v>0</v>
          </cell>
          <cell r="DE31" t="str">
            <v>NILL</v>
          </cell>
          <cell r="DF31">
            <v>74</v>
          </cell>
          <cell r="DG31">
            <v>33</v>
          </cell>
          <cell r="DH31">
            <v>87</v>
          </cell>
          <cell r="DI31" t="str">
            <v>20th</v>
          </cell>
          <cell r="DJ31">
            <v>74</v>
          </cell>
          <cell r="DK31">
            <v>29</v>
          </cell>
          <cell r="DL31">
            <v>88</v>
          </cell>
          <cell r="DM31" t="str">
            <v>14th</v>
          </cell>
          <cell r="DN31">
            <v>56</v>
          </cell>
          <cell r="DO31">
            <v>35</v>
          </cell>
          <cell r="DP31">
            <v>92</v>
          </cell>
          <cell r="DQ31" t="str">
            <v>26th</v>
          </cell>
          <cell r="DR31">
            <v>61</v>
          </cell>
          <cell r="DS31">
            <v>0</v>
          </cell>
          <cell r="DT31">
            <v>81</v>
          </cell>
          <cell r="DU31" t="str">
            <v>16th</v>
          </cell>
          <cell r="DV31">
            <v>0</v>
          </cell>
          <cell r="DW31">
            <v>0</v>
          </cell>
          <cell r="DX31">
            <v>0</v>
          </cell>
          <cell r="DY31" t="str">
            <v>NILL</v>
          </cell>
          <cell r="DZ31">
            <v>72</v>
          </cell>
          <cell r="EA31">
            <v>0</v>
          </cell>
          <cell r="EB31">
            <v>86</v>
          </cell>
          <cell r="EC31" t="str">
            <v>13th</v>
          </cell>
          <cell r="ED31">
            <v>45</v>
          </cell>
          <cell r="EE31">
            <v>0</v>
          </cell>
          <cell r="EF31">
            <v>21</v>
          </cell>
          <cell r="EG31" t="str">
            <v>12th</v>
          </cell>
          <cell r="EH31">
            <v>0</v>
          </cell>
          <cell r="EI31">
            <v>0</v>
          </cell>
          <cell r="EJ31">
            <v>89</v>
          </cell>
          <cell r="EK31" t="str">
            <v>NILL</v>
          </cell>
          <cell r="EL31">
            <v>82</v>
          </cell>
          <cell r="EM31">
            <v>0</v>
          </cell>
          <cell r="EN31">
            <v>91</v>
          </cell>
          <cell r="EO31" t="str">
            <v>5th</v>
          </cell>
          <cell r="EP31" t="str">
            <v/>
          </cell>
          <cell r="EQ31">
            <v>0</v>
          </cell>
          <cell r="ER31">
            <v>0</v>
          </cell>
          <cell r="ES31" t="e">
            <v>#VALUE!</v>
          </cell>
        </row>
        <row r="32">
          <cell r="A32" t="str">
            <v>BDS/21/062</v>
          </cell>
          <cell r="B32" t="str">
            <v>PROMISE BLESSING</v>
          </cell>
          <cell r="C32" t="str">
            <v>FEMALE</v>
          </cell>
          <cell r="D32" t="str">
            <v>23/06/2011</v>
          </cell>
          <cell r="E32" t="str">
            <v xml:space="preserve"> SINGING AND DANCING </v>
          </cell>
          <cell r="F32">
            <v>15</v>
          </cell>
          <cell r="G32">
            <v>15</v>
          </cell>
          <cell r="H32">
            <v>43</v>
          </cell>
          <cell r="I32">
            <v>73</v>
          </cell>
          <cell r="J32">
            <v>73</v>
          </cell>
          <cell r="K32" t="str">
            <v>B1</v>
          </cell>
          <cell r="L32">
            <v>10</v>
          </cell>
          <cell r="M32">
            <v>20</v>
          </cell>
          <cell r="N32">
            <v>14</v>
          </cell>
          <cell r="O32">
            <v>44</v>
          </cell>
          <cell r="P32">
            <v>44</v>
          </cell>
          <cell r="Q32" t="str">
            <v>D</v>
          </cell>
          <cell r="R32">
            <v>13</v>
          </cell>
          <cell r="S32">
            <v>20</v>
          </cell>
          <cell r="T32">
            <v>43</v>
          </cell>
          <cell r="U32">
            <v>76</v>
          </cell>
          <cell r="V32">
            <v>76</v>
          </cell>
          <cell r="W32" t="str">
            <v>B1</v>
          </cell>
          <cell r="X32" t="str">
            <v/>
          </cell>
          <cell r="Y32" t="str">
            <v/>
          </cell>
          <cell r="Z32" t="str">
            <v/>
          </cell>
          <cell r="AA32">
            <v>0</v>
          </cell>
          <cell r="AB32">
            <v>0</v>
          </cell>
          <cell r="AC32" t="str">
            <v>-</v>
          </cell>
          <cell r="AD32">
            <v>18</v>
          </cell>
          <cell r="AE32">
            <v>18</v>
          </cell>
          <cell r="AF32">
            <v>35</v>
          </cell>
          <cell r="AG32">
            <v>71</v>
          </cell>
          <cell r="AH32">
            <v>71</v>
          </cell>
          <cell r="AI32" t="str">
            <v>B1</v>
          </cell>
          <cell r="AJ32">
            <v>20</v>
          </cell>
          <cell r="AK32">
            <v>20</v>
          </cell>
          <cell r="AL32">
            <v>28</v>
          </cell>
          <cell r="AM32">
            <v>68</v>
          </cell>
          <cell r="AN32">
            <v>68</v>
          </cell>
          <cell r="AO32" t="str">
            <v>B2</v>
          </cell>
          <cell r="AP32">
            <v>10</v>
          </cell>
          <cell r="AQ32">
            <v>12</v>
          </cell>
          <cell r="AR32">
            <v>40</v>
          </cell>
          <cell r="AS32">
            <v>62</v>
          </cell>
          <cell r="AT32">
            <v>62</v>
          </cell>
          <cell r="AU32" t="str">
            <v>B2</v>
          </cell>
          <cell r="AV32">
            <v>17</v>
          </cell>
          <cell r="AW32">
            <v>10</v>
          </cell>
          <cell r="AX32">
            <v>23</v>
          </cell>
          <cell r="AY32">
            <v>50</v>
          </cell>
          <cell r="AZ32">
            <v>50</v>
          </cell>
          <cell r="BA32" t="str">
            <v>C5</v>
          </cell>
          <cell r="BB32" t="str">
            <v/>
          </cell>
          <cell r="BC32" t="str">
            <v/>
          </cell>
          <cell r="BD32" t="str">
            <v/>
          </cell>
          <cell r="BE32">
            <v>0</v>
          </cell>
          <cell r="BF32">
            <v>0</v>
          </cell>
          <cell r="BG32" t="str">
            <v>-</v>
          </cell>
          <cell r="BH32" t="str">
            <v/>
          </cell>
          <cell r="BI32" t="str">
            <v/>
          </cell>
          <cell r="BJ32" t="str">
            <v/>
          </cell>
          <cell r="BK32">
            <v>0</v>
          </cell>
          <cell r="BL32">
            <v>0</v>
          </cell>
          <cell r="BM32" t="str">
            <v>-</v>
          </cell>
          <cell r="BN32">
            <v>9</v>
          </cell>
          <cell r="BO32">
            <v>17</v>
          </cell>
          <cell r="BP32">
            <v>39</v>
          </cell>
          <cell r="BQ32">
            <v>65</v>
          </cell>
          <cell r="BR32">
            <v>65</v>
          </cell>
          <cell r="BS32" t="str">
            <v>B2</v>
          </cell>
          <cell r="BT32" t="str">
            <v/>
          </cell>
          <cell r="BU32" t="str">
            <v/>
          </cell>
          <cell r="BV32" t="str">
            <v/>
          </cell>
          <cell r="BW32">
            <v>0</v>
          </cell>
          <cell r="BX32">
            <v>0</v>
          </cell>
          <cell r="BY32" t="str">
            <v>-</v>
          </cell>
          <cell r="BZ32" t="str">
            <v/>
          </cell>
          <cell r="CA32" t="str">
            <v/>
          </cell>
          <cell r="CB32">
            <v>27</v>
          </cell>
          <cell r="CC32">
            <v>27</v>
          </cell>
          <cell r="CD32">
            <v>27</v>
          </cell>
          <cell r="CE32" t="str">
            <v>F9</v>
          </cell>
          <cell r="CF32" t="str">
            <v/>
          </cell>
          <cell r="CG32" t="str">
            <v/>
          </cell>
          <cell r="CH32" t="str">
            <v/>
          </cell>
          <cell r="CI32" t="str">
            <v/>
          </cell>
          <cell r="CJ32" t="str">
            <v/>
          </cell>
          <cell r="CK32" t="str">
            <v/>
          </cell>
          <cell r="CL32">
            <v>536</v>
          </cell>
          <cell r="CM32">
            <v>536</v>
          </cell>
          <cell r="CN32">
            <v>0.59555555555555562</v>
          </cell>
          <cell r="CO32" t="str">
            <v>24th</v>
          </cell>
          <cell r="CP32">
            <v>73</v>
          </cell>
          <cell r="CQ32">
            <v>41</v>
          </cell>
          <cell r="CR32">
            <v>87</v>
          </cell>
          <cell r="CS32" t="str">
            <v>14th</v>
          </cell>
          <cell r="CT32">
            <v>44</v>
          </cell>
          <cell r="CU32">
            <v>35</v>
          </cell>
          <cell r="CV32">
            <v>74</v>
          </cell>
          <cell r="CW32" t="str">
            <v>29th</v>
          </cell>
          <cell r="CX32">
            <v>76</v>
          </cell>
          <cell r="CY32">
            <v>59</v>
          </cell>
          <cell r="CZ32">
            <v>97</v>
          </cell>
          <cell r="DA32" t="str">
            <v>16th</v>
          </cell>
          <cell r="DB32">
            <v>0</v>
          </cell>
          <cell r="DC32">
            <v>0</v>
          </cell>
          <cell r="DD32">
            <v>0</v>
          </cell>
          <cell r="DE32" t="str">
            <v>NILL</v>
          </cell>
          <cell r="DF32">
            <v>71</v>
          </cell>
          <cell r="DG32">
            <v>33</v>
          </cell>
          <cell r="DH32">
            <v>87</v>
          </cell>
          <cell r="DI32" t="str">
            <v>21st</v>
          </cell>
          <cell r="DJ32">
            <v>68</v>
          </cell>
          <cell r="DK32">
            <v>29</v>
          </cell>
          <cell r="DL32">
            <v>88</v>
          </cell>
          <cell r="DM32" t="str">
            <v>20th</v>
          </cell>
          <cell r="DN32">
            <v>62</v>
          </cell>
          <cell r="DO32">
            <v>35</v>
          </cell>
          <cell r="DP32">
            <v>92</v>
          </cell>
          <cell r="DQ32" t="str">
            <v>21st</v>
          </cell>
          <cell r="DR32">
            <v>50</v>
          </cell>
          <cell r="DS32">
            <v>0</v>
          </cell>
          <cell r="DT32">
            <v>81</v>
          </cell>
          <cell r="DU32" t="str">
            <v>20th</v>
          </cell>
          <cell r="DV32">
            <v>0</v>
          </cell>
          <cell r="DW32">
            <v>0</v>
          </cell>
          <cell r="DX32">
            <v>0</v>
          </cell>
          <cell r="DY32" t="str">
            <v>NILL</v>
          </cell>
          <cell r="DZ32">
            <v>0</v>
          </cell>
          <cell r="EA32">
            <v>0</v>
          </cell>
          <cell r="EB32">
            <v>86</v>
          </cell>
          <cell r="EC32" t="str">
            <v>NILL</v>
          </cell>
          <cell r="ED32">
            <v>65</v>
          </cell>
          <cell r="EE32">
            <v>0</v>
          </cell>
          <cell r="EF32">
            <v>22</v>
          </cell>
          <cell r="EG32" t="str">
            <v>6th</v>
          </cell>
          <cell r="EH32">
            <v>0</v>
          </cell>
          <cell r="EI32">
            <v>0</v>
          </cell>
          <cell r="EJ32">
            <v>89</v>
          </cell>
          <cell r="EK32" t="str">
            <v>NILL</v>
          </cell>
          <cell r="EL32">
            <v>27</v>
          </cell>
          <cell r="EM32">
            <v>0</v>
          </cell>
          <cell r="EN32">
            <v>91</v>
          </cell>
          <cell r="EO32" t="str">
            <v>19th</v>
          </cell>
          <cell r="EP32" t="str">
            <v/>
          </cell>
          <cell r="EQ32">
            <v>0</v>
          </cell>
          <cell r="ER32">
            <v>0</v>
          </cell>
          <cell r="ES32" t="e">
            <v>#VALUE!</v>
          </cell>
        </row>
        <row r="33">
          <cell r="A33" t="str">
            <v>BDS/21/068</v>
          </cell>
          <cell r="B33" t="str">
            <v>AKUCHIE CHIOMA</v>
          </cell>
          <cell r="C33" t="str">
            <v>FEMALE</v>
          </cell>
          <cell r="D33" t="str">
            <v>16/2/2010</v>
          </cell>
          <cell r="E33" t="str">
            <v xml:space="preserve">SINGING AND DANCING </v>
          </cell>
          <cell r="F33">
            <v>10</v>
          </cell>
          <cell r="G33">
            <v>15</v>
          </cell>
          <cell r="H33">
            <v>41</v>
          </cell>
          <cell r="I33">
            <v>66</v>
          </cell>
          <cell r="J33">
            <v>66</v>
          </cell>
          <cell r="K33" t="str">
            <v>B2</v>
          </cell>
          <cell r="L33">
            <v>7</v>
          </cell>
          <cell r="M33">
            <v>20</v>
          </cell>
          <cell r="N33">
            <v>28</v>
          </cell>
          <cell r="O33">
            <v>55</v>
          </cell>
          <cell r="P33">
            <v>55.000000000000007</v>
          </cell>
          <cell r="Q33" t="str">
            <v>C4</v>
          </cell>
          <cell r="R33">
            <v>10</v>
          </cell>
          <cell r="S33">
            <v>7</v>
          </cell>
          <cell r="T33">
            <v>45</v>
          </cell>
          <cell r="U33">
            <v>62</v>
          </cell>
          <cell r="V33">
            <v>62</v>
          </cell>
          <cell r="W33" t="str">
            <v>B2</v>
          </cell>
          <cell r="X33" t="str">
            <v/>
          </cell>
          <cell r="Y33" t="str">
            <v/>
          </cell>
          <cell r="Z33" t="str">
            <v/>
          </cell>
          <cell r="AA33">
            <v>0</v>
          </cell>
          <cell r="AB33">
            <v>0</v>
          </cell>
          <cell r="AC33" t="str">
            <v>-</v>
          </cell>
          <cell r="AD33">
            <v>18</v>
          </cell>
          <cell r="AE33">
            <v>18</v>
          </cell>
          <cell r="AF33">
            <v>41</v>
          </cell>
          <cell r="AG33">
            <v>77</v>
          </cell>
          <cell r="AH33">
            <v>77</v>
          </cell>
          <cell r="AI33" t="str">
            <v>B1</v>
          </cell>
          <cell r="AJ33">
            <v>20</v>
          </cell>
          <cell r="AK33">
            <v>20</v>
          </cell>
          <cell r="AL33">
            <v>30</v>
          </cell>
          <cell r="AM33">
            <v>70</v>
          </cell>
          <cell r="AN33">
            <v>70</v>
          </cell>
          <cell r="AO33" t="str">
            <v>B2</v>
          </cell>
          <cell r="AP33">
            <v>10</v>
          </cell>
          <cell r="AQ33">
            <v>12</v>
          </cell>
          <cell r="AR33">
            <v>54</v>
          </cell>
          <cell r="AS33">
            <v>76</v>
          </cell>
          <cell r="AT33">
            <v>76</v>
          </cell>
          <cell r="AU33" t="str">
            <v>B1</v>
          </cell>
          <cell r="AV33">
            <v>16</v>
          </cell>
          <cell r="AW33">
            <v>20</v>
          </cell>
          <cell r="AX33">
            <v>44</v>
          </cell>
          <cell r="AY33">
            <v>80</v>
          </cell>
          <cell r="AZ33">
            <v>80</v>
          </cell>
          <cell r="BA33" t="str">
            <v>B1</v>
          </cell>
          <cell r="BB33" t="str">
            <v/>
          </cell>
          <cell r="BC33" t="str">
            <v/>
          </cell>
          <cell r="BD33" t="str">
            <v/>
          </cell>
          <cell r="BE33">
            <v>0</v>
          </cell>
          <cell r="BF33">
            <v>0</v>
          </cell>
          <cell r="BG33" t="str">
            <v>-</v>
          </cell>
          <cell r="BH33" t="str">
            <v/>
          </cell>
          <cell r="BI33" t="str">
            <v/>
          </cell>
          <cell r="BJ33" t="str">
            <v/>
          </cell>
          <cell r="BK33">
            <v>0</v>
          </cell>
          <cell r="BL33">
            <v>0</v>
          </cell>
          <cell r="BM33" t="str">
            <v>-</v>
          </cell>
          <cell r="BN33">
            <v>19</v>
          </cell>
          <cell r="BO33">
            <v>15</v>
          </cell>
          <cell r="BP33">
            <v>18</v>
          </cell>
          <cell r="BQ33">
            <v>52</v>
          </cell>
          <cell r="BR33">
            <v>52</v>
          </cell>
          <cell r="BS33" t="str">
            <v>C4</v>
          </cell>
          <cell r="BT33">
            <v>20</v>
          </cell>
          <cell r="BU33">
            <v>20</v>
          </cell>
          <cell r="BV33">
            <v>43</v>
          </cell>
          <cell r="BW33">
            <v>83</v>
          </cell>
          <cell r="BX33">
            <v>83</v>
          </cell>
          <cell r="BY33" t="str">
            <v>A</v>
          </cell>
          <cell r="BZ33" t="str">
            <v/>
          </cell>
          <cell r="CA33" t="str">
            <v/>
          </cell>
          <cell r="CB33" t="str">
            <v/>
          </cell>
          <cell r="CC33">
            <v>0</v>
          </cell>
          <cell r="CD33">
            <v>0</v>
          </cell>
          <cell r="CE33" t="str">
            <v>-</v>
          </cell>
          <cell r="CF33" t="str">
            <v/>
          </cell>
          <cell r="CG33" t="str">
            <v/>
          </cell>
          <cell r="CH33" t="str">
            <v/>
          </cell>
          <cell r="CI33" t="str">
            <v/>
          </cell>
          <cell r="CJ33" t="str">
            <v/>
          </cell>
          <cell r="CK33" t="str">
            <v/>
          </cell>
          <cell r="CL33">
            <v>621</v>
          </cell>
          <cell r="CM33">
            <v>621</v>
          </cell>
          <cell r="CN33">
            <v>0.69</v>
          </cell>
          <cell r="CO33" t="str">
            <v>16th</v>
          </cell>
          <cell r="CP33">
            <v>66</v>
          </cell>
          <cell r="CQ33">
            <v>41</v>
          </cell>
          <cell r="CR33">
            <v>87</v>
          </cell>
          <cell r="CS33" t="str">
            <v>25th</v>
          </cell>
          <cell r="CT33">
            <v>55</v>
          </cell>
          <cell r="CU33">
            <v>35</v>
          </cell>
          <cell r="CV33">
            <v>74</v>
          </cell>
          <cell r="CW33" t="str">
            <v>14th</v>
          </cell>
          <cell r="CX33">
            <v>62</v>
          </cell>
          <cell r="CY33">
            <v>59</v>
          </cell>
          <cell r="CZ33">
            <v>97</v>
          </cell>
          <cell r="DA33" t="str">
            <v>27th</v>
          </cell>
          <cell r="DB33">
            <v>0</v>
          </cell>
          <cell r="DC33">
            <v>0</v>
          </cell>
          <cell r="DD33">
            <v>0</v>
          </cell>
          <cell r="DE33" t="str">
            <v>NILL</v>
          </cell>
          <cell r="DF33">
            <v>77</v>
          </cell>
          <cell r="DG33">
            <v>33</v>
          </cell>
          <cell r="DH33">
            <v>87</v>
          </cell>
          <cell r="DI33" t="str">
            <v>15th</v>
          </cell>
          <cell r="DJ33">
            <v>70</v>
          </cell>
          <cell r="DK33">
            <v>29</v>
          </cell>
          <cell r="DL33">
            <v>88</v>
          </cell>
          <cell r="DM33" t="str">
            <v>18th</v>
          </cell>
          <cell r="DN33">
            <v>76</v>
          </cell>
          <cell r="DO33">
            <v>35</v>
          </cell>
          <cell r="DP33">
            <v>92</v>
          </cell>
          <cell r="DQ33" t="str">
            <v>10th</v>
          </cell>
          <cell r="DR33">
            <v>80</v>
          </cell>
          <cell r="DS33">
            <v>0</v>
          </cell>
          <cell r="DT33">
            <v>81</v>
          </cell>
          <cell r="DU33" t="str">
            <v>2nd</v>
          </cell>
          <cell r="DV33">
            <v>0</v>
          </cell>
          <cell r="DW33">
            <v>0</v>
          </cell>
          <cell r="DX33">
            <v>0</v>
          </cell>
          <cell r="DY33" t="str">
            <v>NILL</v>
          </cell>
          <cell r="DZ33">
            <v>0</v>
          </cell>
          <cell r="EA33">
            <v>0</v>
          </cell>
          <cell r="EB33">
            <v>86</v>
          </cell>
          <cell r="EC33" t="str">
            <v>NILL</v>
          </cell>
          <cell r="ED33">
            <v>52</v>
          </cell>
          <cell r="EE33">
            <v>0</v>
          </cell>
          <cell r="EF33">
            <v>23</v>
          </cell>
          <cell r="EG33" t="str">
            <v>10th</v>
          </cell>
          <cell r="EH33">
            <v>83</v>
          </cell>
          <cell r="EI33">
            <v>0</v>
          </cell>
          <cell r="EJ33">
            <v>89</v>
          </cell>
          <cell r="EK33" t="str">
            <v>7th</v>
          </cell>
          <cell r="EL33">
            <v>0</v>
          </cell>
          <cell r="EM33">
            <v>0</v>
          </cell>
          <cell r="EN33">
            <v>91</v>
          </cell>
          <cell r="EO33" t="str">
            <v>NILL</v>
          </cell>
          <cell r="EP33" t="str">
            <v/>
          </cell>
          <cell r="EQ33">
            <v>0</v>
          </cell>
          <cell r="ER33">
            <v>0</v>
          </cell>
          <cell r="ES33" t="e">
            <v>#VALUE!</v>
          </cell>
        </row>
        <row r="34">
          <cell r="A34" t="str">
            <v>BDS/21/075</v>
          </cell>
          <cell r="B34" t="str">
            <v>ADACHI CHIDI MARVELOUS</v>
          </cell>
          <cell r="C34" t="str">
            <v>FEMALE</v>
          </cell>
          <cell r="D34" t="str">
            <v>13/12/2010</v>
          </cell>
          <cell r="E34" t="str">
            <v xml:space="preserve">SINGING AND DANCING </v>
          </cell>
          <cell r="F34">
            <v>0</v>
          </cell>
          <cell r="G34">
            <v>0</v>
          </cell>
          <cell r="H34">
            <v>41</v>
          </cell>
          <cell r="I34">
            <v>41</v>
          </cell>
          <cell r="J34">
            <v>41</v>
          </cell>
          <cell r="K34" t="str">
            <v>D</v>
          </cell>
          <cell r="L34">
            <v>5</v>
          </cell>
          <cell r="M34">
            <v>20</v>
          </cell>
          <cell r="N34">
            <v>32</v>
          </cell>
          <cell r="O34">
            <v>57</v>
          </cell>
          <cell r="P34">
            <v>56.999999999999993</v>
          </cell>
          <cell r="Q34" t="str">
            <v>C4</v>
          </cell>
          <cell r="R34">
            <v>10</v>
          </cell>
          <cell r="S34">
            <v>9</v>
          </cell>
          <cell r="T34">
            <v>54</v>
          </cell>
          <cell r="U34">
            <v>73</v>
          </cell>
          <cell r="V34">
            <v>73</v>
          </cell>
          <cell r="W34" t="str">
            <v>B1</v>
          </cell>
          <cell r="X34" t="str">
            <v/>
          </cell>
          <cell r="Y34" t="str">
            <v/>
          </cell>
          <cell r="Z34" t="str">
            <v/>
          </cell>
          <cell r="AA34">
            <v>0</v>
          </cell>
          <cell r="AB34">
            <v>0</v>
          </cell>
          <cell r="AC34" t="str">
            <v>-</v>
          </cell>
          <cell r="AD34">
            <v>18</v>
          </cell>
          <cell r="AE34">
            <v>18</v>
          </cell>
          <cell r="AF34">
            <v>47</v>
          </cell>
          <cell r="AG34">
            <v>83</v>
          </cell>
          <cell r="AH34">
            <v>83</v>
          </cell>
          <cell r="AI34" t="str">
            <v>A</v>
          </cell>
          <cell r="AJ34">
            <v>20</v>
          </cell>
          <cell r="AK34">
            <v>20</v>
          </cell>
          <cell r="AL34">
            <v>22</v>
          </cell>
          <cell r="AM34">
            <v>62</v>
          </cell>
          <cell r="AN34">
            <v>62</v>
          </cell>
          <cell r="AO34" t="str">
            <v>B2</v>
          </cell>
          <cell r="AP34">
            <v>15</v>
          </cell>
          <cell r="AQ34">
            <v>10</v>
          </cell>
          <cell r="AR34">
            <v>10</v>
          </cell>
          <cell r="AS34">
            <v>35</v>
          </cell>
          <cell r="AT34">
            <v>35</v>
          </cell>
          <cell r="AU34" t="str">
            <v>F9</v>
          </cell>
          <cell r="AV34">
            <v>10</v>
          </cell>
          <cell r="AW34">
            <v>10</v>
          </cell>
          <cell r="AX34">
            <v>12</v>
          </cell>
          <cell r="AY34">
            <v>32</v>
          </cell>
          <cell r="AZ34">
            <v>32</v>
          </cell>
          <cell r="BA34" t="str">
            <v>F9</v>
          </cell>
          <cell r="BB34" t="str">
            <v/>
          </cell>
          <cell r="BC34" t="str">
            <v/>
          </cell>
          <cell r="BD34" t="str">
            <v/>
          </cell>
          <cell r="BE34">
            <v>0</v>
          </cell>
          <cell r="BF34">
            <v>0</v>
          </cell>
          <cell r="BG34" t="str">
            <v>-</v>
          </cell>
          <cell r="BH34" t="str">
            <v/>
          </cell>
          <cell r="BI34" t="str">
            <v/>
          </cell>
          <cell r="BJ34" t="str">
            <v/>
          </cell>
          <cell r="BK34">
            <v>0</v>
          </cell>
          <cell r="BL34">
            <v>0</v>
          </cell>
          <cell r="BM34" t="str">
            <v>-</v>
          </cell>
          <cell r="BN34">
            <v>10</v>
          </cell>
          <cell r="BO34">
            <v>9</v>
          </cell>
          <cell r="BP34">
            <v>29</v>
          </cell>
          <cell r="BQ34">
            <v>48</v>
          </cell>
          <cell r="BR34">
            <v>48</v>
          </cell>
          <cell r="BS34" t="str">
            <v>C5</v>
          </cell>
          <cell r="BT34">
            <v>20</v>
          </cell>
          <cell r="BU34">
            <v>20</v>
          </cell>
          <cell r="BV34">
            <v>44</v>
          </cell>
          <cell r="BW34">
            <v>84</v>
          </cell>
          <cell r="BX34">
            <v>84</v>
          </cell>
          <cell r="BY34" t="str">
            <v>A</v>
          </cell>
          <cell r="BZ34" t="str">
            <v/>
          </cell>
          <cell r="CA34" t="str">
            <v/>
          </cell>
          <cell r="CB34" t="str">
            <v/>
          </cell>
          <cell r="CC34">
            <v>0</v>
          </cell>
          <cell r="CD34">
            <v>0</v>
          </cell>
          <cell r="CE34" t="str">
            <v>-</v>
          </cell>
          <cell r="CF34" t="str">
            <v/>
          </cell>
          <cell r="CG34" t="str">
            <v/>
          </cell>
          <cell r="CH34" t="str">
            <v/>
          </cell>
          <cell r="CI34" t="str">
            <v/>
          </cell>
          <cell r="CJ34" t="str">
            <v/>
          </cell>
          <cell r="CK34" t="str">
            <v/>
          </cell>
          <cell r="CL34">
            <v>515</v>
          </cell>
          <cell r="CM34">
            <v>515</v>
          </cell>
          <cell r="CN34">
            <v>0.57222222222222219</v>
          </cell>
          <cell r="CO34" t="str">
            <v>28th</v>
          </cell>
          <cell r="CP34">
            <v>41</v>
          </cell>
          <cell r="CQ34">
            <v>41</v>
          </cell>
          <cell r="CR34">
            <v>87</v>
          </cell>
          <cell r="CS34" t="str">
            <v>31st</v>
          </cell>
          <cell r="CT34">
            <v>57</v>
          </cell>
          <cell r="CU34">
            <v>35</v>
          </cell>
          <cell r="CV34">
            <v>74</v>
          </cell>
          <cell r="CW34" t="str">
            <v>12th</v>
          </cell>
          <cell r="CX34">
            <v>73</v>
          </cell>
          <cell r="CY34">
            <v>59</v>
          </cell>
          <cell r="CZ34">
            <v>97</v>
          </cell>
          <cell r="DA34" t="str">
            <v>19th</v>
          </cell>
          <cell r="DB34">
            <v>0</v>
          </cell>
          <cell r="DC34">
            <v>0</v>
          </cell>
          <cell r="DD34">
            <v>0</v>
          </cell>
          <cell r="DE34" t="str">
            <v>NILL</v>
          </cell>
          <cell r="DF34">
            <v>83</v>
          </cell>
          <cell r="DG34">
            <v>33</v>
          </cell>
          <cell r="DH34">
            <v>87</v>
          </cell>
          <cell r="DI34" t="str">
            <v>5th</v>
          </cell>
          <cell r="DJ34">
            <v>62</v>
          </cell>
          <cell r="DK34">
            <v>29</v>
          </cell>
          <cell r="DL34">
            <v>88</v>
          </cell>
          <cell r="DM34" t="str">
            <v>24th</v>
          </cell>
          <cell r="DN34">
            <v>35</v>
          </cell>
          <cell r="DO34">
            <v>35</v>
          </cell>
          <cell r="DP34">
            <v>92</v>
          </cell>
          <cell r="DQ34" t="str">
            <v>31st</v>
          </cell>
          <cell r="DR34">
            <v>32</v>
          </cell>
          <cell r="DS34">
            <v>0</v>
          </cell>
          <cell r="DT34">
            <v>81</v>
          </cell>
          <cell r="DU34" t="str">
            <v>27th</v>
          </cell>
          <cell r="DV34">
            <v>0</v>
          </cell>
          <cell r="DW34">
            <v>0</v>
          </cell>
          <cell r="DX34">
            <v>0</v>
          </cell>
          <cell r="DY34" t="str">
            <v>NILL</v>
          </cell>
          <cell r="DZ34">
            <v>0</v>
          </cell>
          <cell r="EA34">
            <v>0</v>
          </cell>
          <cell r="EB34">
            <v>86</v>
          </cell>
          <cell r="EC34" t="str">
            <v>NILL</v>
          </cell>
          <cell r="ED34">
            <v>48</v>
          </cell>
          <cell r="EE34">
            <v>0</v>
          </cell>
          <cell r="EF34">
            <v>24</v>
          </cell>
          <cell r="EG34" t="str">
            <v>11th</v>
          </cell>
          <cell r="EH34">
            <v>84</v>
          </cell>
          <cell r="EI34">
            <v>0</v>
          </cell>
          <cell r="EJ34">
            <v>89</v>
          </cell>
          <cell r="EK34" t="str">
            <v>4th</v>
          </cell>
          <cell r="EL34">
            <v>0</v>
          </cell>
          <cell r="EM34">
            <v>0</v>
          </cell>
          <cell r="EN34">
            <v>91</v>
          </cell>
          <cell r="EO34" t="str">
            <v>NILL</v>
          </cell>
          <cell r="EP34" t="str">
            <v/>
          </cell>
          <cell r="EQ34">
            <v>0</v>
          </cell>
          <cell r="ER34">
            <v>0</v>
          </cell>
          <cell r="ES34" t="e">
            <v>#VALUE!</v>
          </cell>
        </row>
        <row r="35">
          <cell r="A35" t="str">
            <v>BDS/21/080</v>
          </cell>
          <cell r="B35" t="str">
            <v>TIMOTHY TREASURE</v>
          </cell>
          <cell r="C35" t="str">
            <v>MALE</v>
          </cell>
          <cell r="D35" t="str">
            <v>15/5/2010</v>
          </cell>
          <cell r="E35" t="str">
            <v>JET</v>
          </cell>
          <cell r="F35">
            <v>10</v>
          </cell>
          <cell r="G35">
            <v>10</v>
          </cell>
          <cell r="H35">
            <v>41</v>
          </cell>
          <cell r="I35">
            <v>61</v>
          </cell>
          <cell r="J35">
            <v>61</v>
          </cell>
          <cell r="K35" t="str">
            <v>B2</v>
          </cell>
          <cell r="L35">
            <v>4</v>
          </cell>
          <cell r="M35">
            <v>20</v>
          </cell>
          <cell r="N35">
            <v>34</v>
          </cell>
          <cell r="O35">
            <v>58</v>
          </cell>
          <cell r="P35">
            <v>57.999999999999993</v>
          </cell>
          <cell r="Q35" t="str">
            <v>C4</v>
          </cell>
          <cell r="R35">
            <v>17</v>
          </cell>
          <cell r="S35">
            <v>20</v>
          </cell>
          <cell r="T35">
            <v>52</v>
          </cell>
          <cell r="U35">
            <v>89</v>
          </cell>
          <cell r="V35">
            <v>89</v>
          </cell>
          <cell r="W35" t="str">
            <v>A</v>
          </cell>
          <cell r="X35" t="str">
            <v/>
          </cell>
          <cell r="Y35" t="str">
            <v/>
          </cell>
          <cell r="Z35" t="str">
            <v/>
          </cell>
          <cell r="AA35">
            <v>0</v>
          </cell>
          <cell r="AB35">
            <v>0</v>
          </cell>
          <cell r="AC35" t="str">
            <v>-</v>
          </cell>
          <cell r="AD35">
            <v>18</v>
          </cell>
          <cell r="AE35">
            <v>18</v>
          </cell>
          <cell r="AF35">
            <v>34</v>
          </cell>
          <cell r="AG35">
            <v>70</v>
          </cell>
          <cell r="AH35">
            <v>70</v>
          </cell>
          <cell r="AI35" t="str">
            <v>B2</v>
          </cell>
          <cell r="AJ35" t="str">
            <v/>
          </cell>
          <cell r="AK35" t="str">
            <v/>
          </cell>
          <cell r="AL35">
            <v>30</v>
          </cell>
          <cell r="AM35">
            <v>30</v>
          </cell>
          <cell r="AN35">
            <v>30</v>
          </cell>
          <cell r="AO35" t="str">
            <v>F9</v>
          </cell>
          <cell r="AP35">
            <v>10</v>
          </cell>
          <cell r="AQ35">
            <v>10</v>
          </cell>
          <cell r="AR35">
            <v>46</v>
          </cell>
          <cell r="AS35">
            <v>66</v>
          </cell>
          <cell r="AT35">
            <v>66</v>
          </cell>
          <cell r="AU35" t="str">
            <v>B2</v>
          </cell>
          <cell r="AV35">
            <v>10</v>
          </cell>
          <cell r="AW35">
            <v>12</v>
          </cell>
          <cell r="AX35">
            <v>37</v>
          </cell>
          <cell r="AY35">
            <v>59</v>
          </cell>
          <cell r="AZ35">
            <v>59</v>
          </cell>
          <cell r="BA35" t="str">
            <v>C4</v>
          </cell>
          <cell r="BB35" t="str">
            <v/>
          </cell>
          <cell r="BC35" t="str">
            <v/>
          </cell>
          <cell r="BD35" t="str">
            <v/>
          </cell>
          <cell r="BE35">
            <v>0</v>
          </cell>
          <cell r="BF35">
            <v>0</v>
          </cell>
          <cell r="BG35" t="str">
            <v>-</v>
          </cell>
          <cell r="BH35">
            <v>11</v>
          </cell>
          <cell r="BI35">
            <v>20</v>
          </cell>
          <cell r="BJ35">
            <v>41</v>
          </cell>
          <cell r="BK35">
            <v>72</v>
          </cell>
          <cell r="BL35">
            <v>72</v>
          </cell>
          <cell r="BM35" t="str">
            <v>B1</v>
          </cell>
          <cell r="BN35" t="str">
            <v/>
          </cell>
          <cell r="BO35" t="str">
            <v/>
          </cell>
          <cell r="BP35" t="str">
            <v/>
          </cell>
          <cell r="BQ35">
            <v>0</v>
          </cell>
          <cell r="BR35">
            <v>0</v>
          </cell>
          <cell r="BS35" t="str">
            <v>-</v>
          </cell>
          <cell r="BT35" t="str">
            <v/>
          </cell>
          <cell r="BU35" t="str">
            <v/>
          </cell>
          <cell r="BV35" t="str">
            <v/>
          </cell>
          <cell r="BW35">
            <v>0</v>
          </cell>
          <cell r="BX35">
            <v>0</v>
          </cell>
          <cell r="BY35" t="str">
            <v>-</v>
          </cell>
          <cell r="BZ35">
            <v>15</v>
          </cell>
          <cell r="CA35">
            <v>19</v>
          </cell>
          <cell r="CB35">
            <v>39</v>
          </cell>
          <cell r="CC35">
            <v>73</v>
          </cell>
          <cell r="CD35">
            <v>73</v>
          </cell>
          <cell r="CE35" t="str">
            <v>B1</v>
          </cell>
          <cell r="CF35" t="str">
            <v/>
          </cell>
          <cell r="CG35" t="str">
            <v/>
          </cell>
          <cell r="CH35" t="str">
            <v/>
          </cell>
          <cell r="CI35" t="str">
            <v/>
          </cell>
          <cell r="CJ35" t="str">
            <v/>
          </cell>
          <cell r="CK35" t="str">
            <v/>
          </cell>
          <cell r="CL35">
            <v>578</v>
          </cell>
          <cell r="CM35">
            <v>578</v>
          </cell>
          <cell r="CN35">
            <v>0.64222222222222225</v>
          </cell>
          <cell r="CO35" t="str">
            <v>20th</v>
          </cell>
          <cell r="CP35">
            <v>61</v>
          </cell>
          <cell r="CQ35">
            <v>41</v>
          </cell>
          <cell r="CR35">
            <v>87</v>
          </cell>
          <cell r="CS35" t="str">
            <v>26th</v>
          </cell>
          <cell r="CT35">
            <v>58</v>
          </cell>
          <cell r="CU35">
            <v>35</v>
          </cell>
          <cell r="CV35">
            <v>74</v>
          </cell>
          <cell r="CW35" t="str">
            <v>10th</v>
          </cell>
          <cell r="CX35">
            <v>89</v>
          </cell>
          <cell r="CY35">
            <v>59</v>
          </cell>
          <cell r="CZ35">
            <v>97</v>
          </cell>
          <cell r="DA35" t="str">
            <v>5th</v>
          </cell>
          <cell r="DB35">
            <v>0</v>
          </cell>
          <cell r="DC35">
            <v>0</v>
          </cell>
          <cell r="DD35">
            <v>0</v>
          </cell>
          <cell r="DE35" t="str">
            <v>NILL</v>
          </cell>
          <cell r="DF35">
            <v>70</v>
          </cell>
          <cell r="DG35">
            <v>33</v>
          </cell>
          <cell r="DH35">
            <v>87</v>
          </cell>
          <cell r="DI35" t="str">
            <v>22nd</v>
          </cell>
          <cell r="DJ35">
            <v>30</v>
          </cell>
          <cell r="DK35">
            <v>29</v>
          </cell>
          <cell r="DL35">
            <v>88</v>
          </cell>
          <cell r="DM35" t="str">
            <v>30th</v>
          </cell>
          <cell r="DN35">
            <v>66</v>
          </cell>
          <cell r="DO35">
            <v>35</v>
          </cell>
          <cell r="DP35">
            <v>92</v>
          </cell>
          <cell r="DQ35" t="str">
            <v>16th</v>
          </cell>
          <cell r="DR35">
            <v>59</v>
          </cell>
          <cell r="DS35">
            <v>0</v>
          </cell>
          <cell r="DT35">
            <v>81</v>
          </cell>
          <cell r="DU35" t="str">
            <v>18th</v>
          </cell>
          <cell r="DV35">
            <v>0</v>
          </cell>
          <cell r="DW35">
            <v>0</v>
          </cell>
          <cell r="DX35">
            <v>0</v>
          </cell>
          <cell r="DY35" t="str">
            <v>NILL</v>
          </cell>
          <cell r="DZ35">
            <v>72</v>
          </cell>
          <cell r="EA35">
            <v>0</v>
          </cell>
          <cell r="EB35">
            <v>86</v>
          </cell>
          <cell r="EC35" t="str">
            <v>13th</v>
          </cell>
          <cell r="ED35">
            <v>0</v>
          </cell>
          <cell r="EE35">
            <v>0</v>
          </cell>
          <cell r="EF35">
            <v>25</v>
          </cell>
          <cell r="EG35" t="str">
            <v>NILL</v>
          </cell>
          <cell r="EH35">
            <v>0</v>
          </cell>
          <cell r="EI35">
            <v>0</v>
          </cell>
          <cell r="EJ35">
            <v>89</v>
          </cell>
          <cell r="EK35" t="str">
            <v>NILL</v>
          </cell>
          <cell r="EL35">
            <v>73</v>
          </cell>
          <cell r="EM35">
            <v>0</v>
          </cell>
          <cell r="EN35">
            <v>91</v>
          </cell>
          <cell r="EO35" t="str">
            <v>6th</v>
          </cell>
          <cell r="EP35" t="str">
            <v/>
          </cell>
          <cell r="EQ35">
            <v>0</v>
          </cell>
          <cell r="ER35">
            <v>0</v>
          </cell>
          <cell r="ES35" t="e">
            <v>#VALUE!</v>
          </cell>
        </row>
        <row r="36">
          <cell r="A36" t="str">
            <v>BDS/21/081</v>
          </cell>
          <cell r="B36" t="str">
            <v xml:space="preserve">UGOEKE NMESOMACHI </v>
          </cell>
          <cell r="C36" t="str">
            <v>FEMALE</v>
          </cell>
          <cell r="D36">
            <v>40430</v>
          </cell>
          <cell r="E36" t="str">
            <v>SINGING</v>
          </cell>
          <cell r="F36">
            <v>10</v>
          </cell>
          <cell r="G36">
            <v>15</v>
          </cell>
          <cell r="H36">
            <v>25</v>
          </cell>
          <cell r="I36">
            <v>50</v>
          </cell>
          <cell r="J36">
            <v>50</v>
          </cell>
          <cell r="K36" t="str">
            <v>C5</v>
          </cell>
          <cell r="L36">
            <v>7</v>
          </cell>
          <cell r="M36">
            <v>20</v>
          </cell>
          <cell r="N36">
            <v>18</v>
          </cell>
          <cell r="O36">
            <v>45</v>
          </cell>
          <cell r="P36">
            <v>45</v>
          </cell>
          <cell r="Q36" t="str">
            <v>D</v>
          </cell>
          <cell r="R36">
            <v>20</v>
          </cell>
          <cell r="S36">
            <v>6</v>
          </cell>
          <cell r="T36">
            <v>54</v>
          </cell>
          <cell r="U36">
            <v>80</v>
          </cell>
          <cell r="V36">
            <v>80</v>
          </cell>
          <cell r="W36" t="str">
            <v>B1</v>
          </cell>
          <cell r="X36" t="str">
            <v/>
          </cell>
          <cell r="Y36" t="str">
            <v/>
          </cell>
          <cell r="Z36" t="str">
            <v/>
          </cell>
          <cell r="AA36">
            <v>0</v>
          </cell>
          <cell r="AB36">
            <v>0</v>
          </cell>
          <cell r="AC36" t="str">
            <v>-</v>
          </cell>
          <cell r="AD36">
            <v>18</v>
          </cell>
          <cell r="AE36">
            <v>18</v>
          </cell>
          <cell r="AF36">
            <v>22</v>
          </cell>
          <cell r="AG36">
            <v>58</v>
          </cell>
          <cell r="AH36">
            <v>57.999999999999993</v>
          </cell>
          <cell r="AI36" t="str">
            <v>C4</v>
          </cell>
          <cell r="AJ36">
            <v>20</v>
          </cell>
          <cell r="AK36">
            <v>20</v>
          </cell>
          <cell r="AL36">
            <v>18</v>
          </cell>
          <cell r="AM36">
            <v>58</v>
          </cell>
          <cell r="AN36">
            <v>57.999999999999993</v>
          </cell>
          <cell r="AO36" t="str">
            <v>C4</v>
          </cell>
          <cell r="AP36">
            <v>10</v>
          </cell>
          <cell r="AQ36">
            <v>10</v>
          </cell>
          <cell r="AR36">
            <v>39</v>
          </cell>
          <cell r="AS36">
            <v>59</v>
          </cell>
          <cell r="AT36">
            <v>59</v>
          </cell>
          <cell r="AU36" t="str">
            <v>C4</v>
          </cell>
          <cell r="AV36" t="str">
            <v/>
          </cell>
          <cell r="AW36" t="str">
            <v/>
          </cell>
          <cell r="AX36" t="str">
            <v/>
          </cell>
          <cell r="AY36">
            <v>0</v>
          </cell>
          <cell r="AZ36">
            <v>0</v>
          </cell>
          <cell r="BA36" t="str">
            <v>-</v>
          </cell>
          <cell r="BB36" t="str">
            <v/>
          </cell>
          <cell r="BC36" t="str">
            <v/>
          </cell>
          <cell r="BD36" t="str">
            <v/>
          </cell>
          <cell r="BE36">
            <v>0</v>
          </cell>
          <cell r="BF36">
            <v>0</v>
          </cell>
          <cell r="BG36" t="str">
            <v>-</v>
          </cell>
          <cell r="BH36" t="str">
            <v/>
          </cell>
          <cell r="BI36" t="str">
            <v/>
          </cell>
          <cell r="BJ36" t="str">
            <v/>
          </cell>
          <cell r="BK36">
            <v>0</v>
          </cell>
          <cell r="BL36">
            <v>0</v>
          </cell>
          <cell r="BM36" t="str">
            <v>-</v>
          </cell>
          <cell r="BN36">
            <v>19</v>
          </cell>
          <cell r="BO36">
            <v>14</v>
          </cell>
          <cell r="BP36">
            <v>33</v>
          </cell>
          <cell r="BQ36">
            <v>66</v>
          </cell>
          <cell r="BR36">
            <v>66</v>
          </cell>
          <cell r="BS36" t="str">
            <v>B2</v>
          </cell>
          <cell r="BT36">
            <v>14</v>
          </cell>
          <cell r="BU36">
            <v>20</v>
          </cell>
          <cell r="BV36">
            <v>33</v>
          </cell>
          <cell r="BW36">
            <v>67</v>
          </cell>
          <cell r="BX36">
            <v>67</v>
          </cell>
          <cell r="BY36" t="str">
            <v>B2</v>
          </cell>
          <cell r="BZ36" t="str">
            <v/>
          </cell>
          <cell r="CA36" t="str">
            <v/>
          </cell>
          <cell r="CB36" t="str">
            <v/>
          </cell>
          <cell r="CC36">
            <v>0</v>
          </cell>
          <cell r="CD36">
            <v>0</v>
          </cell>
          <cell r="CE36" t="str">
            <v>-</v>
          </cell>
          <cell r="CF36" t="str">
            <v/>
          </cell>
          <cell r="CG36" t="str">
            <v/>
          </cell>
          <cell r="CH36" t="str">
            <v/>
          </cell>
          <cell r="CI36" t="str">
            <v/>
          </cell>
          <cell r="CJ36" t="str">
            <v/>
          </cell>
          <cell r="CK36" t="str">
            <v/>
          </cell>
          <cell r="CL36">
            <v>483</v>
          </cell>
          <cell r="CM36">
            <v>483</v>
          </cell>
          <cell r="CN36">
            <v>0.53666666666666663</v>
          </cell>
          <cell r="CO36" t="str">
            <v>29th</v>
          </cell>
          <cell r="CP36">
            <v>50</v>
          </cell>
          <cell r="CQ36">
            <v>41</v>
          </cell>
          <cell r="CR36">
            <v>87</v>
          </cell>
          <cell r="CS36" t="str">
            <v>29th</v>
          </cell>
          <cell r="CT36">
            <v>45</v>
          </cell>
          <cell r="CU36">
            <v>35</v>
          </cell>
          <cell r="CV36">
            <v>74</v>
          </cell>
          <cell r="CW36" t="str">
            <v>27th</v>
          </cell>
          <cell r="CX36">
            <v>80</v>
          </cell>
          <cell r="CY36">
            <v>59</v>
          </cell>
          <cell r="CZ36">
            <v>97</v>
          </cell>
          <cell r="DA36" t="str">
            <v>13th</v>
          </cell>
          <cell r="DB36">
            <v>0</v>
          </cell>
          <cell r="DC36">
            <v>0</v>
          </cell>
          <cell r="DD36">
            <v>0</v>
          </cell>
          <cell r="DE36" t="str">
            <v>NILL</v>
          </cell>
          <cell r="DF36">
            <v>58</v>
          </cell>
          <cell r="DG36">
            <v>33</v>
          </cell>
          <cell r="DH36">
            <v>87</v>
          </cell>
          <cell r="DI36" t="str">
            <v>30th</v>
          </cell>
          <cell r="DJ36">
            <v>58</v>
          </cell>
          <cell r="DK36">
            <v>29</v>
          </cell>
          <cell r="DL36">
            <v>88</v>
          </cell>
          <cell r="DM36" t="str">
            <v>28th</v>
          </cell>
          <cell r="DN36">
            <v>59</v>
          </cell>
          <cell r="DO36">
            <v>35</v>
          </cell>
          <cell r="DP36">
            <v>92</v>
          </cell>
          <cell r="DQ36" t="str">
            <v>25th</v>
          </cell>
          <cell r="DR36">
            <v>0</v>
          </cell>
          <cell r="DS36">
            <v>0</v>
          </cell>
          <cell r="DT36">
            <v>81</v>
          </cell>
          <cell r="DU36" t="str">
            <v>NILL</v>
          </cell>
          <cell r="DV36">
            <v>0</v>
          </cell>
          <cell r="DW36">
            <v>0</v>
          </cell>
          <cell r="DX36">
            <v>0</v>
          </cell>
          <cell r="DY36" t="str">
            <v>NILL</v>
          </cell>
          <cell r="DZ36">
            <v>0</v>
          </cell>
          <cell r="EA36">
            <v>0</v>
          </cell>
          <cell r="EB36">
            <v>86</v>
          </cell>
          <cell r="EC36" t="str">
            <v>NILL</v>
          </cell>
          <cell r="ED36">
            <v>66</v>
          </cell>
          <cell r="EE36">
            <v>0</v>
          </cell>
          <cell r="EF36">
            <v>26</v>
          </cell>
          <cell r="EG36" t="str">
            <v>5th</v>
          </cell>
          <cell r="EH36">
            <v>67</v>
          </cell>
          <cell r="EI36">
            <v>0</v>
          </cell>
          <cell r="EJ36">
            <v>89</v>
          </cell>
          <cell r="EK36" t="str">
            <v>15th</v>
          </cell>
          <cell r="EL36">
            <v>0</v>
          </cell>
          <cell r="EM36">
            <v>0</v>
          </cell>
          <cell r="EN36">
            <v>91</v>
          </cell>
          <cell r="EO36" t="str">
            <v>NILL</v>
          </cell>
          <cell r="EP36" t="str">
            <v/>
          </cell>
          <cell r="EQ36">
            <v>0</v>
          </cell>
          <cell r="ER36">
            <v>0</v>
          </cell>
          <cell r="ES36" t="e">
            <v>#VALUE!</v>
          </cell>
        </row>
        <row r="37">
          <cell r="A37" t="str">
            <v>BDS/21/082</v>
          </cell>
          <cell r="B37" t="str">
            <v xml:space="preserve">BARTHOLOMEN GOODNESS AMARACHI </v>
          </cell>
          <cell r="C37" t="str">
            <v>FEMALE</v>
          </cell>
          <cell r="D37" t="str">
            <v>13/5/2011</v>
          </cell>
          <cell r="E37" t="str">
            <v xml:space="preserve">SINGING AND DANCING </v>
          </cell>
          <cell r="F37">
            <v>15</v>
          </cell>
          <cell r="G37">
            <v>15</v>
          </cell>
          <cell r="H37">
            <v>41</v>
          </cell>
          <cell r="I37">
            <v>71</v>
          </cell>
          <cell r="J37">
            <v>71</v>
          </cell>
          <cell r="K37" t="str">
            <v>B1</v>
          </cell>
          <cell r="L37">
            <v>2</v>
          </cell>
          <cell r="M37">
            <v>20</v>
          </cell>
          <cell r="N37">
            <v>23</v>
          </cell>
          <cell r="O37">
            <v>45</v>
          </cell>
          <cell r="P37">
            <v>45</v>
          </cell>
          <cell r="Q37" t="str">
            <v>D</v>
          </cell>
          <cell r="R37">
            <v>10</v>
          </cell>
          <cell r="S37">
            <v>8</v>
          </cell>
          <cell r="T37">
            <v>16</v>
          </cell>
          <cell r="U37">
            <v>34</v>
          </cell>
          <cell r="V37">
            <v>34</v>
          </cell>
          <cell r="W37" t="str">
            <v>F9</v>
          </cell>
          <cell r="X37" t="str">
            <v/>
          </cell>
          <cell r="Y37" t="str">
            <v/>
          </cell>
          <cell r="Z37" t="str">
            <v/>
          </cell>
          <cell r="AA37">
            <v>0</v>
          </cell>
          <cell r="AB37">
            <v>0</v>
          </cell>
          <cell r="AC37" t="str">
            <v>-</v>
          </cell>
          <cell r="AD37">
            <v>18</v>
          </cell>
          <cell r="AE37">
            <v>18</v>
          </cell>
          <cell r="AF37">
            <v>39</v>
          </cell>
          <cell r="AG37">
            <v>75</v>
          </cell>
          <cell r="AH37">
            <v>75</v>
          </cell>
          <cell r="AI37" t="str">
            <v>B1</v>
          </cell>
          <cell r="AJ37" t="str">
            <v/>
          </cell>
          <cell r="AK37" t="str">
            <v/>
          </cell>
          <cell r="AL37">
            <v>33</v>
          </cell>
          <cell r="AM37">
            <v>33</v>
          </cell>
          <cell r="AN37">
            <v>33</v>
          </cell>
          <cell r="AO37" t="str">
            <v>F9</v>
          </cell>
          <cell r="AP37">
            <v>20</v>
          </cell>
          <cell r="AQ37">
            <v>18</v>
          </cell>
          <cell r="AR37">
            <v>22</v>
          </cell>
          <cell r="AS37">
            <v>60</v>
          </cell>
          <cell r="AT37">
            <v>60</v>
          </cell>
          <cell r="AU37" t="str">
            <v>C4</v>
          </cell>
          <cell r="AV37">
            <v>16</v>
          </cell>
          <cell r="AW37">
            <v>10</v>
          </cell>
          <cell r="AX37">
            <v>41</v>
          </cell>
          <cell r="AY37">
            <v>67</v>
          </cell>
          <cell r="AZ37">
            <v>67</v>
          </cell>
          <cell r="BA37" t="str">
            <v>B2</v>
          </cell>
          <cell r="BB37" t="str">
            <v/>
          </cell>
          <cell r="BC37" t="str">
            <v/>
          </cell>
          <cell r="BD37" t="str">
            <v/>
          </cell>
          <cell r="BE37">
            <v>0</v>
          </cell>
          <cell r="BF37">
            <v>0</v>
          </cell>
          <cell r="BG37" t="str">
            <v>-</v>
          </cell>
          <cell r="BH37">
            <v>14</v>
          </cell>
          <cell r="BI37">
            <v>20</v>
          </cell>
          <cell r="BJ37">
            <v>35</v>
          </cell>
          <cell r="BK37">
            <v>69</v>
          </cell>
          <cell r="BL37">
            <v>69</v>
          </cell>
          <cell r="BM37" t="str">
            <v>B2</v>
          </cell>
          <cell r="BN37" t="str">
            <v/>
          </cell>
          <cell r="BO37" t="str">
            <v/>
          </cell>
          <cell r="BP37" t="str">
            <v/>
          </cell>
          <cell r="BQ37">
            <v>0</v>
          </cell>
          <cell r="BR37">
            <v>0</v>
          </cell>
          <cell r="BS37" t="str">
            <v>-</v>
          </cell>
          <cell r="BT37">
            <v>18</v>
          </cell>
          <cell r="BU37">
            <v>20</v>
          </cell>
          <cell r="BV37">
            <v>38</v>
          </cell>
          <cell r="BW37">
            <v>76</v>
          </cell>
          <cell r="BX37">
            <v>76</v>
          </cell>
          <cell r="BY37" t="str">
            <v>B1</v>
          </cell>
          <cell r="BZ37" t="str">
            <v/>
          </cell>
          <cell r="CA37" t="str">
            <v/>
          </cell>
          <cell r="CB37" t="str">
            <v/>
          </cell>
          <cell r="CC37">
            <v>0</v>
          </cell>
          <cell r="CD37">
            <v>0</v>
          </cell>
          <cell r="CE37" t="str">
            <v>-</v>
          </cell>
          <cell r="CF37" t="str">
            <v/>
          </cell>
          <cell r="CG37" t="str">
            <v/>
          </cell>
          <cell r="CH37" t="str">
            <v/>
          </cell>
          <cell r="CI37" t="str">
            <v/>
          </cell>
          <cell r="CJ37" t="str">
            <v/>
          </cell>
          <cell r="CK37" t="str">
            <v/>
          </cell>
          <cell r="CL37">
            <v>530</v>
          </cell>
          <cell r="CM37">
            <v>530</v>
          </cell>
          <cell r="CN37">
            <v>0.58888888888888891</v>
          </cell>
          <cell r="CO37" t="str">
            <v>27th</v>
          </cell>
          <cell r="CP37">
            <v>71</v>
          </cell>
          <cell r="CQ37">
            <v>41</v>
          </cell>
          <cell r="CR37">
            <v>87</v>
          </cell>
          <cell r="CS37" t="str">
            <v>15th</v>
          </cell>
          <cell r="CT37">
            <v>45</v>
          </cell>
          <cell r="CU37">
            <v>35</v>
          </cell>
          <cell r="CV37">
            <v>74</v>
          </cell>
          <cell r="CW37" t="str">
            <v>27th</v>
          </cell>
          <cell r="CX37">
            <v>34</v>
          </cell>
          <cell r="CY37">
            <v>59</v>
          </cell>
          <cell r="CZ37">
            <v>97</v>
          </cell>
          <cell r="DA37" t="str">
            <v>31st</v>
          </cell>
          <cell r="DB37">
            <v>0</v>
          </cell>
          <cell r="DC37">
            <v>0</v>
          </cell>
          <cell r="DD37">
            <v>0</v>
          </cell>
          <cell r="DE37" t="str">
            <v>NILL</v>
          </cell>
          <cell r="DF37">
            <v>75</v>
          </cell>
          <cell r="DG37">
            <v>33</v>
          </cell>
          <cell r="DH37">
            <v>87</v>
          </cell>
          <cell r="DI37" t="str">
            <v>17th</v>
          </cell>
          <cell r="DJ37">
            <v>33</v>
          </cell>
          <cell r="DK37">
            <v>29</v>
          </cell>
          <cell r="DL37">
            <v>88</v>
          </cell>
          <cell r="DM37" t="str">
            <v>29th</v>
          </cell>
          <cell r="DN37">
            <v>60</v>
          </cell>
          <cell r="DO37">
            <v>35</v>
          </cell>
          <cell r="DP37">
            <v>92</v>
          </cell>
          <cell r="DQ37" t="str">
            <v>24th</v>
          </cell>
          <cell r="DR37">
            <v>67</v>
          </cell>
          <cell r="DS37">
            <v>0</v>
          </cell>
          <cell r="DT37">
            <v>81</v>
          </cell>
          <cell r="DU37" t="str">
            <v>8th</v>
          </cell>
          <cell r="DV37">
            <v>0</v>
          </cell>
          <cell r="DW37">
            <v>0</v>
          </cell>
          <cell r="DX37">
            <v>0</v>
          </cell>
          <cell r="DY37" t="str">
            <v>NILL</v>
          </cell>
          <cell r="DZ37">
            <v>69</v>
          </cell>
          <cell r="EA37">
            <v>0</v>
          </cell>
          <cell r="EB37">
            <v>86</v>
          </cell>
          <cell r="EC37" t="str">
            <v>15th</v>
          </cell>
          <cell r="ED37">
            <v>0</v>
          </cell>
          <cell r="EE37">
            <v>0</v>
          </cell>
          <cell r="EF37">
            <v>27</v>
          </cell>
          <cell r="EG37" t="str">
            <v>NILL</v>
          </cell>
          <cell r="EH37">
            <v>76</v>
          </cell>
          <cell r="EI37">
            <v>0</v>
          </cell>
          <cell r="EJ37">
            <v>89</v>
          </cell>
          <cell r="EK37" t="str">
            <v>13th</v>
          </cell>
          <cell r="EL37">
            <v>0</v>
          </cell>
          <cell r="EM37">
            <v>0</v>
          </cell>
          <cell r="EN37">
            <v>91</v>
          </cell>
          <cell r="EO37" t="str">
            <v>NILL</v>
          </cell>
          <cell r="EP37" t="str">
            <v/>
          </cell>
          <cell r="EQ37">
            <v>0</v>
          </cell>
          <cell r="ER37">
            <v>0</v>
          </cell>
          <cell r="ES37" t="e">
            <v>#VALUE!</v>
          </cell>
        </row>
        <row r="38">
          <cell r="A38" t="str">
            <v>BDS/21/083</v>
          </cell>
          <cell r="B38" t="str">
            <v>SUNDAY LIGHT CHIZARAM</v>
          </cell>
          <cell r="C38" t="str">
            <v>MALE</v>
          </cell>
          <cell r="D38">
            <v>40798</v>
          </cell>
          <cell r="E38" t="str">
            <v>JET</v>
          </cell>
          <cell r="F38">
            <v>10</v>
          </cell>
          <cell r="G38">
            <v>10</v>
          </cell>
          <cell r="H38">
            <v>27</v>
          </cell>
          <cell r="I38">
            <v>47</v>
          </cell>
          <cell r="J38">
            <v>47</v>
          </cell>
          <cell r="K38" t="str">
            <v>C5</v>
          </cell>
          <cell r="L38">
            <v>2</v>
          </cell>
          <cell r="M38">
            <v>20</v>
          </cell>
          <cell r="N38">
            <v>9</v>
          </cell>
          <cell r="O38">
            <v>31</v>
          </cell>
          <cell r="P38">
            <v>31</v>
          </cell>
          <cell r="Q38" t="str">
            <v>F9</v>
          </cell>
          <cell r="R38">
            <v>10</v>
          </cell>
          <cell r="S38">
            <v>6</v>
          </cell>
          <cell r="T38">
            <v>16</v>
          </cell>
          <cell r="U38">
            <v>32</v>
          </cell>
          <cell r="V38">
            <v>32</v>
          </cell>
          <cell r="W38" t="str">
            <v>F9</v>
          </cell>
          <cell r="X38" t="str">
            <v/>
          </cell>
          <cell r="Y38" t="str">
            <v/>
          </cell>
          <cell r="Z38" t="str">
            <v/>
          </cell>
          <cell r="AA38">
            <v>0</v>
          </cell>
          <cell r="AB38">
            <v>0</v>
          </cell>
          <cell r="AC38" t="str">
            <v>-</v>
          </cell>
          <cell r="AD38">
            <v>18</v>
          </cell>
          <cell r="AE38">
            <v>18</v>
          </cell>
          <cell r="AF38">
            <v>18</v>
          </cell>
          <cell r="AG38">
            <v>54</v>
          </cell>
          <cell r="AH38">
            <v>54</v>
          </cell>
          <cell r="AI38" t="str">
            <v>C4</v>
          </cell>
          <cell r="AJ38">
            <v>20</v>
          </cell>
          <cell r="AK38">
            <v>20</v>
          </cell>
          <cell r="AL38">
            <v>20</v>
          </cell>
          <cell r="AM38">
            <v>60</v>
          </cell>
          <cell r="AN38">
            <v>60</v>
          </cell>
          <cell r="AO38" t="str">
            <v>C4</v>
          </cell>
          <cell r="AP38">
            <v>10</v>
          </cell>
          <cell r="AQ38">
            <v>10</v>
          </cell>
          <cell r="AR38">
            <v>17</v>
          </cell>
          <cell r="AS38">
            <v>37</v>
          </cell>
          <cell r="AT38">
            <v>37</v>
          </cell>
          <cell r="AU38" t="str">
            <v>E8</v>
          </cell>
          <cell r="AV38">
            <v>17</v>
          </cell>
          <cell r="AW38">
            <v>10</v>
          </cell>
          <cell r="AX38">
            <v>42</v>
          </cell>
          <cell r="AY38">
            <v>69</v>
          </cell>
          <cell r="AZ38">
            <v>69</v>
          </cell>
          <cell r="BA38" t="str">
            <v>B2</v>
          </cell>
          <cell r="BB38" t="str">
            <v/>
          </cell>
          <cell r="BC38" t="str">
            <v/>
          </cell>
          <cell r="BD38" t="str">
            <v/>
          </cell>
          <cell r="BE38">
            <v>0</v>
          </cell>
          <cell r="BF38">
            <v>0</v>
          </cell>
          <cell r="BG38" t="str">
            <v>-</v>
          </cell>
          <cell r="BH38">
            <v>2</v>
          </cell>
          <cell r="BI38">
            <v>20</v>
          </cell>
          <cell r="BJ38">
            <v>35</v>
          </cell>
          <cell r="BK38">
            <v>57</v>
          </cell>
          <cell r="BL38">
            <v>56.999999999999993</v>
          </cell>
          <cell r="BM38" t="str">
            <v>C4</v>
          </cell>
          <cell r="BN38" t="str">
            <v/>
          </cell>
          <cell r="BO38" t="str">
            <v/>
          </cell>
          <cell r="BP38" t="str">
            <v/>
          </cell>
          <cell r="BQ38">
            <v>0</v>
          </cell>
          <cell r="BR38">
            <v>0</v>
          </cell>
          <cell r="BS38" t="str">
            <v>-</v>
          </cell>
          <cell r="BT38" t="str">
            <v/>
          </cell>
          <cell r="BU38" t="str">
            <v/>
          </cell>
          <cell r="BV38" t="str">
            <v/>
          </cell>
          <cell r="BW38">
            <v>0</v>
          </cell>
          <cell r="BX38">
            <v>0</v>
          </cell>
          <cell r="BY38" t="str">
            <v>-</v>
          </cell>
          <cell r="BZ38" t="str">
            <v/>
          </cell>
          <cell r="CA38" t="str">
            <v/>
          </cell>
          <cell r="CB38" t="str">
            <v/>
          </cell>
          <cell r="CC38">
            <v>0</v>
          </cell>
          <cell r="CD38">
            <v>0</v>
          </cell>
          <cell r="CE38" t="str">
            <v>-</v>
          </cell>
          <cell r="CF38" t="str">
            <v/>
          </cell>
          <cell r="CG38" t="str">
            <v/>
          </cell>
          <cell r="CH38" t="str">
            <v/>
          </cell>
          <cell r="CI38" t="str">
            <v/>
          </cell>
          <cell r="CJ38" t="str">
            <v/>
          </cell>
          <cell r="CK38" t="str">
            <v/>
          </cell>
          <cell r="CL38">
            <v>387</v>
          </cell>
          <cell r="CM38">
            <v>387</v>
          </cell>
          <cell r="CN38">
            <v>0.43</v>
          </cell>
          <cell r="CO38" t="str">
            <v>32nd</v>
          </cell>
          <cell r="CP38">
            <v>47</v>
          </cell>
          <cell r="CQ38">
            <v>41</v>
          </cell>
          <cell r="CR38">
            <v>87</v>
          </cell>
          <cell r="CS38" t="str">
            <v>30th</v>
          </cell>
          <cell r="CT38">
            <v>31</v>
          </cell>
          <cell r="CU38">
            <v>35</v>
          </cell>
          <cell r="CV38">
            <v>74</v>
          </cell>
          <cell r="CW38" t="str">
            <v>32nd</v>
          </cell>
          <cell r="CX38">
            <v>32</v>
          </cell>
          <cell r="CY38">
            <v>59</v>
          </cell>
          <cell r="CZ38">
            <v>97</v>
          </cell>
          <cell r="DA38" t="str">
            <v>32nd</v>
          </cell>
          <cell r="DB38">
            <v>0</v>
          </cell>
          <cell r="DC38">
            <v>0</v>
          </cell>
          <cell r="DD38">
            <v>0</v>
          </cell>
          <cell r="DE38" t="str">
            <v>NILL</v>
          </cell>
          <cell r="DF38">
            <v>54</v>
          </cell>
          <cell r="DG38">
            <v>33</v>
          </cell>
          <cell r="DH38">
            <v>87</v>
          </cell>
          <cell r="DI38" t="str">
            <v>31st</v>
          </cell>
          <cell r="DJ38">
            <v>60</v>
          </cell>
          <cell r="DK38">
            <v>29</v>
          </cell>
          <cell r="DL38">
            <v>88</v>
          </cell>
          <cell r="DM38" t="str">
            <v>26th</v>
          </cell>
          <cell r="DN38">
            <v>37</v>
          </cell>
          <cell r="DO38">
            <v>35</v>
          </cell>
          <cell r="DP38">
            <v>92</v>
          </cell>
          <cell r="DQ38" t="str">
            <v>30th</v>
          </cell>
          <cell r="DR38">
            <v>69</v>
          </cell>
          <cell r="DS38">
            <v>0</v>
          </cell>
          <cell r="DT38">
            <v>81</v>
          </cell>
          <cell r="DU38" t="str">
            <v>7th</v>
          </cell>
          <cell r="DV38">
            <v>0</v>
          </cell>
          <cell r="DW38">
            <v>0</v>
          </cell>
          <cell r="DX38">
            <v>0</v>
          </cell>
          <cell r="DY38" t="str">
            <v>NILL</v>
          </cell>
          <cell r="DZ38">
            <v>57</v>
          </cell>
          <cell r="EA38">
            <v>0</v>
          </cell>
          <cell r="EB38">
            <v>86</v>
          </cell>
          <cell r="EC38" t="str">
            <v>19th</v>
          </cell>
          <cell r="ED38">
            <v>0</v>
          </cell>
          <cell r="EE38">
            <v>0</v>
          </cell>
          <cell r="EF38">
            <v>28</v>
          </cell>
          <cell r="EG38" t="str">
            <v>NILL</v>
          </cell>
          <cell r="EH38">
            <v>0</v>
          </cell>
          <cell r="EI38">
            <v>0</v>
          </cell>
          <cell r="EJ38">
            <v>89</v>
          </cell>
          <cell r="EK38" t="str">
            <v>NILL</v>
          </cell>
          <cell r="EL38">
            <v>0</v>
          </cell>
          <cell r="EM38">
            <v>0</v>
          </cell>
          <cell r="EN38">
            <v>91</v>
          </cell>
          <cell r="EO38" t="str">
            <v>NILL</v>
          </cell>
          <cell r="EP38" t="str">
            <v/>
          </cell>
          <cell r="EQ38">
            <v>0</v>
          </cell>
          <cell r="ER38">
            <v>0</v>
          </cell>
          <cell r="ES38" t="e">
            <v>#VALUE!</v>
          </cell>
        </row>
        <row r="39">
          <cell r="A39" t="str">
            <v>BDS/21/084</v>
          </cell>
          <cell r="B39" t="str">
            <v>ONYEBUCHI TOCHUKWU</v>
          </cell>
          <cell r="C39" t="str">
            <v>MALE</v>
          </cell>
          <cell r="D39">
            <v>0</v>
          </cell>
          <cell r="E39">
            <v>0</v>
          </cell>
          <cell r="F39">
            <v>15</v>
          </cell>
          <cell r="G39">
            <v>15</v>
          </cell>
          <cell r="H39">
            <v>38</v>
          </cell>
          <cell r="I39">
            <v>68</v>
          </cell>
          <cell r="J39">
            <v>68</v>
          </cell>
          <cell r="K39" t="str">
            <v>B2</v>
          </cell>
          <cell r="L39">
            <v>0</v>
          </cell>
          <cell r="M39">
            <v>20</v>
          </cell>
          <cell r="N39">
            <v>37</v>
          </cell>
          <cell r="O39">
            <v>57</v>
          </cell>
          <cell r="P39">
            <v>56.999999999999993</v>
          </cell>
          <cell r="Q39" t="str">
            <v>C4</v>
          </cell>
          <cell r="R39">
            <v>3</v>
          </cell>
          <cell r="S39">
            <v>2</v>
          </cell>
          <cell r="T39">
            <v>47</v>
          </cell>
          <cell r="U39">
            <v>52</v>
          </cell>
          <cell r="V39">
            <v>52</v>
          </cell>
          <cell r="W39" t="str">
            <v>C4</v>
          </cell>
          <cell r="X39" t="str">
            <v/>
          </cell>
          <cell r="Y39" t="str">
            <v/>
          </cell>
          <cell r="Z39" t="str">
            <v/>
          </cell>
          <cell r="AA39">
            <v>0</v>
          </cell>
          <cell r="AB39">
            <v>0</v>
          </cell>
          <cell r="AC39" t="str">
            <v>-</v>
          </cell>
          <cell r="AD39">
            <v>18</v>
          </cell>
          <cell r="AE39">
            <v>18</v>
          </cell>
          <cell r="AF39">
            <v>39</v>
          </cell>
          <cell r="AG39">
            <v>75</v>
          </cell>
          <cell r="AH39">
            <v>75</v>
          </cell>
          <cell r="AI39" t="str">
            <v>B1</v>
          </cell>
          <cell r="AJ39">
            <v>20</v>
          </cell>
          <cell r="AK39">
            <v>20</v>
          </cell>
          <cell r="AL39">
            <v>26</v>
          </cell>
          <cell r="AM39">
            <v>66</v>
          </cell>
          <cell r="AN39">
            <v>66</v>
          </cell>
          <cell r="AO39" t="str">
            <v>B2</v>
          </cell>
          <cell r="AP39">
            <v>12</v>
          </cell>
          <cell r="AQ39">
            <v>20</v>
          </cell>
          <cell r="AR39">
            <v>41</v>
          </cell>
          <cell r="AS39">
            <v>73</v>
          </cell>
          <cell r="AT39">
            <v>73</v>
          </cell>
          <cell r="AU39" t="str">
            <v>B1</v>
          </cell>
          <cell r="AV39" t="str">
            <v/>
          </cell>
          <cell r="AW39" t="str">
            <v/>
          </cell>
          <cell r="AX39" t="str">
            <v/>
          </cell>
          <cell r="AY39">
            <v>0</v>
          </cell>
          <cell r="AZ39">
            <v>0</v>
          </cell>
          <cell r="BA39" t="str">
            <v>-</v>
          </cell>
          <cell r="BB39" t="str">
            <v/>
          </cell>
          <cell r="BC39" t="str">
            <v/>
          </cell>
          <cell r="BD39" t="str">
            <v/>
          </cell>
          <cell r="BE39">
            <v>0</v>
          </cell>
          <cell r="BF39">
            <v>0</v>
          </cell>
          <cell r="BG39" t="str">
            <v>-</v>
          </cell>
          <cell r="BH39" t="str">
            <v/>
          </cell>
          <cell r="BI39" t="str">
            <v/>
          </cell>
          <cell r="BJ39" t="str">
            <v/>
          </cell>
          <cell r="BK39">
            <v>0</v>
          </cell>
          <cell r="BL39">
            <v>0</v>
          </cell>
          <cell r="BM39" t="str">
            <v>-</v>
          </cell>
          <cell r="BN39">
            <v>19</v>
          </cell>
          <cell r="BO39">
            <v>18</v>
          </cell>
          <cell r="BP39">
            <v>24</v>
          </cell>
          <cell r="BQ39">
            <v>61</v>
          </cell>
          <cell r="BR39">
            <v>61</v>
          </cell>
          <cell r="BS39" t="str">
            <v>B2</v>
          </cell>
          <cell r="BT39">
            <v>18</v>
          </cell>
          <cell r="BU39">
            <v>20</v>
          </cell>
          <cell r="BV39">
            <v>37</v>
          </cell>
          <cell r="BW39">
            <v>75</v>
          </cell>
          <cell r="BX39">
            <v>75</v>
          </cell>
          <cell r="BY39" t="str">
            <v>B1</v>
          </cell>
          <cell r="BZ39">
            <v>15</v>
          </cell>
          <cell r="CA39">
            <v>19</v>
          </cell>
          <cell r="CB39">
            <v>38</v>
          </cell>
          <cell r="CC39">
            <v>72</v>
          </cell>
          <cell r="CD39">
            <v>72</v>
          </cell>
          <cell r="CE39" t="str">
            <v>B1</v>
          </cell>
          <cell r="CF39" t="str">
            <v/>
          </cell>
          <cell r="CG39" t="str">
            <v/>
          </cell>
          <cell r="CH39" t="str">
            <v/>
          </cell>
          <cell r="CI39" t="str">
            <v/>
          </cell>
          <cell r="CJ39" t="str">
            <v/>
          </cell>
          <cell r="CK39" t="str">
            <v/>
          </cell>
          <cell r="CL39">
            <v>599</v>
          </cell>
          <cell r="CM39">
            <v>599</v>
          </cell>
          <cell r="CN39">
            <v>0.66555555555555557</v>
          </cell>
          <cell r="CO39" t="str">
            <v>18th</v>
          </cell>
          <cell r="CP39">
            <v>68</v>
          </cell>
          <cell r="CQ39">
            <v>41</v>
          </cell>
          <cell r="CR39">
            <v>87</v>
          </cell>
          <cell r="CS39" t="str">
            <v>22nd</v>
          </cell>
          <cell r="CT39">
            <v>57</v>
          </cell>
          <cell r="CU39">
            <v>35</v>
          </cell>
          <cell r="CV39">
            <v>74</v>
          </cell>
          <cell r="CW39" t="str">
            <v>12th</v>
          </cell>
          <cell r="CX39">
            <v>52</v>
          </cell>
          <cell r="CY39">
            <v>59</v>
          </cell>
          <cell r="CZ39">
            <v>97</v>
          </cell>
          <cell r="DA39" t="str">
            <v>29th</v>
          </cell>
          <cell r="DB39">
            <v>0</v>
          </cell>
          <cell r="DC39">
            <v>0</v>
          </cell>
          <cell r="DD39">
            <v>0</v>
          </cell>
          <cell r="DE39" t="str">
            <v>NILL</v>
          </cell>
          <cell r="DF39">
            <v>75</v>
          </cell>
          <cell r="DG39">
            <v>33</v>
          </cell>
          <cell r="DH39">
            <v>87</v>
          </cell>
          <cell r="DI39" t="str">
            <v>17th</v>
          </cell>
          <cell r="DJ39">
            <v>66</v>
          </cell>
          <cell r="DK39">
            <v>29</v>
          </cell>
          <cell r="DL39">
            <v>88</v>
          </cell>
          <cell r="DM39" t="str">
            <v>21st</v>
          </cell>
          <cell r="DN39">
            <v>73</v>
          </cell>
          <cell r="DO39">
            <v>35</v>
          </cell>
          <cell r="DP39">
            <v>92</v>
          </cell>
          <cell r="DQ39" t="str">
            <v>11th</v>
          </cell>
          <cell r="DR39">
            <v>0</v>
          </cell>
          <cell r="DS39">
            <v>0</v>
          </cell>
          <cell r="DT39">
            <v>81</v>
          </cell>
          <cell r="DU39" t="str">
            <v>NILL</v>
          </cell>
          <cell r="DV39">
            <v>0</v>
          </cell>
          <cell r="DW39">
            <v>0</v>
          </cell>
          <cell r="DX39">
            <v>0</v>
          </cell>
          <cell r="DY39" t="str">
            <v>NILL</v>
          </cell>
          <cell r="DZ39">
            <v>0</v>
          </cell>
          <cell r="EA39">
            <v>0</v>
          </cell>
          <cell r="EB39">
            <v>86</v>
          </cell>
          <cell r="EC39" t="str">
            <v>NILL</v>
          </cell>
          <cell r="ED39">
            <v>61</v>
          </cell>
          <cell r="EE39">
            <v>0</v>
          </cell>
          <cell r="EF39">
            <v>29</v>
          </cell>
          <cell r="EG39" t="str">
            <v>7th</v>
          </cell>
          <cell r="EH39">
            <v>75</v>
          </cell>
          <cell r="EI39">
            <v>0</v>
          </cell>
          <cell r="EJ39">
            <v>89</v>
          </cell>
          <cell r="EK39" t="str">
            <v>14th</v>
          </cell>
          <cell r="EL39">
            <v>72</v>
          </cell>
          <cell r="EM39">
            <v>0</v>
          </cell>
          <cell r="EN39">
            <v>91</v>
          </cell>
          <cell r="EO39" t="str">
            <v>7th</v>
          </cell>
          <cell r="EP39" t="str">
            <v/>
          </cell>
          <cell r="EQ39">
            <v>0</v>
          </cell>
          <cell r="ER39">
            <v>0</v>
          </cell>
          <cell r="ES39" t="e">
            <v>#VALUE!</v>
          </cell>
        </row>
        <row r="40">
          <cell r="A40" t="str">
            <v>BDS/21/085</v>
          </cell>
          <cell r="B40" t="str">
            <v>GODSWILL KOSISOCHUKWU</v>
          </cell>
          <cell r="C40" t="str">
            <v>MALE</v>
          </cell>
          <cell r="D40">
            <v>0</v>
          </cell>
          <cell r="E40">
            <v>0</v>
          </cell>
          <cell r="F40">
            <v>10</v>
          </cell>
          <cell r="G40">
            <v>10</v>
          </cell>
          <cell r="H40">
            <v>49</v>
          </cell>
          <cell r="I40">
            <v>69</v>
          </cell>
          <cell r="J40">
            <v>69</v>
          </cell>
          <cell r="K40" t="str">
            <v>B2</v>
          </cell>
          <cell r="L40">
            <v>0</v>
          </cell>
          <cell r="M40">
            <v>20</v>
          </cell>
          <cell r="N40">
            <v>38</v>
          </cell>
          <cell r="O40">
            <v>58</v>
          </cell>
          <cell r="P40">
            <v>57.999999999999993</v>
          </cell>
          <cell r="Q40" t="str">
            <v>C4</v>
          </cell>
          <cell r="R40">
            <v>20</v>
          </cell>
          <cell r="S40">
            <v>6</v>
          </cell>
          <cell r="T40">
            <v>48</v>
          </cell>
          <cell r="U40">
            <v>74</v>
          </cell>
          <cell r="V40">
            <v>74</v>
          </cell>
          <cell r="W40" t="str">
            <v>B1</v>
          </cell>
          <cell r="X40" t="str">
            <v/>
          </cell>
          <cell r="Y40" t="str">
            <v/>
          </cell>
          <cell r="Z40" t="str">
            <v/>
          </cell>
          <cell r="AA40">
            <v>0</v>
          </cell>
          <cell r="AB40">
            <v>0</v>
          </cell>
          <cell r="AC40" t="str">
            <v>-</v>
          </cell>
          <cell r="AD40">
            <v>18</v>
          </cell>
          <cell r="AE40">
            <v>18</v>
          </cell>
          <cell r="AF40">
            <v>45</v>
          </cell>
          <cell r="AG40">
            <v>81</v>
          </cell>
          <cell r="AH40">
            <v>81</v>
          </cell>
          <cell r="AI40" t="str">
            <v>A</v>
          </cell>
          <cell r="AJ40">
            <v>20</v>
          </cell>
          <cell r="AK40">
            <v>20</v>
          </cell>
          <cell r="AL40">
            <v>45</v>
          </cell>
          <cell r="AM40">
            <v>85</v>
          </cell>
          <cell r="AN40">
            <v>85</v>
          </cell>
          <cell r="AO40" t="str">
            <v>A</v>
          </cell>
          <cell r="AP40">
            <v>15</v>
          </cell>
          <cell r="AQ40">
            <v>10</v>
          </cell>
          <cell r="AR40">
            <v>10</v>
          </cell>
          <cell r="AS40">
            <v>35</v>
          </cell>
          <cell r="AT40">
            <v>35</v>
          </cell>
          <cell r="AU40" t="str">
            <v>F9</v>
          </cell>
          <cell r="AV40">
            <v>10</v>
          </cell>
          <cell r="AW40">
            <v>16</v>
          </cell>
          <cell r="AX40">
            <v>8</v>
          </cell>
          <cell r="AY40">
            <v>34</v>
          </cell>
          <cell r="AZ40">
            <v>34</v>
          </cell>
          <cell r="BA40" t="str">
            <v>F9</v>
          </cell>
          <cell r="BB40" t="str">
            <v/>
          </cell>
          <cell r="BC40" t="str">
            <v/>
          </cell>
          <cell r="BD40" t="str">
            <v/>
          </cell>
          <cell r="BE40">
            <v>0</v>
          </cell>
          <cell r="BF40">
            <v>0</v>
          </cell>
          <cell r="BG40" t="str">
            <v>-</v>
          </cell>
          <cell r="BH40" t="str">
            <v/>
          </cell>
          <cell r="BI40">
            <v>20</v>
          </cell>
          <cell r="BJ40">
            <v>49</v>
          </cell>
          <cell r="BK40">
            <v>69</v>
          </cell>
          <cell r="BL40">
            <v>69</v>
          </cell>
          <cell r="BM40" t="str">
            <v>B2</v>
          </cell>
          <cell r="BN40" t="str">
            <v/>
          </cell>
          <cell r="BO40" t="str">
            <v/>
          </cell>
          <cell r="BP40" t="str">
            <v/>
          </cell>
          <cell r="BQ40">
            <v>0</v>
          </cell>
          <cell r="BR40">
            <v>0</v>
          </cell>
          <cell r="BS40" t="str">
            <v>-</v>
          </cell>
          <cell r="BT40" t="str">
            <v/>
          </cell>
          <cell r="BU40" t="str">
            <v/>
          </cell>
          <cell r="BV40" t="str">
            <v/>
          </cell>
          <cell r="BW40">
            <v>0</v>
          </cell>
          <cell r="BX40">
            <v>0</v>
          </cell>
          <cell r="BY40" t="str">
            <v>-</v>
          </cell>
          <cell r="BZ40" t="str">
            <v/>
          </cell>
          <cell r="CA40" t="str">
            <v/>
          </cell>
          <cell r="CB40">
            <v>38</v>
          </cell>
          <cell r="CC40">
            <v>38</v>
          </cell>
          <cell r="CD40">
            <v>38</v>
          </cell>
          <cell r="CE40" t="str">
            <v>E8</v>
          </cell>
          <cell r="CF40" t="str">
            <v/>
          </cell>
          <cell r="CG40" t="str">
            <v/>
          </cell>
          <cell r="CH40" t="str">
            <v/>
          </cell>
          <cell r="CI40" t="str">
            <v/>
          </cell>
          <cell r="CJ40" t="str">
            <v/>
          </cell>
          <cell r="CK40" t="str">
            <v/>
          </cell>
          <cell r="CL40">
            <v>543</v>
          </cell>
          <cell r="CM40">
            <v>543</v>
          </cell>
          <cell r="CN40">
            <v>0.60333333333333339</v>
          </cell>
          <cell r="CO40" t="str">
            <v>22nd</v>
          </cell>
          <cell r="CP40">
            <v>69</v>
          </cell>
          <cell r="CQ40">
            <v>41</v>
          </cell>
          <cell r="CR40">
            <v>87</v>
          </cell>
          <cell r="CS40" t="str">
            <v>21st</v>
          </cell>
          <cell r="CT40">
            <v>58</v>
          </cell>
          <cell r="CU40">
            <v>35</v>
          </cell>
          <cell r="CV40">
            <v>74</v>
          </cell>
          <cell r="CW40" t="str">
            <v>10th</v>
          </cell>
          <cell r="CX40">
            <v>74</v>
          </cell>
          <cell r="CY40">
            <v>59</v>
          </cell>
          <cell r="CZ40">
            <v>97</v>
          </cell>
          <cell r="DA40" t="str">
            <v>17th</v>
          </cell>
          <cell r="DB40">
            <v>0</v>
          </cell>
          <cell r="DC40">
            <v>0</v>
          </cell>
          <cell r="DD40">
            <v>0</v>
          </cell>
          <cell r="DE40" t="str">
            <v>NILL</v>
          </cell>
          <cell r="DF40">
            <v>81</v>
          </cell>
          <cell r="DG40">
            <v>33</v>
          </cell>
          <cell r="DH40">
            <v>87</v>
          </cell>
          <cell r="DI40" t="str">
            <v>8th</v>
          </cell>
          <cell r="DJ40">
            <v>85</v>
          </cell>
          <cell r="DK40">
            <v>29</v>
          </cell>
          <cell r="DL40">
            <v>88</v>
          </cell>
          <cell r="DM40" t="str">
            <v>5th</v>
          </cell>
          <cell r="DN40">
            <v>35</v>
          </cell>
          <cell r="DO40">
            <v>35</v>
          </cell>
          <cell r="DP40">
            <v>92</v>
          </cell>
          <cell r="DQ40" t="str">
            <v>31st</v>
          </cell>
          <cell r="DR40">
            <v>34</v>
          </cell>
          <cell r="DS40">
            <v>0</v>
          </cell>
          <cell r="DT40">
            <v>81</v>
          </cell>
          <cell r="DU40" t="str">
            <v>26th</v>
          </cell>
          <cell r="DV40">
            <v>0</v>
          </cell>
          <cell r="DW40">
            <v>0</v>
          </cell>
          <cell r="DX40">
            <v>0</v>
          </cell>
          <cell r="DY40" t="str">
            <v>NILL</v>
          </cell>
          <cell r="DZ40">
            <v>69</v>
          </cell>
          <cell r="EA40">
            <v>0</v>
          </cell>
          <cell r="EB40">
            <v>86</v>
          </cell>
          <cell r="EC40" t="str">
            <v>15th</v>
          </cell>
          <cell r="ED40">
            <v>0</v>
          </cell>
          <cell r="EE40">
            <v>0</v>
          </cell>
          <cell r="EF40">
            <v>30</v>
          </cell>
          <cell r="EG40" t="str">
            <v>NILL</v>
          </cell>
          <cell r="EH40">
            <v>0</v>
          </cell>
          <cell r="EI40">
            <v>0</v>
          </cell>
          <cell r="EJ40">
            <v>89</v>
          </cell>
          <cell r="EK40" t="str">
            <v>NILL</v>
          </cell>
          <cell r="EL40">
            <v>38</v>
          </cell>
          <cell r="EM40">
            <v>0</v>
          </cell>
          <cell r="EN40">
            <v>91</v>
          </cell>
          <cell r="EO40" t="str">
            <v>17th</v>
          </cell>
          <cell r="EP40" t="str">
            <v/>
          </cell>
          <cell r="EQ40">
            <v>0</v>
          </cell>
          <cell r="ER40">
            <v>0</v>
          </cell>
          <cell r="ES40" t="e">
            <v>#VALUE!</v>
          </cell>
        </row>
        <row r="41">
          <cell r="A41" t="str">
            <v>BDS/21/086</v>
          </cell>
          <cell r="B41" t="str">
            <v>PASCHAL DANIEL</v>
          </cell>
          <cell r="C41" t="str">
            <v>MALE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40</v>
          </cell>
          <cell r="I41">
            <v>40</v>
          </cell>
          <cell r="J41">
            <v>40</v>
          </cell>
          <cell r="K41" t="str">
            <v>E8</v>
          </cell>
          <cell r="L41">
            <v>0</v>
          </cell>
          <cell r="M41">
            <v>20</v>
          </cell>
          <cell r="N41">
            <v>32</v>
          </cell>
          <cell r="O41">
            <v>52</v>
          </cell>
          <cell r="P41">
            <v>52</v>
          </cell>
          <cell r="Q41" t="str">
            <v>C4</v>
          </cell>
          <cell r="R41">
            <v>3</v>
          </cell>
          <cell r="S41">
            <v>2</v>
          </cell>
          <cell r="T41">
            <v>47</v>
          </cell>
          <cell r="U41">
            <v>52</v>
          </cell>
          <cell r="V41">
            <v>52</v>
          </cell>
          <cell r="W41" t="str">
            <v>C4</v>
          </cell>
          <cell r="X41" t="str">
            <v/>
          </cell>
          <cell r="Y41" t="str">
            <v/>
          </cell>
          <cell r="Z41" t="str">
            <v/>
          </cell>
          <cell r="AA41">
            <v>0</v>
          </cell>
          <cell r="AB41">
            <v>0</v>
          </cell>
          <cell r="AC41" t="str">
            <v>-</v>
          </cell>
          <cell r="AD41">
            <v>18</v>
          </cell>
          <cell r="AE41">
            <v>18</v>
          </cell>
          <cell r="AF41">
            <v>26</v>
          </cell>
          <cell r="AG41">
            <v>62</v>
          </cell>
          <cell r="AH41">
            <v>62</v>
          </cell>
          <cell r="AI41" t="str">
            <v>B2</v>
          </cell>
          <cell r="AJ41" t="str">
            <v/>
          </cell>
          <cell r="AK41" t="str">
            <v/>
          </cell>
          <cell r="AL41">
            <v>25</v>
          </cell>
          <cell r="AM41">
            <v>25</v>
          </cell>
          <cell r="AN41">
            <v>25</v>
          </cell>
          <cell r="AO41" t="str">
            <v>F9</v>
          </cell>
          <cell r="AP41">
            <v>10</v>
          </cell>
          <cell r="AQ41">
            <v>20</v>
          </cell>
          <cell r="AR41">
            <v>48</v>
          </cell>
          <cell r="AS41">
            <v>78</v>
          </cell>
          <cell r="AT41">
            <v>78</v>
          </cell>
          <cell r="AU41" t="str">
            <v>B1</v>
          </cell>
          <cell r="AV41" t="str">
            <v/>
          </cell>
          <cell r="AW41" t="str">
            <v/>
          </cell>
          <cell r="AX41">
            <v>42</v>
          </cell>
          <cell r="AY41">
            <v>42</v>
          </cell>
          <cell r="AZ41">
            <v>42</v>
          </cell>
          <cell r="BA41" t="str">
            <v>D</v>
          </cell>
          <cell r="BB41" t="str">
            <v/>
          </cell>
          <cell r="BC41" t="str">
            <v/>
          </cell>
          <cell r="BD41" t="str">
            <v/>
          </cell>
          <cell r="BE41">
            <v>0</v>
          </cell>
          <cell r="BF41">
            <v>0</v>
          </cell>
          <cell r="BG41" t="str">
            <v>-</v>
          </cell>
          <cell r="BH41" t="str">
            <v/>
          </cell>
          <cell r="BI41">
            <v>20</v>
          </cell>
          <cell r="BJ41">
            <v>45</v>
          </cell>
          <cell r="BK41">
            <v>65</v>
          </cell>
          <cell r="BL41">
            <v>65</v>
          </cell>
          <cell r="BM41" t="str">
            <v>B2</v>
          </cell>
          <cell r="BN41" t="str">
            <v/>
          </cell>
          <cell r="BO41" t="str">
            <v/>
          </cell>
          <cell r="BP41" t="str">
            <v/>
          </cell>
          <cell r="BQ41">
            <v>0</v>
          </cell>
          <cell r="BR41">
            <v>0</v>
          </cell>
          <cell r="BS41" t="str">
            <v>-</v>
          </cell>
          <cell r="BT41" t="str">
            <v/>
          </cell>
          <cell r="BU41" t="str">
            <v/>
          </cell>
          <cell r="BV41" t="str">
            <v/>
          </cell>
          <cell r="BW41">
            <v>0</v>
          </cell>
          <cell r="BX41">
            <v>0</v>
          </cell>
          <cell r="BY41" t="str">
            <v>-</v>
          </cell>
          <cell r="BZ41">
            <v>15</v>
          </cell>
          <cell r="CA41" t="str">
            <v/>
          </cell>
          <cell r="CB41">
            <v>38</v>
          </cell>
          <cell r="CC41">
            <v>53</v>
          </cell>
          <cell r="CD41">
            <v>53</v>
          </cell>
          <cell r="CE41" t="str">
            <v>C4</v>
          </cell>
          <cell r="CF41" t="str">
            <v/>
          </cell>
          <cell r="CG41" t="str">
            <v/>
          </cell>
          <cell r="CH41" t="str">
            <v/>
          </cell>
          <cell r="CI41" t="str">
            <v/>
          </cell>
          <cell r="CJ41" t="str">
            <v/>
          </cell>
          <cell r="CK41" t="str">
            <v/>
          </cell>
          <cell r="CL41">
            <v>469</v>
          </cell>
          <cell r="CM41">
            <v>469.00000000000006</v>
          </cell>
          <cell r="CN41">
            <v>0.52111111111111119</v>
          </cell>
          <cell r="CO41" t="str">
            <v>30th</v>
          </cell>
          <cell r="CP41">
            <v>40</v>
          </cell>
          <cell r="CQ41">
            <v>41</v>
          </cell>
          <cell r="CR41">
            <v>87</v>
          </cell>
          <cell r="CS41" t="str">
            <v>32nd</v>
          </cell>
          <cell r="CT41">
            <v>52</v>
          </cell>
          <cell r="CU41">
            <v>35</v>
          </cell>
          <cell r="CV41">
            <v>74</v>
          </cell>
          <cell r="CW41" t="str">
            <v>18th</v>
          </cell>
          <cell r="CX41">
            <v>52</v>
          </cell>
          <cell r="CY41">
            <v>59</v>
          </cell>
          <cell r="CZ41">
            <v>97</v>
          </cell>
          <cell r="DA41" t="str">
            <v>29th</v>
          </cell>
          <cell r="DB41">
            <v>0</v>
          </cell>
          <cell r="DC41">
            <v>0</v>
          </cell>
          <cell r="DD41">
            <v>0</v>
          </cell>
          <cell r="DE41" t="str">
            <v>NILL</v>
          </cell>
          <cell r="DF41">
            <v>62</v>
          </cell>
          <cell r="DG41">
            <v>33</v>
          </cell>
          <cell r="DH41">
            <v>87</v>
          </cell>
          <cell r="DI41" t="str">
            <v>27th</v>
          </cell>
          <cell r="DJ41">
            <v>25</v>
          </cell>
          <cell r="DK41">
            <v>29</v>
          </cell>
          <cell r="DL41">
            <v>88</v>
          </cell>
          <cell r="DM41" t="str">
            <v>32nd</v>
          </cell>
          <cell r="DN41">
            <v>78</v>
          </cell>
          <cell r="DO41">
            <v>35</v>
          </cell>
          <cell r="DP41">
            <v>92</v>
          </cell>
          <cell r="DQ41" t="str">
            <v>8th</v>
          </cell>
          <cell r="DR41">
            <v>42</v>
          </cell>
          <cell r="DS41">
            <v>0</v>
          </cell>
          <cell r="DT41">
            <v>81</v>
          </cell>
          <cell r="DU41" t="str">
            <v>24th</v>
          </cell>
          <cell r="DV41">
            <v>0</v>
          </cell>
          <cell r="DW41">
            <v>0</v>
          </cell>
          <cell r="DX41">
            <v>0</v>
          </cell>
          <cell r="DY41" t="str">
            <v>NILL</v>
          </cell>
          <cell r="DZ41">
            <v>65</v>
          </cell>
          <cell r="EA41">
            <v>0</v>
          </cell>
          <cell r="EB41">
            <v>86</v>
          </cell>
          <cell r="EC41" t="str">
            <v>17th</v>
          </cell>
          <cell r="ED41">
            <v>0</v>
          </cell>
          <cell r="EE41">
            <v>0</v>
          </cell>
          <cell r="EF41">
            <v>31</v>
          </cell>
          <cell r="EG41" t="str">
            <v>NILL</v>
          </cell>
          <cell r="EH41">
            <v>0</v>
          </cell>
          <cell r="EI41">
            <v>0</v>
          </cell>
          <cell r="EJ41">
            <v>89</v>
          </cell>
          <cell r="EK41" t="str">
            <v>NILL</v>
          </cell>
          <cell r="EL41">
            <v>53</v>
          </cell>
          <cell r="EM41">
            <v>0</v>
          </cell>
          <cell r="EN41">
            <v>91</v>
          </cell>
          <cell r="EO41" t="str">
            <v>14th</v>
          </cell>
          <cell r="EP41" t="str">
            <v/>
          </cell>
          <cell r="EQ41">
            <v>0</v>
          </cell>
          <cell r="ER41">
            <v>0</v>
          </cell>
          <cell r="ES41" t="e">
            <v>#VALUE!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 t="str">
            <v/>
          </cell>
          <cell r="G42" t="str">
            <v/>
          </cell>
          <cell r="H42" t="str">
            <v/>
          </cell>
          <cell r="I42">
            <v>0</v>
          </cell>
          <cell r="J42">
            <v>0</v>
          </cell>
          <cell r="K42" t="str">
            <v>-</v>
          </cell>
          <cell r="L42" t="str">
            <v/>
          </cell>
          <cell r="M42" t="str">
            <v/>
          </cell>
          <cell r="N42" t="str">
            <v/>
          </cell>
          <cell r="O42">
            <v>0</v>
          </cell>
          <cell r="P42">
            <v>0</v>
          </cell>
          <cell r="Q42" t="str">
            <v>-</v>
          </cell>
          <cell r="R42" t="str">
            <v/>
          </cell>
          <cell r="S42" t="str">
            <v/>
          </cell>
          <cell r="T42" t="str">
            <v/>
          </cell>
          <cell r="U42">
            <v>0</v>
          </cell>
          <cell r="V42">
            <v>0</v>
          </cell>
          <cell r="W42" t="str">
            <v>-</v>
          </cell>
          <cell r="X42" t="str">
            <v/>
          </cell>
          <cell r="Y42" t="str">
            <v/>
          </cell>
          <cell r="Z42" t="str">
            <v/>
          </cell>
          <cell r="AA42">
            <v>0</v>
          </cell>
          <cell r="AB42">
            <v>0</v>
          </cell>
          <cell r="AC42" t="str">
            <v>-</v>
          </cell>
          <cell r="AD42" t="str">
            <v/>
          </cell>
          <cell r="AE42" t="str">
            <v/>
          </cell>
          <cell r="AF42" t="str">
            <v/>
          </cell>
          <cell r="AG42">
            <v>0</v>
          </cell>
          <cell r="AH42">
            <v>0</v>
          </cell>
          <cell r="AI42" t="str">
            <v>-</v>
          </cell>
          <cell r="AJ42" t="str">
            <v/>
          </cell>
          <cell r="AK42" t="str">
            <v/>
          </cell>
          <cell r="AL42" t="str">
            <v/>
          </cell>
          <cell r="AM42">
            <v>0</v>
          </cell>
          <cell r="AN42">
            <v>0</v>
          </cell>
          <cell r="AO42" t="str">
            <v>-</v>
          </cell>
          <cell r="AP42" t="str">
            <v/>
          </cell>
          <cell r="AQ42" t="str">
            <v/>
          </cell>
          <cell r="AR42" t="str">
            <v/>
          </cell>
          <cell r="AS42">
            <v>0</v>
          </cell>
          <cell r="AT42">
            <v>0</v>
          </cell>
          <cell r="AU42" t="str">
            <v>-</v>
          </cell>
          <cell r="AV42" t="str">
            <v/>
          </cell>
          <cell r="AW42" t="str">
            <v/>
          </cell>
          <cell r="AX42" t="str">
            <v/>
          </cell>
          <cell r="AY42">
            <v>0</v>
          </cell>
          <cell r="AZ42">
            <v>0</v>
          </cell>
          <cell r="BA42" t="str">
            <v>-</v>
          </cell>
          <cell r="BB42" t="str">
            <v/>
          </cell>
          <cell r="BC42" t="str">
            <v/>
          </cell>
          <cell r="BD42" t="str">
            <v/>
          </cell>
          <cell r="BE42">
            <v>0</v>
          </cell>
          <cell r="BF42">
            <v>0</v>
          </cell>
          <cell r="BG42" t="str">
            <v>-</v>
          </cell>
          <cell r="BH42" t="str">
            <v/>
          </cell>
          <cell r="BI42" t="str">
            <v/>
          </cell>
          <cell r="BJ42" t="str">
            <v/>
          </cell>
          <cell r="BK42">
            <v>0</v>
          </cell>
          <cell r="BL42">
            <v>0</v>
          </cell>
          <cell r="BM42" t="str">
            <v>-</v>
          </cell>
          <cell r="BN42" t="str">
            <v/>
          </cell>
          <cell r="BO42" t="str">
            <v/>
          </cell>
          <cell r="BP42" t="str">
            <v/>
          </cell>
          <cell r="BQ42">
            <v>0</v>
          </cell>
          <cell r="BR42">
            <v>0</v>
          </cell>
          <cell r="BS42" t="str">
            <v>-</v>
          </cell>
          <cell r="BT42" t="str">
            <v/>
          </cell>
          <cell r="BU42" t="str">
            <v/>
          </cell>
          <cell r="BV42" t="str">
            <v/>
          </cell>
          <cell r="BW42">
            <v>0</v>
          </cell>
          <cell r="BX42">
            <v>0</v>
          </cell>
          <cell r="BY42" t="str">
            <v>-</v>
          </cell>
          <cell r="BZ42" t="str">
            <v/>
          </cell>
          <cell r="CA42" t="str">
            <v/>
          </cell>
          <cell r="CB42" t="str">
            <v/>
          </cell>
          <cell r="CC42">
            <v>0</v>
          </cell>
          <cell r="CD42">
            <v>0</v>
          </cell>
          <cell r="CE42" t="str">
            <v>-</v>
          </cell>
          <cell r="CF42" t="str">
            <v/>
          </cell>
          <cell r="CG42" t="str">
            <v/>
          </cell>
          <cell r="CH42" t="str">
            <v/>
          </cell>
          <cell r="CI42" t="str">
            <v/>
          </cell>
          <cell r="CJ42" t="str">
            <v/>
          </cell>
          <cell r="CK42" t="str">
            <v/>
          </cell>
          <cell r="CL42">
            <v>0</v>
          </cell>
          <cell r="CM42">
            <v>0</v>
          </cell>
          <cell r="CN42">
            <v>0</v>
          </cell>
          <cell r="CO42" t="str">
            <v>N.R</v>
          </cell>
          <cell r="CP42">
            <v>0</v>
          </cell>
          <cell r="CQ42">
            <v>41</v>
          </cell>
          <cell r="CR42">
            <v>87</v>
          </cell>
          <cell r="CS42" t="str">
            <v>NILL</v>
          </cell>
          <cell r="CT42">
            <v>0</v>
          </cell>
          <cell r="CU42">
            <v>35</v>
          </cell>
          <cell r="CV42">
            <v>74</v>
          </cell>
          <cell r="CW42" t="str">
            <v>NILL</v>
          </cell>
          <cell r="CX42">
            <v>0</v>
          </cell>
          <cell r="CY42">
            <v>59</v>
          </cell>
          <cell r="CZ42">
            <v>97</v>
          </cell>
          <cell r="DA42" t="str">
            <v>NILL</v>
          </cell>
          <cell r="DB42">
            <v>0</v>
          </cell>
          <cell r="DC42">
            <v>0</v>
          </cell>
          <cell r="DD42">
            <v>0</v>
          </cell>
          <cell r="DE42" t="str">
            <v>NILL</v>
          </cell>
          <cell r="DF42">
            <v>0</v>
          </cell>
          <cell r="DG42">
            <v>33</v>
          </cell>
          <cell r="DH42">
            <v>87</v>
          </cell>
          <cell r="DI42" t="str">
            <v>NILL</v>
          </cell>
          <cell r="DJ42">
            <v>0</v>
          </cell>
          <cell r="DK42">
            <v>29</v>
          </cell>
          <cell r="DL42">
            <v>88</v>
          </cell>
          <cell r="DM42" t="str">
            <v>NILL</v>
          </cell>
          <cell r="DN42">
            <v>0</v>
          </cell>
          <cell r="DO42">
            <v>35</v>
          </cell>
          <cell r="DP42">
            <v>92</v>
          </cell>
          <cell r="DQ42" t="str">
            <v>NILL</v>
          </cell>
          <cell r="DR42">
            <v>0</v>
          </cell>
          <cell r="DS42">
            <v>0</v>
          </cell>
          <cell r="DT42">
            <v>81</v>
          </cell>
          <cell r="DU42" t="str">
            <v>NILL</v>
          </cell>
          <cell r="DV42">
            <v>0</v>
          </cell>
          <cell r="DW42">
            <v>0</v>
          </cell>
          <cell r="DX42">
            <v>0</v>
          </cell>
          <cell r="DY42" t="str">
            <v>NILL</v>
          </cell>
          <cell r="DZ42">
            <v>0</v>
          </cell>
          <cell r="EA42">
            <v>0</v>
          </cell>
          <cell r="EB42">
            <v>86</v>
          </cell>
          <cell r="EC42" t="str">
            <v>NILL</v>
          </cell>
          <cell r="ED42">
            <v>0</v>
          </cell>
          <cell r="EE42">
            <v>0</v>
          </cell>
          <cell r="EF42">
            <v>32</v>
          </cell>
          <cell r="EG42" t="str">
            <v>NILL</v>
          </cell>
          <cell r="EH42">
            <v>0</v>
          </cell>
          <cell r="EI42">
            <v>0</v>
          </cell>
          <cell r="EJ42">
            <v>89</v>
          </cell>
          <cell r="EK42" t="str">
            <v>NILL</v>
          </cell>
          <cell r="EL42">
            <v>0</v>
          </cell>
          <cell r="EM42">
            <v>0</v>
          </cell>
          <cell r="EN42">
            <v>91</v>
          </cell>
          <cell r="EO42" t="str">
            <v>NILL</v>
          </cell>
          <cell r="EP42" t="str">
            <v/>
          </cell>
          <cell r="EQ42">
            <v>0</v>
          </cell>
          <cell r="ER42">
            <v>0</v>
          </cell>
          <cell r="ES42" t="e">
            <v>#VALUE!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 t="str">
            <v/>
          </cell>
          <cell r="G43" t="str">
            <v/>
          </cell>
          <cell r="H43" t="str">
            <v/>
          </cell>
          <cell r="I43">
            <v>0</v>
          </cell>
          <cell r="J43">
            <v>0</v>
          </cell>
          <cell r="K43" t="str">
            <v>-</v>
          </cell>
          <cell r="L43" t="str">
            <v/>
          </cell>
          <cell r="M43" t="str">
            <v/>
          </cell>
          <cell r="N43" t="str">
            <v/>
          </cell>
          <cell r="O43">
            <v>0</v>
          </cell>
          <cell r="P43">
            <v>0</v>
          </cell>
          <cell r="Q43" t="str">
            <v>-</v>
          </cell>
          <cell r="R43" t="str">
            <v/>
          </cell>
          <cell r="S43" t="str">
            <v/>
          </cell>
          <cell r="T43" t="str">
            <v/>
          </cell>
          <cell r="U43">
            <v>0</v>
          </cell>
          <cell r="V43">
            <v>0</v>
          </cell>
          <cell r="W43" t="str">
            <v>-</v>
          </cell>
          <cell r="X43" t="str">
            <v/>
          </cell>
          <cell r="Y43" t="str">
            <v/>
          </cell>
          <cell r="Z43" t="str">
            <v/>
          </cell>
          <cell r="AA43">
            <v>0</v>
          </cell>
          <cell r="AB43">
            <v>0</v>
          </cell>
          <cell r="AC43" t="str">
            <v>-</v>
          </cell>
          <cell r="AD43" t="str">
            <v/>
          </cell>
          <cell r="AE43" t="str">
            <v/>
          </cell>
          <cell r="AF43" t="str">
            <v/>
          </cell>
          <cell r="AG43">
            <v>0</v>
          </cell>
          <cell r="AH43">
            <v>0</v>
          </cell>
          <cell r="AI43" t="str">
            <v>-</v>
          </cell>
          <cell r="AJ43" t="str">
            <v/>
          </cell>
          <cell r="AK43" t="str">
            <v/>
          </cell>
          <cell r="AL43" t="str">
            <v/>
          </cell>
          <cell r="AM43">
            <v>0</v>
          </cell>
          <cell r="AN43">
            <v>0</v>
          </cell>
          <cell r="AO43" t="str">
            <v>-</v>
          </cell>
          <cell r="AP43" t="str">
            <v/>
          </cell>
          <cell r="AQ43" t="str">
            <v/>
          </cell>
          <cell r="AR43" t="str">
            <v/>
          </cell>
          <cell r="AS43">
            <v>0</v>
          </cell>
          <cell r="AT43">
            <v>0</v>
          </cell>
          <cell r="AU43" t="str">
            <v>-</v>
          </cell>
          <cell r="AV43" t="str">
            <v/>
          </cell>
          <cell r="AW43" t="str">
            <v/>
          </cell>
          <cell r="AX43" t="str">
            <v/>
          </cell>
          <cell r="AY43">
            <v>0</v>
          </cell>
          <cell r="AZ43">
            <v>0</v>
          </cell>
          <cell r="BA43" t="str">
            <v>-</v>
          </cell>
          <cell r="BB43" t="str">
            <v/>
          </cell>
          <cell r="BC43" t="str">
            <v/>
          </cell>
          <cell r="BD43" t="str">
            <v/>
          </cell>
          <cell r="BE43">
            <v>0</v>
          </cell>
          <cell r="BF43">
            <v>0</v>
          </cell>
          <cell r="BG43" t="str">
            <v>-</v>
          </cell>
          <cell r="BH43" t="str">
            <v/>
          </cell>
          <cell r="BI43" t="str">
            <v/>
          </cell>
          <cell r="BJ43" t="str">
            <v/>
          </cell>
          <cell r="BK43">
            <v>0</v>
          </cell>
          <cell r="BL43">
            <v>0</v>
          </cell>
          <cell r="BM43" t="str">
            <v>-</v>
          </cell>
          <cell r="BN43" t="str">
            <v/>
          </cell>
          <cell r="BO43" t="str">
            <v/>
          </cell>
          <cell r="BP43" t="str">
            <v/>
          </cell>
          <cell r="BQ43">
            <v>0</v>
          </cell>
          <cell r="BR43">
            <v>0</v>
          </cell>
          <cell r="BS43" t="str">
            <v>-</v>
          </cell>
          <cell r="BT43" t="str">
            <v/>
          </cell>
          <cell r="BU43" t="str">
            <v/>
          </cell>
          <cell r="BV43" t="str">
            <v/>
          </cell>
          <cell r="BW43">
            <v>0</v>
          </cell>
          <cell r="BX43">
            <v>0</v>
          </cell>
          <cell r="BY43" t="str">
            <v>-</v>
          </cell>
          <cell r="BZ43" t="str">
            <v/>
          </cell>
          <cell r="CA43" t="str">
            <v/>
          </cell>
          <cell r="CB43" t="str">
            <v/>
          </cell>
          <cell r="CC43">
            <v>0</v>
          </cell>
          <cell r="CD43">
            <v>0</v>
          </cell>
          <cell r="CE43" t="str">
            <v>-</v>
          </cell>
          <cell r="CF43" t="str">
            <v/>
          </cell>
          <cell r="CG43" t="str">
            <v/>
          </cell>
          <cell r="CH43" t="str">
            <v/>
          </cell>
          <cell r="CI43" t="str">
            <v/>
          </cell>
          <cell r="CJ43" t="str">
            <v/>
          </cell>
          <cell r="CK43" t="str">
            <v/>
          </cell>
          <cell r="CL43">
            <v>0</v>
          </cell>
          <cell r="CM43">
            <v>0</v>
          </cell>
          <cell r="CN43">
            <v>0</v>
          </cell>
          <cell r="CO43" t="str">
            <v>N.R</v>
          </cell>
          <cell r="CP43">
            <v>0</v>
          </cell>
          <cell r="CQ43">
            <v>41</v>
          </cell>
          <cell r="CR43">
            <v>87</v>
          </cell>
          <cell r="CS43" t="str">
            <v>NILL</v>
          </cell>
          <cell r="CT43">
            <v>0</v>
          </cell>
          <cell r="CU43">
            <v>35</v>
          </cell>
          <cell r="CV43">
            <v>74</v>
          </cell>
          <cell r="CW43" t="str">
            <v>NILL</v>
          </cell>
          <cell r="CX43">
            <v>0</v>
          </cell>
          <cell r="CY43">
            <v>59</v>
          </cell>
          <cell r="CZ43">
            <v>97</v>
          </cell>
          <cell r="DA43" t="str">
            <v>NILL</v>
          </cell>
          <cell r="DB43">
            <v>0</v>
          </cell>
          <cell r="DC43">
            <v>0</v>
          </cell>
          <cell r="DD43">
            <v>0</v>
          </cell>
          <cell r="DE43" t="str">
            <v>NILL</v>
          </cell>
          <cell r="DF43">
            <v>0</v>
          </cell>
          <cell r="DG43">
            <v>33</v>
          </cell>
          <cell r="DH43">
            <v>87</v>
          </cell>
          <cell r="DI43" t="str">
            <v>NILL</v>
          </cell>
          <cell r="DJ43">
            <v>0</v>
          </cell>
          <cell r="DK43">
            <v>29</v>
          </cell>
          <cell r="DL43">
            <v>88</v>
          </cell>
          <cell r="DM43" t="str">
            <v>NILL</v>
          </cell>
          <cell r="DN43">
            <v>0</v>
          </cell>
          <cell r="DO43">
            <v>35</v>
          </cell>
          <cell r="DP43">
            <v>92</v>
          </cell>
          <cell r="DQ43" t="str">
            <v>NILL</v>
          </cell>
          <cell r="DR43">
            <v>0</v>
          </cell>
          <cell r="DS43">
            <v>0</v>
          </cell>
          <cell r="DT43">
            <v>81</v>
          </cell>
          <cell r="DU43" t="str">
            <v>NILL</v>
          </cell>
          <cell r="DV43">
            <v>0</v>
          </cell>
          <cell r="DW43">
            <v>0</v>
          </cell>
          <cell r="DX43">
            <v>0</v>
          </cell>
          <cell r="DY43" t="str">
            <v>NILL</v>
          </cell>
          <cell r="DZ43">
            <v>0</v>
          </cell>
          <cell r="EA43">
            <v>0</v>
          </cell>
          <cell r="EB43">
            <v>86</v>
          </cell>
          <cell r="EC43" t="str">
            <v>NILL</v>
          </cell>
          <cell r="ED43">
            <v>0</v>
          </cell>
          <cell r="EE43">
            <v>0</v>
          </cell>
          <cell r="EF43">
            <v>33</v>
          </cell>
          <cell r="EG43" t="str">
            <v>NILL</v>
          </cell>
          <cell r="EH43">
            <v>0</v>
          </cell>
          <cell r="EI43">
            <v>0</v>
          </cell>
          <cell r="EJ43">
            <v>89</v>
          </cell>
          <cell r="EK43" t="str">
            <v>NILL</v>
          </cell>
          <cell r="EL43">
            <v>0</v>
          </cell>
          <cell r="EM43">
            <v>0</v>
          </cell>
          <cell r="EN43">
            <v>91</v>
          </cell>
          <cell r="EO43" t="str">
            <v>NILL</v>
          </cell>
          <cell r="EP43" t="str">
            <v/>
          </cell>
          <cell r="EQ43">
            <v>0</v>
          </cell>
          <cell r="ER43">
            <v>0</v>
          </cell>
          <cell r="ES43" t="e">
            <v>#VALUE!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 t="str">
            <v/>
          </cell>
          <cell r="G44" t="str">
            <v/>
          </cell>
          <cell r="H44" t="str">
            <v/>
          </cell>
          <cell r="I44">
            <v>0</v>
          </cell>
          <cell r="J44">
            <v>0</v>
          </cell>
          <cell r="K44" t="str">
            <v>-</v>
          </cell>
          <cell r="L44" t="str">
            <v/>
          </cell>
          <cell r="M44" t="str">
            <v/>
          </cell>
          <cell r="N44" t="str">
            <v/>
          </cell>
          <cell r="O44">
            <v>0</v>
          </cell>
          <cell r="P44">
            <v>0</v>
          </cell>
          <cell r="Q44" t="str">
            <v>-</v>
          </cell>
          <cell r="R44" t="str">
            <v/>
          </cell>
          <cell r="S44" t="str">
            <v/>
          </cell>
          <cell r="T44" t="str">
            <v/>
          </cell>
          <cell r="U44">
            <v>0</v>
          </cell>
          <cell r="V44">
            <v>0</v>
          </cell>
          <cell r="W44" t="str">
            <v>-</v>
          </cell>
          <cell r="X44" t="str">
            <v/>
          </cell>
          <cell r="Y44" t="str">
            <v/>
          </cell>
          <cell r="Z44" t="str">
            <v/>
          </cell>
          <cell r="AA44">
            <v>0</v>
          </cell>
          <cell r="AB44">
            <v>0</v>
          </cell>
          <cell r="AC44" t="str">
            <v>-</v>
          </cell>
          <cell r="AD44" t="str">
            <v/>
          </cell>
          <cell r="AE44" t="str">
            <v/>
          </cell>
          <cell r="AF44" t="str">
            <v/>
          </cell>
          <cell r="AG44">
            <v>0</v>
          </cell>
          <cell r="AH44">
            <v>0</v>
          </cell>
          <cell r="AI44" t="str">
            <v>-</v>
          </cell>
          <cell r="AJ44" t="str">
            <v/>
          </cell>
          <cell r="AK44" t="str">
            <v/>
          </cell>
          <cell r="AL44" t="str">
            <v/>
          </cell>
          <cell r="AM44">
            <v>0</v>
          </cell>
          <cell r="AN44">
            <v>0</v>
          </cell>
          <cell r="AO44" t="str">
            <v>-</v>
          </cell>
          <cell r="AP44" t="str">
            <v/>
          </cell>
          <cell r="AQ44" t="str">
            <v/>
          </cell>
          <cell r="AR44" t="str">
            <v/>
          </cell>
          <cell r="AS44">
            <v>0</v>
          </cell>
          <cell r="AT44">
            <v>0</v>
          </cell>
          <cell r="AU44" t="str">
            <v>-</v>
          </cell>
          <cell r="AV44" t="str">
            <v/>
          </cell>
          <cell r="AW44" t="str">
            <v/>
          </cell>
          <cell r="AX44" t="str">
            <v/>
          </cell>
          <cell r="AY44">
            <v>0</v>
          </cell>
          <cell r="AZ44">
            <v>0</v>
          </cell>
          <cell r="BA44" t="str">
            <v>-</v>
          </cell>
          <cell r="BB44" t="str">
            <v/>
          </cell>
          <cell r="BC44" t="str">
            <v/>
          </cell>
          <cell r="BD44" t="str">
            <v/>
          </cell>
          <cell r="BE44">
            <v>0</v>
          </cell>
          <cell r="BF44">
            <v>0</v>
          </cell>
          <cell r="BG44" t="str">
            <v>-</v>
          </cell>
          <cell r="BH44" t="str">
            <v/>
          </cell>
          <cell r="BI44" t="str">
            <v/>
          </cell>
          <cell r="BJ44" t="str">
            <v/>
          </cell>
          <cell r="BK44">
            <v>0</v>
          </cell>
          <cell r="BL44">
            <v>0</v>
          </cell>
          <cell r="BM44" t="str">
            <v>-</v>
          </cell>
          <cell r="BN44" t="str">
            <v/>
          </cell>
          <cell r="BO44" t="str">
            <v/>
          </cell>
          <cell r="BP44" t="str">
            <v/>
          </cell>
          <cell r="BQ44">
            <v>0</v>
          </cell>
          <cell r="BR44">
            <v>0</v>
          </cell>
          <cell r="BS44" t="str">
            <v>-</v>
          </cell>
          <cell r="BT44" t="str">
            <v/>
          </cell>
          <cell r="BU44" t="str">
            <v/>
          </cell>
          <cell r="BV44" t="str">
            <v/>
          </cell>
          <cell r="BW44">
            <v>0</v>
          </cell>
          <cell r="BX44">
            <v>0</v>
          </cell>
          <cell r="BY44" t="str">
            <v>-</v>
          </cell>
          <cell r="BZ44" t="str">
            <v/>
          </cell>
          <cell r="CA44" t="str">
            <v/>
          </cell>
          <cell r="CB44" t="str">
            <v/>
          </cell>
          <cell r="CC44">
            <v>0</v>
          </cell>
          <cell r="CD44">
            <v>0</v>
          </cell>
          <cell r="CE44" t="str">
            <v>-</v>
          </cell>
          <cell r="CF44" t="str">
            <v/>
          </cell>
          <cell r="CG44" t="str">
            <v/>
          </cell>
          <cell r="CH44" t="str">
            <v/>
          </cell>
          <cell r="CI44" t="str">
            <v/>
          </cell>
          <cell r="CJ44" t="str">
            <v/>
          </cell>
          <cell r="CK44" t="str">
            <v/>
          </cell>
          <cell r="CL44">
            <v>0</v>
          </cell>
          <cell r="CM44">
            <v>0</v>
          </cell>
          <cell r="CN44">
            <v>0</v>
          </cell>
          <cell r="CO44" t="str">
            <v>N.R</v>
          </cell>
          <cell r="CP44">
            <v>0</v>
          </cell>
          <cell r="CQ44">
            <v>41</v>
          </cell>
          <cell r="CR44">
            <v>87</v>
          </cell>
          <cell r="CS44" t="str">
            <v>NILL</v>
          </cell>
          <cell r="CT44">
            <v>0</v>
          </cell>
          <cell r="CU44">
            <v>35</v>
          </cell>
          <cell r="CV44">
            <v>74</v>
          </cell>
          <cell r="CW44" t="str">
            <v>NILL</v>
          </cell>
          <cell r="CX44">
            <v>0</v>
          </cell>
          <cell r="CY44">
            <v>59</v>
          </cell>
          <cell r="CZ44">
            <v>97</v>
          </cell>
          <cell r="DA44" t="str">
            <v>NILL</v>
          </cell>
          <cell r="DB44">
            <v>0</v>
          </cell>
          <cell r="DC44">
            <v>0</v>
          </cell>
          <cell r="DD44">
            <v>0</v>
          </cell>
          <cell r="DE44" t="str">
            <v>NILL</v>
          </cell>
          <cell r="DF44">
            <v>0</v>
          </cell>
          <cell r="DG44">
            <v>33</v>
          </cell>
          <cell r="DH44">
            <v>87</v>
          </cell>
          <cell r="DI44" t="str">
            <v>NILL</v>
          </cell>
          <cell r="DJ44">
            <v>0</v>
          </cell>
          <cell r="DK44">
            <v>29</v>
          </cell>
          <cell r="DL44">
            <v>88</v>
          </cell>
          <cell r="DM44" t="str">
            <v>NILL</v>
          </cell>
          <cell r="DN44">
            <v>0</v>
          </cell>
          <cell r="DO44">
            <v>35</v>
          </cell>
          <cell r="DP44">
            <v>92</v>
          </cell>
          <cell r="DQ44" t="str">
            <v>NILL</v>
          </cell>
          <cell r="DR44">
            <v>0</v>
          </cell>
          <cell r="DS44">
            <v>0</v>
          </cell>
          <cell r="DT44">
            <v>81</v>
          </cell>
          <cell r="DU44" t="str">
            <v>NILL</v>
          </cell>
          <cell r="DV44">
            <v>0</v>
          </cell>
          <cell r="DW44">
            <v>0</v>
          </cell>
          <cell r="DX44">
            <v>0</v>
          </cell>
          <cell r="DY44" t="str">
            <v>NILL</v>
          </cell>
          <cell r="DZ44">
            <v>0</v>
          </cell>
          <cell r="EA44">
            <v>0</v>
          </cell>
          <cell r="EB44">
            <v>86</v>
          </cell>
          <cell r="EC44" t="str">
            <v>NILL</v>
          </cell>
          <cell r="ED44">
            <v>0</v>
          </cell>
          <cell r="EE44">
            <v>0</v>
          </cell>
          <cell r="EF44">
            <v>34</v>
          </cell>
          <cell r="EG44" t="str">
            <v>NILL</v>
          </cell>
          <cell r="EH44">
            <v>0</v>
          </cell>
          <cell r="EI44">
            <v>0</v>
          </cell>
          <cell r="EJ44">
            <v>89</v>
          </cell>
          <cell r="EK44" t="str">
            <v>NILL</v>
          </cell>
          <cell r="EL44">
            <v>0</v>
          </cell>
          <cell r="EM44">
            <v>0</v>
          </cell>
          <cell r="EN44">
            <v>91</v>
          </cell>
          <cell r="EO44" t="str">
            <v>NILL</v>
          </cell>
          <cell r="EP44" t="str">
            <v/>
          </cell>
          <cell r="EQ44">
            <v>0</v>
          </cell>
          <cell r="ER44">
            <v>0</v>
          </cell>
          <cell r="ES44" t="e">
            <v>#VALUE!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 t="str">
            <v/>
          </cell>
          <cell r="G45" t="str">
            <v/>
          </cell>
          <cell r="H45" t="str">
            <v/>
          </cell>
          <cell r="I45">
            <v>0</v>
          </cell>
          <cell r="J45">
            <v>0</v>
          </cell>
          <cell r="K45" t="str">
            <v>-</v>
          </cell>
          <cell r="L45" t="str">
            <v/>
          </cell>
          <cell r="M45" t="str">
            <v/>
          </cell>
          <cell r="N45" t="str">
            <v/>
          </cell>
          <cell r="O45">
            <v>0</v>
          </cell>
          <cell r="P45">
            <v>0</v>
          </cell>
          <cell r="Q45" t="str">
            <v>-</v>
          </cell>
          <cell r="R45" t="str">
            <v/>
          </cell>
          <cell r="S45" t="str">
            <v/>
          </cell>
          <cell r="T45" t="str">
            <v/>
          </cell>
          <cell r="U45">
            <v>0</v>
          </cell>
          <cell r="V45">
            <v>0</v>
          </cell>
          <cell r="W45" t="str">
            <v>-</v>
          </cell>
          <cell r="X45" t="str">
            <v/>
          </cell>
          <cell r="Y45" t="str">
            <v/>
          </cell>
          <cell r="Z45" t="str">
            <v/>
          </cell>
          <cell r="AA45">
            <v>0</v>
          </cell>
          <cell r="AB45">
            <v>0</v>
          </cell>
          <cell r="AC45" t="str">
            <v>-</v>
          </cell>
          <cell r="AD45" t="str">
            <v/>
          </cell>
          <cell r="AE45" t="str">
            <v/>
          </cell>
          <cell r="AF45" t="str">
            <v/>
          </cell>
          <cell r="AG45">
            <v>0</v>
          </cell>
          <cell r="AH45">
            <v>0</v>
          </cell>
          <cell r="AI45" t="str">
            <v>-</v>
          </cell>
          <cell r="AJ45" t="str">
            <v/>
          </cell>
          <cell r="AK45" t="str">
            <v/>
          </cell>
          <cell r="AL45" t="str">
            <v/>
          </cell>
          <cell r="AM45">
            <v>0</v>
          </cell>
          <cell r="AN45">
            <v>0</v>
          </cell>
          <cell r="AO45" t="str">
            <v>-</v>
          </cell>
          <cell r="AP45" t="str">
            <v/>
          </cell>
          <cell r="AQ45" t="str">
            <v/>
          </cell>
          <cell r="AR45" t="str">
            <v/>
          </cell>
          <cell r="AS45">
            <v>0</v>
          </cell>
          <cell r="AT45">
            <v>0</v>
          </cell>
          <cell r="AU45" t="str">
            <v>-</v>
          </cell>
          <cell r="AV45" t="str">
            <v/>
          </cell>
          <cell r="AW45" t="str">
            <v/>
          </cell>
          <cell r="AX45" t="str">
            <v/>
          </cell>
          <cell r="AY45">
            <v>0</v>
          </cell>
          <cell r="AZ45">
            <v>0</v>
          </cell>
          <cell r="BA45" t="str">
            <v>-</v>
          </cell>
          <cell r="BB45" t="str">
            <v/>
          </cell>
          <cell r="BC45" t="str">
            <v/>
          </cell>
          <cell r="BD45" t="str">
            <v/>
          </cell>
          <cell r="BE45">
            <v>0</v>
          </cell>
          <cell r="BF45">
            <v>0</v>
          </cell>
          <cell r="BG45" t="str">
            <v>-</v>
          </cell>
          <cell r="BH45" t="str">
            <v/>
          </cell>
          <cell r="BI45" t="str">
            <v/>
          </cell>
          <cell r="BJ45" t="str">
            <v/>
          </cell>
          <cell r="BK45">
            <v>0</v>
          </cell>
          <cell r="BL45">
            <v>0</v>
          </cell>
          <cell r="BM45" t="str">
            <v>-</v>
          </cell>
          <cell r="BN45" t="str">
            <v/>
          </cell>
          <cell r="BO45" t="str">
            <v/>
          </cell>
          <cell r="BP45" t="str">
            <v/>
          </cell>
          <cell r="BQ45">
            <v>0</v>
          </cell>
          <cell r="BR45">
            <v>0</v>
          </cell>
          <cell r="BS45" t="str">
            <v>-</v>
          </cell>
          <cell r="BT45" t="str">
            <v/>
          </cell>
          <cell r="BU45" t="str">
            <v/>
          </cell>
          <cell r="BV45" t="str">
            <v/>
          </cell>
          <cell r="BW45">
            <v>0</v>
          </cell>
          <cell r="BX45">
            <v>0</v>
          </cell>
          <cell r="BY45" t="str">
            <v>-</v>
          </cell>
          <cell r="BZ45" t="str">
            <v/>
          </cell>
          <cell r="CA45" t="str">
            <v/>
          </cell>
          <cell r="CB45" t="str">
            <v/>
          </cell>
          <cell r="CC45">
            <v>0</v>
          </cell>
          <cell r="CD45">
            <v>0</v>
          </cell>
          <cell r="CE45" t="str">
            <v>-</v>
          </cell>
          <cell r="CF45" t="str">
            <v/>
          </cell>
          <cell r="CG45" t="str">
            <v/>
          </cell>
          <cell r="CH45" t="str">
            <v/>
          </cell>
          <cell r="CI45" t="str">
            <v/>
          </cell>
          <cell r="CJ45" t="str">
            <v/>
          </cell>
          <cell r="CK45" t="str">
            <v/>
          </cell>
          <cell r="CL45">
            <v>0</v>
          </cell>
          <cell r="CM45">
            <v>0</v>
          </cell>
          <cell r="CN45">
            <v>0</v>
          </cell>
          <cell r="CO45" t="str">
            <v>N.R</v>
          </cell>
          <cell r="CP45">
            <v>0</v>
          </cell>
          <cell r="CQ45">
            <v>41</v>
          </cell>
          <cell r="CR45">
            <v>87</v>
          </cell>
          <cell r="CS45" t="str">
            <v>NILL</v>
          </cell>
          <cell r="CT45">
            <v>0</v>
          </cell>
          <cell r="CU45">
            <v>35</v>
          </cell>
          <cell r="CV45">
            <v>74</v>
          </cell>
          <cell r="CW45" t="str">
            <v>NILL</v>
          </cell>
          <cell r="CX45">
            <v>0</v>
          </cell>
          <cell r="CY45">
            <v>59</v>
          </cell>
          <cell r="CZ45">
            <v>97</v>
          </cell>
          <cell r="DA45" t="str">
            <v>NILL</v>
          </cell>
          <cell r="DB45">
            <v>0</v>
          </cell>
          <cell r="DC45">
            <v>0</v>
          </cell>
          <cell r="DD45">
            <v>0</v>
          </cell>
          <cell r="DE45" t="str">
            <v>NILL</v>
          </cell>
          <cell r="DF45">
            <v>0</v>
          </cell>
          <cell r="DG45">
            <v>33</v>
          </cell>
          <cell r="DH45">
            <v>87</v>
          </cell>
          <cell r="DI45" t="str">
            <v>NILL</v>
          </cell>
          <cell r="DJ45">
            <v>0</v>
          </cell>
          <cell r="DK45">
            <v>29</v>
          </cell>
          <cell r="DL45">
            <v>88</v>
          </cell>
          <cell r="DM45" t="str">
            <v>NILL</v>
          </cell>
          <cell r="DN45">
            <v>0</v>
          </cell>
          <cell r="DO45">
            <v>35</v>
          </cell>
          <cell r="DP45">
            <v>92</v>
          </cell>
          <cell r="DQ45" t="str">
            <v>NILL</v>
          </cell>
          <cell r="DR45">
            <v>0</v>
          </cell>
          <cell r="DS45">
            <v>0</v>
          </cell>
          <cell r="DT45">
            <v>81</v>
          </cell>
          <cell r="DU45" t="str">
            <v>NILL</v>
          </cell>
          <cell r="DV45">
            <v>0</v>
          </cell>
          <cell r="DW45">
            <v>0</v>
          </cell>
          <cell r="DX45">
            <v>0</v>
          </cell>
          <cell r="DY45" t="str">
            <v>NILL</v>
          </cell>
          <cell r="DZ45">
            <v>0</v>
          </cell>
          <cell r="EA45">
            <v>0</v>
          </cell>
          <cell r="EB45">
            <v>86</v>
          </cell>
          <cell r="EC45" t="str">
            <v>NILL</v>
          </cell>
          <cell r="ED45">
            <v>0</v>
          </cell>
          <cell r="EE45">
            <v>0</v>
          </cell>
          <cell r="EF45">
            <v>35</v>
          </cell>
          <cell r="EG45" t="str">
            <v>NILL</v>
          </cell>
          <cell r="EH45">
            <v>0</v>
          </cell>
          <cell r="EI45">
            <v>0</v>
          </cell>
          <cell r="EJ45">
            <v>89</v>
          </cell>
          <cell r="EK45" t="str">
            <v>NILL</v>
          </cell>
          <cell r="EL45">
            <v>0</v>
          </cell>
          <cell r="EM45">
            <v>0</v>
          </cell>
          <cell r="EN45">
            <v>91</v>
          </cell>
          <cell r="EO45" t="str">
            <v>NILL</v>
          </cell>
          <cell r="EP45" t="str">
            <v/>
          </cell>
          <cell r="EQ45">
            <v>0</v>
          </cell>
          <cell r="ER45">
            <v>0</v>
          </cell>
          <cell r="ES45" t="e">
            <v>#VALUE!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 t="str">
            <v/>
          </cell>
          <cell r="G46" t="str">
            <v/>
          </cell>
          <cell r="H46" t="str">
            <v/>
          </cell>
          <cell r="I46">
            <v>0</v>
          </cell>
          <cell r="J46">
            <v>0</v>
          </cell>
          <cell r="K46" t="str">
            <v>-</v>
          </cell>
          <cell r="L46" t="str">
            <v/>
          </cell>
          <cell r="M46" t="str">
            <v/>
          </cell>
          <cell r="N46" t="str">
            <v/>
          </cell>
          <cell r="O46">
            <v>0</v>
          </cell>
          <cell r="P46">
            <v>0</v>
          </cell>
          <cell r="Q46" t="str">
            <v>-</v>
          </cell>
          <cell r="R46" t="str">
            <v/>
          </cell>
          <cell r="S46" t="str">
            <v/>
          </cell>
          <cell r="T46" t="str">
            <v/>
          </cell>
          <cell r="U46">
            <v>0</v>
          </cell>
          <cell r="V46">
            <v>0</v>
          </cell>
          <cell r="W46" t="str">
            <v>-</v>
          </cell>
          <cell r="X46" t="str">
            <v/>
          </cell>
          <cell r="Y46" t="str">
            <v/>
          </cell>
          <cell r="Z46" t="str">
            <v/>
          </cell>
          <cell r="AA46">
            <v>0</v>
          </cell>
          <cell r="AB46">
            <v>0</v>
          </cell>
          <cell r="AC46" t="str">
            <v>-</v>
          </cell>
          <cell r="AD46" t="str">
            <v/>
          </cell>
          <cell r="AE46" t="str">
            <v/>
          </cell>
          <cell r="AF46" t="str">
            <v/>
          </cell>
          <cell r="AG46">
            <v>0</v>
          </cell>
          <cell r="AH46">
            <v>0</v>
          </cell>
          <cell r="AI46" t="str">
            <v>-</v>
          </cell>
          <cell r="AJ46" t="str">
            <v/>
          </cell>
          <cell r="AK46" t="str">
            <v/>
          </cell>
          <cell r="AL46" t="str">
            <v/>
          </cell>
          <cell r="AM46">
            <v>0</v>
          </cell>
          <cell r="AN46">
            <v>0</v>
          </cell>
          <cell r="AO46" t="str">
            <v>-</v>
          </cell>
          <cell r="AP46" t="str">
            <v/>
          </cell>
          <cell r="AQ46" t="str">
            <v/>
          </cell>
          <cell r="AR46" t="str">
            <v/>
          </cell>
          <cell r="AS46">
            <v>0</v>
          </cell>
          <cell r="AT46">
            <v>0</v>
          </cell>
          <cell r="AU46" t="str">
            <v>-</v>
          </cell>
          <cell r="AV46" t="str">
            <v/>
          </cell>
          <cell r="AW46" t="str">
            <v/>
          </cell>
          <cell r="AX46" t="str">
            <v/>
          </cell>
          <cell r="AY46">
            <v>0</v>
          </cell>
          <cell r="AZ46">
            <v>0</v>
          </cell>
          <cell r="BA46" t="str">
            <v>-</v>
          </cell>
          <cell r="BB46" t="str">
            <v/>
          </cell>
          <cell r="BC46" t="str">
            <v/>
          </cell>
          <cell r="BD46" t="str">
            <v/>
          </cell>
          <cell r="BE46">
            <v>0</v>
          </cell>
          <cell r="BF46">
            <v>0</v>
          </cell>
          <cell r="BG46" t="str">
            <v>-</v>
          </cell>
          <cell r="BH46" t="str">
            <v/>
          </cell>
          <cell r="BI46" t="str">
            <v/>
          </cell>
          <cell r="BJ46" t="str">
            <v/>
          </cell>
          <cell r="BK46">
            <v>0</v>
          </cell>
          <cell r="BL46">
            <v>0</v>
          </cell>
          <cell r="BM46" t="str">
            <v>-</v>
          </cell>
          <cell r="BN46" t="str">
            <v/>
          </cell>
          <cell r="BO46" t="str">
            <v/>
          </cell>
          <cell r="BP46" t="str">
            <v/>
          </cell>
          <cell r="BQ46">
            <v>0</v>
          </cell>
          <cell r="BR46">
            <v>0</v>
          </cell>
          <cell r="BS46" t="str">
            <v>-</v>
          </cell>
          <cell r="BT46" t="str">
            <v/>
          </cell>
          <cell r="BU46" t="str">
            <v/>
          </cell>
          <cell r="BV46" t="str">
            <v/>
          </cell>
          <cell r="BW46">
            <v>0</v>
          </cell>
          <cell r="BX46">
            <v>0</v>
          </cell>
          <cell r="BY46" t="str">
            <v>-</v>
          </cell>
          <cell r="BZ46" t="str">
            <v/>
          </cell>
          <cell r="CA46" t="str">
            <v/>
          </cell>
          <cell r="CB46" t="str">
            <v/>
          </cell>
          <cell r="CC46">
            <v>0</v>
          </cell>
          <cell r="CD46">
            <v>0</v>
          </cell>
          <cell r="CE46" t="str">
            <v>-</v>
          </cell>
          <cell r="CF46" t="str">
            <v/>
          </cell>
          <cell r="CG46" t="str">
            <v/>
          </cell>
          <cell r="CH46" t="str">
            <v/>
          </cell>
          <cell r="CI46" t="str">
            <v/>
          </cell>
          <cell r="CJ46" t="str">
            <v/>
          </cell>
          <cell r="CK46" t="str">
            <v/>
          </cell>
          <cell r="CL46">
            <v>0</v>
          </cell>
          <cell r="CM46">
            <v>0</v>
          </cell>
          <cell r="CN46">
            <v>0</v>
          </cell>
          <cell r="CO46" t="str">
            <v>N.R</v>
          </cell>
          <cell r="CP46">
            <v>0</v>
          </cell>
          <cell r="CQ46">
            <v>41</v>
          </cell>
          <cell r="CR46">
            <v>87</v>
          </cell>
          <cell r="CS46" t="str">
            <v>NILL</v>
          </cell>
          <cell r="CT46">
            <v>0</v>
          </cell>
          <cell r="CU46">
            <v>35</v>
          </cell>
          <cell r="CV46">
            <v>74</v>
          </cell>
          <cell r="CW46" t="str">
            <v>NILL</v>
          </cell>
          <cell r="CX46">
            <v>0</v>
          </cell>
          <cell r="CY46">
            <v>59</v>
          </cell>
          <cell r="CZ46">
            <v>97</v>
          </cell>
          <cell r="DA46" t="str">
            <v>NILL</v>
          </cell>
          <cell r="DB46">
            <v>0</v>
          </cell>
          <cell r="DC46">
            <v>0</v>
          </cell>
          <cell r="DD46">
            <v>0</v>
          </cell>
          <cell r="DE46" t="str">
            <v>NILL</v>
          </cell>
          <cell r="DF46">
            <v>0</v>
          </cell>
          <cell r="DG46">
            <v>33</v>
          </cell>
          <cell r="DH46">
            <v>87</v>
          </cell>
          <cell r="DI46" t="str">
            <v>NILL</v>
          </cell>
          <cell r="DJ46">
            <v>0</v>
          </cell>
          <cell r="DK46">
            <v>29</v>
          </cell>
          <cell r="DL46">
            <v>88</v>
          </cell>
          <cell r="DM46" t="str">
            <v>NILL</v>
          </cell>
          <cell r="DN46">
            <v>0</v>
          </cell>
          <cell r="DO46">
            <v>35</v>
          </cell>
          <cell r="DP46">
            <v>92</v>
          </cell>
          <cell r="DQ46" t="str">
            <v>NILL</v>
          </cell>
          <cell r="DR46">
            <v>0</v>
          </cell>
          <cell r="DS46">
            <v>0</v>
          </cell>
          <cell r="DT46">
            <v>81</v>
          </cell>
          <cell r="DU46" t="str">
            <v>NILL</v>
          </cell>
          <cell r="DV46">
            <v>0</v>
          </cell>
          <cell r="DW46">
            <v>0</v>
          </cell>
          <cell r="DX46">
            <v>0</v>
          </cell>
          <cell r="DY46" t="str">
            <v>NILL</v>
          </cell>
          <cell r="DZ46">
            <v>0</v>
          </cell>
          <cell r="EA46">
            <v>0</v>
          </cell>
          <cell r="EB46">
            <v>86</v>
          </cell>
          <cell r="EC46" t="str">
            <v>NILL</v>
          </cell>
          <cell r="ED46">
            <v>0</v>
          </cell>
          <cell r="EE46">
            <v>0</v>
          </cell>
          <cell r="EF46">
            <v>36</v>
          </cell>
          <cell r="EG46" t="str">
            <v>NILL</v>
          </cell>
          <cell r="EH46">
            <v>0</v>
          </cell>
          <cell r="EI46">
            <v>0</v>
          </cell>
          <cell r="EJ46">
            <v>89</v>
          </cell>
          <cell r="EK46" t="str">
            <v>NILL</v>
          </cell>
          <cell r="EL46">
            <v>0</v>
          </cell>
          <cell r="EM46">
            <v>0</v>
          </cell>
          <cell r="EN46">
            <v>91</v>
          </cell>
          <cell r="EO46" t="str">
            <v>NILL</v>
          </cell>
          <cell r="EP46" t="str">
            <v/>
          </cell>
          <cell r="EQ46">
            <v>0</v>
          </cell>
          <cell r="ER46">
            <v>0</v>
          </cell>
          <cell r="ES46" t="e">
            <v>#VALUE!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 t="str">
            <v/>
          </cell>
          <cell r="G47" t="str">
            <v/>
          </cell>
          <cell r="H47" t="str">
            <v/>
          </cell>
          <cell r="I47">
            <v>0</v>
          </cell>
          <cell r="J47">
            <v>0</v>
          </cell>
          <cell r="K47" t="str">
            <v>-</v>
          </cell>
          <cell r="L47" t="str">
            <v/>
          </cell>
          <cell r="M47" t="str">
            <v/>
          </cell>
          <cell r="N47" t="str">
            <v/>
          </cell>
          <cell r="O47">
            <v>0</v>
          </cell>
          <cell r="P47">
            <v>0</v>
          </cell>
          <cell r="Q47" t="str">
            <v>-</v>
          </cell>
          <cell r="R47" t="str">
            <v/>
          </cell>
          <cell r="S47" t="str">
            <v/>
          </cell>
          <cell r="T47" t="str">
            <v/>
          </cell>
          <cell r="U47">
            <v>0</v>
          </cell>
          <cell r="V47">
            <v>0</v>
          </cell>
          <cell r="W47" t="str">
            <v>-</v>
          </cell>
          <cell r="X47" t="str">
            <v/>
          </cell>
          <cell r="Y47" t="str">
            <v/>
          </cell>
          <cell r="Z47" t="str">
            <v/>
          </cell>
          <cell r="AA47">
            <v>0</v>
          </cell>
          <cell r="AB47">
            <v>0</v>
          </cell>
          <cell r="AC47" t="str">
            <v>-</v>
          </cell>
          <cell r="AD47" t="str">
            <v/>
          </cell>
          <cell r="AE47" t="str">
            <v/>
          </cell>
          <cell r="AF47" t="str">
            <v/>
          </cell>
          <cell r="AG47">
            <v>0</v>
          </cell>
          <cell r="AH47">
            <v>0</v>
          </cell>
          <cell r="AI47" t="str">
            <v>-</v>
          </cell>
          <cell r="AJ47" t="str">
            <v/>
          </cell>
          <cell r="AK47" t="str">
            <v/>
          </cell>
          <cell r="AL47" t="str">
            <v/>
          </cell>
          <cell r="AM47">
            <v>0</v>
          </cell>
          <cell r="AN47">
            <v>0</v>
          </cell>
          <cell r="AO47" t="str">
            <v>-</v>
          </cell>
          <cell r="AP47" t="str">
            <v/>
          </cell>
          <cell r="AQ47" t="str">
            <v/>
          </cell>
          <cell r="AR47" t="str">
            <v/>
          </cell>
          <cell r="AS47">
            <v>0</v>
          </cell>
          <cell r="AT47">
            <v>0</v>
          </cell>
          <cell r="AU47" t="str">
            <v>-</v>
          </cell>
          <cell r="AV47" t="str">
            <v/>
          </cell>
          <cell r="AW47" t="str">
            <v/>
          </cell>
          <cell r="AX47" t="str">
            <v/>
          </cell>
          <cell r="AY47">
            <v>0</v>
          </cell>
          <cell r="AZ47">
            <v>0</v>
          </cell>
          <cell r="BA47" t="str">
            <v>-</v>
          </cell>
          <cell r="BB47" t="str">
            <v/>
          </cell>
          <cell r="BC47" t="str">
            <v/>
          </cell>
          <cell r="BD47" t="str">
            <v/>
          </cell>
          <cell r="BE47">
            <v>0</v>
          </cell>
          <cell r="BF47">
            <v>0</v>
          </cell>
          <cell r="BG47" t="str">
            <v>-</v>
          </cell>
          <cell r="BH47" t="str">
            <v/>
          </cell>
          <cell r="BI47" t="str">
            <v/>
          </cell>
          <cell r="BJ47" t="str">
            <v/>
          </cell>
          <cell r="BK47">
            <v>0</v>
          </cell>
          <cell r="BL47">
            <v>0</v>
          </cell>
          <cell r="BM47" t="str">
            <v>-</v>
          </cell>
          <cell r="BN47" t="str">
            <v/>
          </cell>
          <cell r="BO47" t="str">
            <v/>
          </cell>
          <cell r="BP47" t="str">
            <v/>
          </cell>
          <cell r="BQ47">
            <v>0</v>
          </cell>
          <cell r="BR47">
            <v>0</v>
          </cell>
          <cell r="BS47" t="str">
            <v>-</v>
          </cell>
          <cell r="BT47" t="str">
            <v/>
          </cell>
          <cell r="BU47" t="str">
            <v/>
          </cell>
          <cell r="BV47" t="str">
            <v/>
          </cell>
          <cell r="BW47">
            <v>0</v>
          </cell>
          <cell r="BX47">
            <v>0</v>
          </cell>
          <cell r="BY47" t="str">
            <v>-</v>
          </cell>
          <cell r="BZ47" t="str">
            <v/>
          </cell>
          <cell r="CA47" t="str">
            <v/>
          </cell>
          <cell r="CB47" t="str">
            <v/>
          </cell>
          <cell r="CC47">
            <v>0</v>
          </cell>
          <cell r="CD47">
            <v>0</v>
          </cell>
          <cell r="CE47" t="str">
            <v>-</v>
          </cell>
          <cell r="CF47" t="str">
            <v/>
          </cell>
          <cell r="CG47" t="str">
            <v/>
          </cell>
          <cell r="CH47" t="str">
            <v/>
          </cell>
          <cell r="CI47" t="str">
            <v/>
          </cell>
          <cell r="CJ47" t="str">
            <v/>
          </cell>
          <cell r="CK47" t="str">
            <v/>
          </cell>
          <cell r="CL47">
            <v>0</v>
          </cell>
          <cell r="CM47">
            <v>0</v>
          </cell>
          <cell r="CN47">
            <v>0</v>
          </cell>
          <cell r="CO47" t="str">
            <v>N.R</v>
          </cell>
          <cell r="CP47">
            <v>0</v>
          </cell>
          <cell r="CQ47">
            <v>41</v>
          </cell>
          <cell r="CR47">
            <v>87</v>
          </cell>
          <cell r="CS47" t="str">
            <v>NILL</v>
          </cell>
          <cell r="CT47">
            <v>0</v>
          </cell>
          <cell r="CU47">
            <v>35</v>
          </cell>
          <cell r="CV47">
            <v>74</v>
          </cell>
          <cell r="CW47" t="str">
            <v>NILL</v>
          </cell>
          <cell r="CX47">
            <v>0</v>
          </cell>
          <cell r="CY47">
            <v>59</v>
          </cell>
          <cell r="CZ47">
            <v>97</v>
          </cell>
          <cell r="DA47" t="str">
            <v>NILL</v>
          </cell>
          <cell r="DB47">
            <v>0</v>
          </cell>
          <cell r="DC47">
            <v>0</v>
          </cell>
          <cell r="DD47">
            <v>0</v>
          </cell>
          <cell r="DE47" t="str">
            <v>NILL</v>
          </cell>
          <cell r="DF47">
            <v>0</v>
          </cell>
          <cell r="DG47">
            <v>33</v>
          </cell>
          <cell r="DH47">
            <v>87</v>
          </cell>
          <cell r="DI47" t="str">
            <v>NILL</v>
          </cell>
          <cell r="DJ47">
            <v>0</v>
          </cell>
          <cell r="DK47">
            <v>29</v>
          </cell>
          <cell r="DL47">
            <v>88</v>
          </cell>
          <cell r="DM47" t="str">
            <v>NILL</v>
          </cell>
          <cell r="DN47">
            <v>0</v>
          </cell>
          <cell r="DO47">
            <v>35</v>
          </cell>
          <cell r="DP47">
            <v>92</v>
          </cell>
          <cell r="DQ47" t="str">
            <v>NILL</v>
          </cell>
          <cell r="DR47">
            <v>0</v>
          </cell>
          <cell r="DS47">
            <v>0</v>
          </cell>
          <cell r="DT47">
            <v>81</v>
          </cell>
          <cell r="DU47" t="str">
            <v>NILL</v>
          </cell>
          <cell r="DV47">
            <v>0</v>
          </cell>
          <cell r="DW47">
            <v>0</v>
          </cell>
          <cell r="DX47">
            <v>0</v>
          </cell>
          <cell r="DY47" t="str">
            <v>NILL</v>
          </cell>
          <cell r="DZ47">
            <v>0</v>
          </cell>
          <cell r="EA47">
            <v>0</v>
          </cell>
          <cell r="EB47">
            <v>86</v>
          </cell>
          <cell r="EC47" t="str">
            <v>NILL</v>
          </cell>
          <cell r="ED47">
            <v>0</v>
          </cell>
          <cell r="EE47">
            <v>0</v>
          </cell>
          <cell r="EF47">
            <v>37</v>
          </cell>
          <cell r="EG47" t="str">
            <v>NILL</v>
          </cell>
          <cell r="EH47">
            <v>0</v>
          </cell>
          <cell r="EI47">
            <v>0</v>
          </cell>
          <cell r="EJ47">
            <v>89</v>
          </cell>
          <cell r="EK47" t="str">
            <v>NILL</v>
          </cell>
          <cell r="EL47">
            <v>0</v>
          </cell>
          <cell r="EM47">
            <v>0</v>
          </cell>
          <cell r="EN47">
            <v>91</v>
          </cell>
          <cell r="EO47" t="str">
            <v>NILL</v>
          </cell>
          <cell r="EP47" t="str">
            <v/>
          </cell>
          <cell r="EQ47">
            <v>0</v>
          </cell>
          <cell r="ER47">
            <v>0</v>
          </cell>
          <cell r="ES47" t="e">
            <v>#VALUE!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 t="str">
            <v/>
          </cell>
          <cell r="G48" t="str">
            <v/>
          </cell>
          <cell r="H48" t="str">
            <v/>
          </cell>
          <cell r="I48">
            <v>0</v>
          </cell>
          <cell r="J48">
            <v>0</v>
          </cell>
          <cell r="K48" t="str">
            <v>-</v>
          </cell>
          <cell r="L48" t="str">
            <v/>
          </cell>
          <cell r="M48" t="str">
            <v/>
          </cell>
          <cell r="N48" t="str">
            <v/>
          </cell>
          <cell r="O48">
            <v>0</v>
          </cell>
          <cell r="P48">
            <v>0</v>
          </cell>
          <cell r="Q48" t="str">
            <v>-</v>
          </cell>
          <cell r="R48" t="str">
            <v/>
          </cell>
          <cell r="S48" t="str">
            <v/>
          </cell>
          <cell r="T48" t="str">
            <v/>
          </cell>
          <cell r="U48">
            <v>0</v>
          </cell>
          <cell r="V48">
            <v>0</v>
          </cell>
          <cell r="W48" t="str">
            <v>-</v>
          </cell>
          <cell r="X48" t="str">
            <v/>
          </cell>
          <cell r="Y48" t="str">
            <v/>
          </cell>
          <cell r="Z48" t="str">
            <v/>
          </cell>
          <cell r="AA48">
            <v>0</v>
          </cell>
          <cell r="AB48">
            <v>0</v>
          </cell>
          <cell r="AC48" t="str">
            <v>-</v>
          </cell>
          <cell r="AD48" t="str">
            <v/>
          </cell>
          <cell r="AE48" t="str">
            <v/>
          </cell>
          <cell r="AF48" t="str">
            <v/>
          </cell>
          <cell r="AG48">
            <v>0</v>
          </cell>
          <cell r="AH48">
            <v>0</v>
          </cell>
          <cell r="AI48" t="str">
            <v>-</v>
          </cell>
          <cell r="AJ48" t="str">
            <v/>
          </cell>
          <cell r="AK48" t="str">
            <v/>
          </cell>
          <cell r="AL48" t="str">
            <v/>
          </cell>
          <cell r="AM48">
            <v>0</v>
          </cell>
          <cell r="AN48">
            <v>0</v>
          </cell>
          <cell r="AO48" t="str">
            <v>-</v>
          </cell>
          <cell r="AP48" t="str">
            <v/>
          </cell>
          <cell r="AQ48" t="str">
            <v/>
          </cell>
          <cell r="AR48" t="str">
            <v/>
          </cell>
          <cell r="AS48">
            <v>0</v>
          </cell>
          <cell r="AT48">
            <v>0</v>
          </cell>
          <cell r="AU48" t="str">
            <v>-</v>
          </cell>
          <cell r="AV48" t="str">
            <v/>
          </cell>
          <cell r="AW48" t="str">
            <v/>
          </cell>
          <cell r="AX48" t="str">
            <v/>
          </cell>
          <cell r="AY48">
            <v>0</v>
          </cell>
          <cell r="AZ48">
            <v>0</v>
          </cell>
          <cell r="BA48" t="str">
            <v>-</v>
          </cell>
          <cell r="BB48" t="str">
            <v/>
          </cell>
          <cell r="BC48" t="str">
            <v/>
          </cell>
          <cell r="BD48" t="str">
            <v/>
          </cell>
          <cell r="BE48">
            <v>0</v>
          </cell>
          <cell r="BF48">
            <v>0</v>
          </cell>
          <cell r="BG48" t="str">
            <v>-</v>
          </cell>
          <cell r="BH48" t="str">
            <v/>
          </cell>
          <cell r="BI48" t="str">
            <v/>
          </cell>
          <cell r="BJ48" t="str">
            <v/>
          </cell>
          <cell r="BK48">
            <v>0</v>
          </cell>
          <cell r="BL48">
            <v>0</v>
          </cell>
          <cell r="BM48" t="str">
            <v>-</v>
          </cell>
          <cell r="BN48" t="str">
            <v/>
          </cell>
          <cell r="BO48" t="str">
            <v/>
          </cell>
          <cell r="BP48" t="str">
            <v/>
          </cell>
          <cell r="BQ48">
            <v>0</v>
          </cell>
          <cell r="BR48">
            <v>0</v>
          </cell>
          <cell r="BS48" t="str">
            <v>-</v>
          </cell>
          <cell r="BT48" t="str">
            <v/>
          </cell>
          <cell r="BU48" t="str">
            <v/>
          </cell>
          <cell r="BV48" t="str">
            <v/>
          </cell>
          <cell r="BW48">
            <v>0</v>
          </cell>
          <cell r="BX48">
            <v>0</v>
          </cell>
          <cell r="BY48" t="str">
            <v>-</v>
          </cell>
          <cell r="BZ48" t="str">
            <v/>
          </cell>
          <cell r="CA48" t="str">
            <v/>
          </cell>
          <cell r="CB48" t="str">
            <v/>
          </cell>
          <cell r="CC48">
            <v>0</v>
          </cell>
          <cell r="CD48">
            <v>0</v>
          </cell>
          <cell r="CE48" t="str">
            <v>-</v>
          </cell>
          <cell r="CF48" t="str">
            <v/>
          </cell>
          <cell r="CG48" t="str">
            <v/>
          </cell>
          <cell r="CH48" t="str">
            <v/>
          </cell>
          <cell r="CI48" t="str">
            <v/>
          </cell>
          <cell r="CJ48" t="str">
            <v/>
          </cell>
          <cell r="CK48" t="str">
            <v/>
          </cell>
          <cell r="CL48">
            <v>0</v>
          </cell>
          <cell r="CM48">
            <v>0</v>
          </cell>
          <cell r="CN48">
            <v>0</v>
          </cell>
          <cell r="CO48" t="str">
            <v>N.R</v>
          </cell>
          <cell r="CP48">
            <v>0</v>
          </cell>
          <cell r="CQ48">
            <v>41</v>
          </cell>
          <cell r="CR48">
            <v>87</v>
          </cell>
          <cell r="CS48" t="str">
            <v>NILL</v>
          </cell>
          <cell r="CT48">
            <v>0</v>
          </cell>
          <cell r="CU48">
            <v>35</v>
          </cell>
          <cell r="CV48">
            <v>74</v>
          </cell>
          <cell r="CW48" t="str">
            <v>NILL</v>
          </cell>
          <cell r="CX48">
            <v>0</v>
          </cell>
          <cell r="CY48">
            <v>59</v>
          </cell>
          <cell r="CZ48">
            <v>97</v>
          </cell>
          <cell r="DA48" t="str">
            <v>NILL</v>
          </cell>
          <cell r="DB48">
            <v>0</v>
          </cell>
          <cell r="DC48">
            <v>0</v>
          </cell>
          <cell r="DD48">
            <v>0</v>
          </cell>
          <cell r="DE48" t="str">
            <v>NILL</v>
          </cell>
          <cell r="DF48">
            <v>0</v>
          </cell>
          <cell r="DG48">
            <v>33</v>
          </cell>
          <cell r="DH48">
            <v>87</v>
          </cell>
          <cell r="DI48" t="str">
            <v>NILL</v>
          </cell>
          <cell r="DJ48">
            <v>0</v>
          </cell>
          <cell r="DK48">
            <v>29</v>
          </cell>
          <cell r="DL48">
            <v>88</v>
          </cell>
          <cell r="DM48" t="str">
            <v>NILL</v>
          </cell>
          <cell r="DN48">
            <v>0</v>
          </cell>
          <cell r="DO48">
            <v>35</v>
          </cell>
          <cell r="DP48">
            <v>92</v>
          </cell>
          <cell r="DQ48" t="str">
            <v>NILL</v>
          </cell>
          <cell r="DR48">
            <v>0</v>
          </cell>
          <cell r="DS48">
            <v>0</v>
          </cell>
          <cell r="DT48">
            <v>81</v>
          </cell>
          <cell r="DU48" t="str">
            <v>NILL</v>
          </cell>
          <cell r="DV48">
            <v>0</v>
          </cell>
          <cell r="DW48">
            <v>0</v>
          </cell>
          <cell r="DX48">
            <v>0</v>
          </cell>
          <cell r="DY48" t="str">
            <v>NILL</v>
          </cell>
          <cell r="DZ48">
            <v>0</v>
          </cell>
          <cell r="EA48">
            <v>0</v>
          </cell>
          <cell r="EB48">
            <v>86</v>
          </cell>
          <cell r="EC48" t="str">
            <v>NILL</v>
          </cell>
          <cell r="ED48">
            <v>0</v>
          </cell>
          <cell r="EE48">
            <v>0</v>
          </cell>
          <cell r="EF48">
            <v>38</v>
          </cell>
          <cell r="EG48" t="str">
            <v>NILL</v>
          </cell>
          <cell r="EH48">
            <v>0</v>
          </cell>
          <cell r="EI48">
            <v>0</v>
          </cell>
          <cell r="EJ48">
            <v>89</v>
          </cell>
          <cell r="EK48" t="str">
            <v>NILL</v>
          </cell>
          <cell r="EL48">
            <v>0</v>
          </cell>
          <cell r="EM48">
            <v>0</v>
          </cell>
          <cell r="EN48">
            <v>91</v>
          </cell>
          <cell r="EO48" t="str">
            <v>NILL</v>
          </cell>
          <cell r="EP48" t="str">
            <v/>
          </cell>
          <cell r="EQ48">
            <v>0</v>
          </cell>
          <cell r="ER48">
            <v>0</v>
          </cell>
          <cell r="ES48" t="e">
            <v>#VALUE!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 t="str">
            <v/>
          </cell>
          <cell r="G49" t="str">
            <v/>
          </cell>
          <cell r="H49" t="str">
            <v/>
          </cell>
          <cell r="I49">
            <v>0</v>
          </cell>
          <cell r="J49">
            <v>0</v>
          </cell>
          <cell r="K49" t="str">
            <v>-</v>
          </cell>
          <cell r="L49" t="str">
            <v/>
          </cell>
          <cell r="M49" t="str">
            <v/>
          </cell>
          <cell r="N49" t="str">
            <v/>
          </cell>
          <cell r="O49">
            <v>0</v>
          </cell>
          <cell r="P49">
            <v>0</v>
          </cell>
          <cell r="Q49" t="str">
            <v>-</v>
          </cell>
          <cell r="R49" t="str">
            <v/>
          </cell>
          <cell r="S49" t="str">
            <v/>
          </cell>
          <cell r="T49" t="str">
            <v/>
          </cell>
          <cell r="U49">
            <v>0</v>
          </cell>
          <cell r="V49">
            <v>0</v>
          </cell>
          <cell r="W49" t="str">
            <v>-</v>
          </cell>
          <cell r="X49" t="str">
            <v/>
          </cell>
          <cell r="Y49" t="str">
            <v/>
          </cell>
          <cell r="Z49" t="str">
            <v/>
          </cell>
          <cell r="AA49">
            <v>0</v>
          </cell>
          <cell r="AB49">
            <v>0</v>
          </cell>
          <cell r="AC49" t="str">
            <v>-</v>
          </cell>
          <cell r="AD49" t="str">
            <v/>
          </cell>
          <cell r="AE49" t="str">
            <v/>
          </cell>
          <cell r="AF49" t="str">
            <v/>
          </cell>
          <cell r="AG49">
            <v>0</v>
          </cell>
          <cell r="AH49">
            <v>0</v>
          </cell>
          <cell r="AI49" t="str">
            <v>-</v>
          </cell>
          <cell r="AJ49" t="str">
            <v/>
          </cell>
          <cell r="AK49" t="str">
            <v/>
          </cell>
          <cell r="AL49" t="str">
            <v/>
          </cell>
          <cell r="AM49">
            <v>0</v>
          </cell>
          <cell r="AN49">
            <v>0</v>
          </cell>
          <cell r="AO49" t="str">
            <v>-</v>
          </cell>
          <cell r="AP49" t="str">
            <v/>
          </cell>
          <cell r="AQ49" t="str">
            <v/>
          </cell>
          <cell r="AR49" t="str">
            <v/>
          </cell>
          <cell r="AS49">
            <v>0</v>
          </cell>
          <cell r="AT49">
            <v>0</v>
          </cell>
          <cell r="AU49" t="str">
            <v>-</v>
          </cell>
          <cell r="AV49" t="str">
            <v/>
          </cell>
          <cell r="AW49" t="str">
            <v/>
          </cell>
          <cell r="AX49" t="str">
            <v/>
          </cell>
          <cell r="AY49">
            <v>0</v>
          </cell>
          <cell r="AZ49">
            <v>0</v>
          </cell>
          <cell r="BA49" t="str">
            <v>-</v>
          </cell>
          <cell r="BB49" t="str">
            <v/>
          </cell>
          <cell r="BC49" t="str">
            <v/>
          </cell>
          <cell r="BD49" t="str">
            <v/>
          </cell>
          <cell r="BE49">
            <v>0</v>
          </cell>
          <cell r="BF49">
            <v>0</v>
          </cell>
          <cell r="BG49" t="str">
            <v>-</v>
          </cell>
          <cell r="BH49" t="str">
            <v/>
          </cell>
          <cell r="BI49" t="str">
            <v/>
          </cell>
          <cell r="BJ49" t="str">
            <v/>
          </cell>
          <cell r="BK49">
            <v>0</v>
          </cell>
          <cell r="BL49">
            <v>0</v>
          </cell>
          <cell r="BM49" t="str">
            <v>-</v>
          </cell>
          <cell r="BN49" t="str">
            <v/>
          </cell>
          <cell r="BO49" t="str">
            <v/>
          </cell>
          <cell r="BP49" t="str">
            <v/>
          </cell>
          <cell r="BQ49">
            <v>0</v>
          </cell>
          <cell r="BR49">
            <v>0</v>
          </cell>
          <cell r="BS49" t="str">
            <v>-</v>
          </cell>
          <cell r="BT49" t="str">
            <v/>
          </cell>
          <cell r="BU49" t="str">
            <v/>
          </cell>
          <cell r="BV49" t="str">
            <v/>
          </cell>
          <cell r="BW49">
            <v>0</v>
          </cell>
          <cell r="BX49">
            <v>0</v>
          </cell>
          <cell r="BY49" t="str">
            <v>-</v>
          </cell>
          <cell r="BZ49" t="str">
            <v/>
          </cell>
          <cell r="CA49" t="str">
            <v/>
          </cell>
          <cell r="CB49" t="str">
            <v/>
          </cell>
          <cell r="CC49">
            <v>0</v>
          </cell>
          <cell r="CD49">
            <v>0</v>
          </cell>
          <cell r="CE49" t="str">
            <v>-</v>
          </cell>
          <cell r="CF49" t="str">
            <v/>
          </cell>
          <cell r="CG49" t="str">
            <v/>
          </cell>
          <cell r="CH49" t="str">
            <v/>
          </cell>
          <cell r="CI49" t="str">
            <v/>
          </cell>
          <cell r="CJ49" t="str">
            <v/>
          </cell>
          <cell r="CK49" t="str">
            <v/>
          </cell>
          <cell r="CL49">
            <v>0</v>
          </cell>
          <cell r="CM49">
            <v>0</v>
          </cell>
          <cell r="CN49">
            <v>0</v>
          </cell>
          <cell r="CO49" t="str">
            <v>N.R</v>
          </cell>
          <cell r="CP49">
            <v>0</v>
          </cell>
          <cell r="CQ49">
            <v>41</v>
          </cell>
          <cell r="CR49">
            <v>87</v>
          </cell>
          <cell r="CS49" t="str">
            <v>NILL</v>
          </cell>
          <cell r="CT49">
            <v>0</v>
          </cell>
          <cell r="CU49">
            <v>35</v>
          </cell>
          <cell r="CV49">
            <v>74</v>
          </cell>
          <cell r="CW49" t="str">
            <v>NILL</v>
          </cell>
          <cell r="CX49">
            <v>0</v>
          </cell>
          <cell r="CY49">
            <v>59</v>
          </cell>
          <cell r="CZ49">
            <v>97</v>
          </cell>
          <cell r="DA49" t="str">
            <v>NILL</v>
          </cell>
          <cell r="DB49">
            <v>0</v>
          </cell>
          <cell r="DC49">
            <v>0</v>
          </cell>
          <cell r="DD49">
            <v>0</v>
          </cell>
          <cell r="DE49" t="str">
            <v>NILL</v>
          </cell>
          <cell r="DF49">
            <v>0</v>
          </cell>
          <cell r="DG49">
            <v>33</v>
          </cell>
          <cell r="DH49">
            <v>87</v>
          </cell>
          <cell r="DI49" t="str">
            <v>NILL</v>
          </cell>
          <cell r="DJ49">
            <v>0</v>
          </cell>
          <cell r="DK49">
            <v>29</v>
          </cell>
          <cell r="DL49">
            <v>88</v>
          </cell>
          <cell r="DM49" t="str">
            <v>NILL</v>
          </cell>
          <cell r="DN49">
            <v>0</v>
          </cell>
          <cell r="DO49">
            <v>35</v>
          </cell>
          <cell r="DP49">
            <v>92</v>
          </cell>
          <cell r="DQ49" t="str">
            <v>NILL</v>
          </cell>
          <cell r="DR49">
            <v>0</v>
          </cell>
          <cell r="DS49">
            <v>0</v>
          </cell>
          <cell r="DT49">
            <v>81</v>
          </cell>
          <cell r="DU49" t="str">
            <v>NILL</v>
          </cell>
          <cell r="DV49">
            <v>0</v>
          </cell>
          <cell r="DW49">
            <v>0</v>
          </cell>
          <cell r="DX49">
            <v>0</v>
          </cell>
          <cell r="DY49" t="str">
            <v>NILL</v>
          </cell>
          <cell r="DZ49">
            <v>0</v>
          </cell>
          <cell r="EA49">
            <v>0</v>
          </cell>
          <cell r="EB49">
            <v>86</v>
          </cell>
          <cell r="EC49" t="str">
            <v>NILL</v>
          </cell>
          <cell r="ED49">
            <v>0</v>
          </cell>
          <cell r="EE49">
            <v>0</v>
          </cell>
          <cell r="EF49">
            <v>39</v>
          </cell>
          <cell r="EG49" t="str">
            <v>NILL</v>
          </cell>
          <cell r="EH49">
            <v>0</v>
          </cell>
          <cell r="EI49">
            <v>0</v>
          </cell>
          <cell r="EJ49">
            <v>89</v>
          </cell>
          <cell r="EK49" t="str">
            <v>NILL</v>
          </cell>
          <cell r="EL49">
            <v>0</v>
          </cell>
          <cell r="EM49">
            <v>0</v>
          </cell>
          <cell r="EN49">
            <v>91</v>
          </cell>
          <cell r="EO49" t="str">
            <v>NILL</v>
          </cell>
          <cell r="EP49" t="str">
            <v/>
          </cell>
          <cell r="EQ49">
            <v>0</v>
          </cell>
          <cell r="ER49">
            <v>0</v>
          </cell>
          <cell r="ES49" t="e">
            <v>#VALUE!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 t="str">
            <v/>
          </cell>
          <cell r="G50" t="str">
            <v/>
          </cell>
          <cell r="H50" t="str">
            <v/>
          </cell>
          <cell r="I50">
            <v>0</v>
          </cell>
          <cell r="J50">
            <v>0</v>
          </cell>
          <cell r="K50" t="str">
            <v>-</v>
          </cell>
          <cell r="L50" t="str">
            <v/>
          </cell>
          <cell r="M50" t="str">
            <v/>
          </cell>
          <cell r="N50" t="str">
            <v/>
          </cell>
          <cell r="O50">
            <v>0</v>
          </cell>
          <cell r="P50">
            <v>0</v>
          </cell>
          <cell r="Q50" t="str">
            <v>-</v>
          </cell>
          <cell r="R50" t="str">
            <v/>
          </cell>
          <cell r="S50" t="str">
            <v/>
          </cell>
          <cell r="T50" t="str">
            <v/>
          </cell>
          <cell r="U50">
            <v>0</v>
          </cell>
          <cell r="V50">
            <v>0</v>
          </cell>
          <cell r="W50" t="str">
            <v>-</v>
          </cell>
          <cell r="X50" t="str">
            <v/>
          </cell>
          <cell r="Y50" t="str">
            <v/>
          </cell>
          <cell r="Z50" t="str">
            <v/>
          </cell>
          <cell r="AA50">
            <v>0</v>
          </cell>
          <cell r="AB50">
            <v>0</v>
          </cell>
          <cell r="AC50" t="str">
            <v>-</v>
          </cell>
          <cell r="AD50" t="str">
            <v/>
          </cell>
          <cell r="AE50" t="str">
            <v/>
          </cell>
          <cell r="AF50" t="str">
            <v/>
          </cell>
          <cell r="AG50">
            <v>0</v>
          </cell>
          <cell r="AH50">
            <v>0</v>
          </cell>
          <cell r="AI50" t="str">
            <v>-</v>
          </cell>
          <cell r="AJ50" t="str">
            <v/>
          </cell>
          <cell r="AK50" t="str">
            <v/>
          </cell>
          <cell r="AL50" t="str">
            <v/>
          </cell>
          <cell r="AM50">
            <v>0</v>
          </cell>
          <cell r="AN50">
            <v>0</v>
          </cell>
          <cell r="AO50" t="str">
            <v>-</v>
          </cell>
          <cell r="AP50" t="str">
            <v/>
          </cell>
          <cell r="AQ50" t="str">
            <v/>
          </cell>
          <cell r="AR50" t="str">
            <v/>
          </cell>
          <cell r="AS50">
            <v>0</v>
          </cell>
          <cell r="AT50">
            <v>0</v>
          </cell>
          <cell r="AU50" t="str">
            <v>-</v>
          </cell>
          <cell r="AV50" t="str">
            <v/>
          </cell>
          <cell r="AW50" t="str">
            <v/>
          </cell>
          <cell r="AX50" t="str">
            <v/>
          </cell>
          <cell r="AY50">
            <v>0</v>
          </cell>
          <cell r="AZ50">
            <v>0</v>
          </cell>
          <cell r="BA50" t="str">
            <v>-</v>
          </cell>
          <cell r="BB50" t="str">
            <v/>
          </cell>
          <cell r="BC50" t="str">
            <v/>
          </cell>
          <cell r="BD50" t="str">
            <v/>
          </cell>
          <cell r="BE50">
            <v>0</v>
          </cell>
          <cell r="BF50">
            <v>0</v>
          </cell>
          <cell r="BG50" t="str">
            <v>-</v>
          </cell>
          <cell r="BH50" t="str">
            <v/>
          </cell>
          <cell r="BI50" t="str">
            <v/>
          </cell>
          <cell r="BJ50" t="str">
            <v/>
          </cell>
          <cell r="BK50">
            <v>0</v>
          </cell>
          <cell r="BL50">
            <v>0</v>
          </cell>
          <cell r="BM50" t="str">
            <v>-</v>
          </cell>
          <cell r="BN50" t="str">
            <v/>
          </cell>
          <cell r="BO50" t="str">
            <v/>
          </cell>
          <cell r="BP50" t="str">
            <v/>
          </cell>
          <cell r="BQ50">
            <v>0</v>
          </cell>
          <cell r="BR50">
            <v>0</v>
          </cell>
          <cell r="BS50" t="str">
            <v>-</v>
          </cell>
          <cell r="BT50" t="str">
            <v/>
          </cell>
          <cell r="BU50" t="str">
            <v/>
          </cell>
          <cell r="BV50" t="str">
            <v/>
          </cell>
          <cell r="BW50">
            <v>0</v>
          </cell>
          <cell r="BX50">
            <v>0</v>
          </cell>
          <cell r="BY50" t="str">
            <v>-</v>
          </cell>
          <cell r="BZ50" t="str">
            <v/>
          </cell>
          <cell r="CA50" t="str">
            <v/>
          </cell>
          <cell r="CB50" t="str">
            <v/>
          </cell>
          <cell r="CC50">
            <v>0</v>
          </cell>
          <cell r="CD50">
            <v>0</v>
          </cell>
          <cell r="CE50" t="str">
            <v>-</v>
          </cell>
          <cell r="CF50" t="str">
            <v/>
          </cell>
          <cell r="CG50" t="str">
            <v/>
          </cell>
          <cell r="CH50" t="str">
            <v/>
          </cell>
          <cell r="CI50" t="str">
            <v/>
          </cell>
          <cell r="CJ50" t="str">
            <v/>
          </cell>
          <cell r="CK50" t="str">
            <v/>
          </cell>
          <cell r="CL50">
            <v>0</v>
          </cell>
          <cell r="CM50">
            <v>0</v>
          </cell>
          <cell r="CN50">
            <v>0</v>
          </cell>
          <cell r="CO50" t="str">
            <v>N.R</v>
          </cell>
          <cell r="CP50">
            <v>0</v>
          </cell>
          <cell r="CQ50">
            <v>41</v>
          </cell>
          <cell r="CR50">
            <v>87</v>
          </cell>
          <cell r="CS50" t="str">
            <v>NILL</v>
          </cell>
          <cell r="CT50">
            <v>0</v>
          </cell>
          <cell r="CU50">
            <v>35</v>
          </cell>
          <cell r="CV50">
            <v>74</v>
          </cell>
          <cell r="CW50" t="str">
            <v>NILL</v>
          </cell>
          <cell r="CX50">
            <v>0</v>
          </cell>
          <cell r="CY50">
            <v>59</v>
          </cell>
          <cell r="CZ50">
            <v>97</v>
          </cell>
          <cell r="DA50" t="str">
            <v>NILL</v>
          </cell>
          <cell r="DB50">
            <v>0</v>
          </cell>
          <cell r="DC50">
            <v>0</v>
          </cell>
          <cell r="DD50">
            <v>0</v>
          </cell>
          <cell r="DE50" t="str">
            <v>NILL</v>
          </cell>
          <cell r="DF50">
            <v>0</v>
          </cell>
          <cell r="DG50">
            <v>33</v>
          </cell>
          <cell r="DH50">
            <v>87</v>
          </cell>
          <cell r="DI50" t="str">
            <v>NILL</v>
          </cell>
          <cell r="DJ50">
            <v>0</v>
          </cell>
          <cell r="DK50">
            <v>29</v>
          </cell>
          <cell r="DL50">
            <v>88</v>
          </cell>
          <cell r="DM50" t="str">
            <v>NILL</v>
          </cell>
          <cell r="DN50">
            <v>0</v>
          </cell>
          <cell r="DO50">
            <v>35</v>
          </cell>
          <cell r="DP50">
            <v>92</v>
          </cell>
          <cell r="DQ50" t="str">
            <v>NILL</v>
          </cell>
          <cell r="DR50">
            <v>0</v>
          </cell>
          <cell r="DS50">
            <v>0</v>
          </cell>
          <cell r="DT50">
            <v>81</v>
          </cell>
          <cell r="DU50" t="str">
            <v>NILL</v>
          </cell>
          <cell r="DV50">
            <v>0</v>
          </cell>
          <cell r="DW50">
            <v>0</v>
          </cell>
          <cell r="DX50">
            <v>0</v>
          </cell>
          <cell r="DY50" t="str">
            <v>NILL</v>
          </cell>
          <cell r="DZ50">
            <v>0</v>
          </cell>
          <cell r="EA50">
            <v>0</v>
          </cell>
          <cell r="EB50">
            <v>86</v>
          </cell>
          <cell r="EC50" t="str">
            <v>NILL</v>
          </cell>
          <cell r="ED50">
            <v>0</v>
          </cell>
          <cell r="EE50">
            <v>0</v>
          </cell>
          <cell r="EF50">
            <v>40</v>
          </cell>
          <cell r="EG50" t="str">
            <v>NILL</v>
          </cell>
          <cell r="EH50">
            <v>0</v>
          </cell>
          <cell r="EI50">
            <v>0</v>
          </cell>
          <cell r="EJ50">
            <v>89</v>
          </cell>
          <cell r="EK50" t="str">
            <v>NILL</v>
          </cell>
          <cell r="EL50">
            <v>0</v>
          </cell>
          <cell r="EM50">
            <v>0</v>
          </cell>
          <cell r="EN50">
            <v>91</v>
          </cell>
          <cell r="EO50" t="str">
            <v>NILL</v>
          </cell>
          <cell r="EP50" t="str">
            <v/>
          </cell>
          <cell r="EQ50">
            <v>0</v>
          </cell>
          <cell r="ER50">
            <v>0</v>
          </cell>
          <cell r="ES50" t="e">
            <v>#VALUE!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 t="str">
            <v/>
          </cell>
          <cell r="G51" t="str">
            <v/>
          </cell>
          <cell r="H51" t="str">
            <v/>
          </cell>
          <cell r="I51">
            <v>0</v>
          </cell>
          <cell r="J51">
            <v>0</v>
          </cell>
          <cell r="K51" t="str">
            <v>-</v>
          </cell>
          <cell r="L51" t="str">
            <v/>
          </cell>
          <cell r="M51" t="str">
            <v/>
          </cell>
          <cell r="N51" t="str">
            <v/>
          </cell>
          <cell r="O51">
            <v>0</v>
          </cell>
          <cell r="P51">
            <v>0</v>
          </cell>
          <cell r="Q51" t="str">
            <v>-</v>
          </cell>
          <cell r="R51" t="str">
            <v/>
          </cell>
          <cell r="S51" t="str">
            <v/>
          </cell>
          <cell r="T51" t="str">
            <v/>
          </cell>
          <cell r="U51">
            <v>0</v>
          </cell>
          <cell r="V51">
            <v>0</v>
          </cell>
          <cell r="W51" t="str">
            <v>-</v>
          </cell>
          <cell r="X51" t="str">
            <v/>
          </cell>
          <cell r="Y51" t="str">
            <v/>
          </cell>
          <cell r="Z51" t="str">
            <v/>
          </cell>
          <cell r="AA51">
            <v>0</v>
          </cell>
          <cell r="AB51">
            <v>0</v>
          </cell>
          <cell r="AC51" t="str">
            <v>-</v>
          </cell>
          <cell r="AD51" t="str">
            <v/>
          </cell>
          <cell r="AE51" t="str">
            <v/>
          </cell>
          <cell r="AF51" t="str">
            <v/>
          </cell>
          <cell r="AG51">
            <v>0</v>
          </cell>
          <cell r="AH51">
            <v>0</v>
          </cell>
          <cell r="AI51" t="str">
            <v>-</v>
          </cell>
          <cell r="AJ51" t="str">
            <v/>
          </cell>
          <cell r="AK51" t="str">
            <v/>
          </cell>
          <cell r="AL51" t="str">
            <v/>
          </cell>
          <cell r="AM51">
            <v>0</v>
          </cell>
          <cell r="AN51">
            <v>0</v>
          </cell>
          <cell r="AO51" t="str">
            <v>-</v>
          </cell>
          <cell r="AP51" t="str">
            <v/>
          </cell>
          <cell r="AQ51" t="str">
            <v/>
          </cell>
          <cell r="AR51" t="str">
            <v/>
          </cell>
          <cell r="AS51">
            <v>0</v>
          </cell>
          <cell r="AT51">
            <v>0</v>
          </cell>
          <cell r="AU51" t="str">
            <v>-</v>
          </cell>
          <cell r="AV51" t="str">
            <v/>
          </cell>
          <cell r="AW51" t="str">
            <v/>
          </cell>
          <cell r="AX51" t="str">
            <v/>
          </cell>
          <cell r="AY51">
            <v>0</v>
          </cell>
          <cell r="AZ51">
            <v>0</v>
          </cell>
          <cell r="BA51" t="str">
            <v>-</v>
          </cell>
          <cell r="BB51" t="str">
            <v/>
          </cell>
          <cell r="BC51" t="str">
            <v/>
          </cell>
          <cell r="BD51" t="str">
            <v/>
          </cell>
          <cell r="BE51">
            <v>0</v>
          </cell>
          <cell r="BF51">
            <v>0</v>
          </cell>
          <cell r="BG51" t="str">
            <v>-</v>
          </cell>
          <cell r="BH51" t="str">
            <v/>
          </cell>
          <cell r="BI51" t="str">
            <v/>
          </cell>
          <cell r="BJ51" t="str">
            <v/>
          </cell>
          <cell r="BK51">
            <v>0</v>
          </cell>
          <cell r="BL51">
            <v>0</v>
          </cell>
          <cell r="BM51" t="str">
            <v>-</v>
          </cell>
          <cell r="BN51" t="str">
            <v/>
          </cell>
          <cell r="BO51" t="str">
            <v/>
          </cell>
          <cell r="BP51" t="str">
            <v/>
          </cell>
          <cell r="BQ51">
            <v>0</v>
          </cell>
          <cell r="BR51">
            <v>0</v>
          </cell>
          <cell r="BS51" t="str">
            <v>-</v>
          </cell>
          <cell r="BT51" t="str">
            <v/>
          </cell>
          <cell r="BU51" t="str">
            <v/>
          </cell>
          <cell r="BV51" t="str">
            <v/>
          </cell>
          <cell r="BW51">
            <v>0</v>
          </cell>
          <cell r="BX51">
            <v>0</v>
          </cell>
          <cell r="BY51" t="str">
            <v>-</v>
          </cell>
          <cell r="BZ51" t="str">
            <v/>
          </cell>
          <cell r="CA51" t="str">
            <v/>
          </cell>
          <cell r="CB51" t="str">
            <v/>
          </cell>
          <cell r="CC51">
            <v>0</v>
          </cell>
          <cell r="CD51">
            <v>0</v>
          </cell>
          <cell r="CE51" t="str">
            <v>-</v>
          </cell>
          <cell r="CF51" t="str">
            <v/>
          </cell>
          <cell r="CG51" t="str">
            <v/>
          </cell>
          <cell r="CH51" t="str">
            <v/>
          </cell>
          <cell r="CI51" t="str">
            <v/>
          </cell>
          <cell r="CJ51" t="str">
            <v/>
          </cell>
          <cell r="CK51" t="str">
            <v/>
          </cell>
          <cell r="CL51">
            <v>0</v>
          </cell>
          <cell r="CM51">
            <v>0</v>
          </cell>
          <cell r="CN51">
            <v>0</v>
          </cell>
          <cell r="CO51" t="str">
            <v>N.R</v>
          </cell>
          <cell r="CP51">
            <v>0</v>
          </cell>
          <cell r="CQ51">
            <v>41</v>
          </cell>
          <cell r="CR51">
            <v>87</v>
          </cell>
          <cell r="CS51" t="str">
            <v>NILL</v>
          </cell>
          <cell r="CT51">
            <v>0</v>
          </cell>
          <cell r="CU51">
            <v>35</v>
          </cell>
          <cell r="CV51">
            <v>74</v>
          </cell>
          <cell r="CW51" t="str">
            <v>NILL</v>
          </cell>
          <cell r="CX51">
            <v>0</v>
          </cell>
          <cell r="CY51">
            <v>59</v>
          </cell>
          <cell r="CZ51">
            <v>97</v>
          </cell>
          <cell r="DA51" t="str">
            <v>NILL</v>
          </cell>
          <cell r="DB51">
            <v>0</v>
          </cell>
          <cell r="DC51">
            <v>0</v>
          </cell>
          <cell r="DD51">
            <v>0</v>
          </cell>
          <cell r="DE51" t="str">
            <v>NILL</v>
          </cell>
          <cell r="DF51">
            <v>0</v>
          </cell>
          <cell r="DG51">
            <v>33</v>
          </cell>
          <cell r="DH51">
            <v>87</v>
          </cell>
          <cell r="DI51" t="str">
            <v>NILL</v>
          </cell>
          <cell r="DJ51">
            <v>0</v>
          </cell>
          <cell r="DK51">
            <v>29</v>
          </cell>
          <cell r="DL51">
            <v>88</v>
          </cell>
          <cell r="DM51" t="str">
            <v>NILL</v>
          </cell>
          <cell r="DN51">
            <v>0</v>
          </cell>
          <cell r="DO51">
            <v>35</v>
          </cell>
          <cell r="DP51">
            <v>92</v>
          </cell>
          <cell r="DQ51" t="str">
            <v>NILL</v>
          </cell>
          <cell r="DR51">
            <v>0</v>
          </cell>
          <cell r="DS51">
            <v>0</v>
          </cell>
          <cell r="DT51">
            <v>81</v>
          </cell>
          <cell r="DU51" t="str">
            <v>NILL</v>
          </cell>
          <cell r="DV51">
            <v>0</v>
          </cell>
          <cell r="DW51">
            <v>0</v>
          </cell>
          <cell r="DX51">
            <v>0</v>
          </cell>
          <cell r="DY51" t="str">
            <v>NILL</v>
          </cell>
          <cell r="DZ51">
            <v>0</v>
          </cell>
          <cell r="EA51">
            <v>0</v>
          </cell>
          <cell r="EB51">
            <v>86</v>
          </cell>
          <cell r="EC51" t="str">
            <v>NILL</v>
          </cell>
          <cell r="ED51">
            <v>0</v>
          </cell>
          <cell r="EE51">
            <v>0</v>
          </cell>
          <cell r="EF51">
            <v>41</v>
          </cell>
          <cell r="EG51" t="str">
            <v>NILL</v>
          </cell>
          <cell r="EH51">
            <v>0</v>
          </cell>
          <cell r="EI51">
            <v>0</v>
          </cell>
          <cell r="EJ51">
            <v>89</v>
          </cell>
          <cell r="EK51" t="str">
            <v>NILL</v>
          </cell>
          <cell r="EL51">
            <v>0</v>
          </cell>
          <cell r="EM51">
            <v>0</v>
          </cell>
          <cell r="EN51">
            <v>91</v>
          </cell>
          <cell r="EO51" t="str">
            <v>NILL</v>
          </cell>
          <cell r="EP51" t="str">
            <v/>
          </cell>
          <cell r="EQ51">
            <v>0</v>
          </cell>
          <cell r="ER51">
            <v>0</v>
          </cell>
          <cell r="ES51" t="e">
            <v>#VALUE!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 t="str">
            <v/>
          </cell>
          <cell r="G52" t="str">
            <v/>
          </cell>
          <cell r="H52" t="str">
            <v/>
          </cell>
          <cell r="I52">
            <v>0</v>
          </cell>
          <cell r="J52">
            <v>0</v>
          </cell>
          <cell r="K52" t="str">
            <v>-</v>
          </cell>
          <cell r="L52" t="str">
            <v/>
          </cell>
          <cell r="M52" t="str">
            <v/>
          </cell>
          <cell r="N52" t="str">
            <v/>
          </cell>
          <cell r="O52">
            <v>0</v>
          </cell>
          <cell r="P52">
            <v>0</v>
          </cell>
          <cell r="Q52" t="str">
            <v>-</v>
          </cell>
          <cell r="R52" t="str">
            <v/>
          </cell>
          <cell r="S52" t="str">
            <v/>
          </cell>
          <cell r="T52" t="str">
            <v/>
          </cell>
          <cell r="U52">
            <v>0</v>
          </cell>
          <cell r="V52">
            <v>0</v>
          </cell>
          <cell r="W52" t="str">
            <v>-</v>
          </cell>
          <cell r="X52" t="str">
            <v/>
          </cell>
          <cell r="Y52" t="str">
            <v/>
          </cell>
          <cell r="Z52" t="str">
            <v/>
          </cell>
          <cell r="AA52">
            <v>0</v>
          </cell>
          <cell r="AB52">
            <v>0</v>
          </cell>
          <cell r="AC52" t="str">
            <v>-</v>
          </cell>
          <cell r="AD52" t="str">
            <v/>
          </cell>
          <cell r="AE52" t="str">
            <v/>
          </cell>
          <cell r="AF52" t="str">
            <v/>
          </cell>
          <cell r="AG52">
            <v>0</v>
          </cell>
          <cell r="AH52">
            <v>0</v>
          </cell>
          <cell r="AI52" t="str">
            <v>-</v>
          </cell>
          <cell r="AJ52" t="str">
            <v/>
          </cell>
          <cell r="AK52" t="str">
            <v/>
          </cell>
          <cell r="AL52" t="str">
            <v/>
          </cell>
          <cell r="AM52">
            <v>0</v>
          </cell>
          <cell r="AN52">
            <v>0</v>
          </cell>
          <cell r="AO52" t="str">
            <v>-</v>
          </cell>
          <cell r="AP52" t="str">
            <v/>
          </cell>
          <cell r="AQ52" t="str">
            <v/>
          </cell>
          <cell r="AR52" t="str">
            <v/>
          </cell>
          <cell r="AS52">
            <v>0</v>
          </cell>
          <cell r="AT52">
            <v>0</v>
          </cell>
          <cell r="AU52" t="str">
            <v>-</v>
          </cell>
          <cell r="AV52" t="str">
            <v/>
          </cell>
          <cell r="AW52" t="str">
            <v/>
          </cell>
          <cell r="AX52" t="str">
            <v/>
          </cell>
          <cell r="AY52">
            <v>0</v>
          </cell>
          <cell r="AZ52">
            <v>0</v>
          </cell>
          <cell r="BA52" t="str">
            <v>-</v>
          </cell>
          <cell r="BB52" t="str">
            <v/>
          </cell>
          <cell r="BC52" t="str">
            <v/>
          </cell>
          <cell r="BD52" t="str">
            <v/>
          </cell>
          <cell r="BE52">
            <v>0</v>
          </cell>
          <cell r="BF52">
            <v>0</v>
          </cell>
          <cell r="BG52" t="str">
            <v>-</v>
          </cell>
          <cell r="BH52" t="str">
            <v/>
          </cell>
          <cell r="BI52" t="str">
            <v/>
          </cell>
          <cell r="BJ52" t="str">
            <v/>
          </cell>
          <cell r="BK52">
            <v>0</v>
          </cell>
          <cell r="BL52">
            <v>0</v>
          </cell>
          <cell r="BM52" t="str">
            <v>-</v>
          </cell>
          <cell r="BN52" t="str">
            <v/>
          </cell>
          <cell r="BO52" t="str">
            <v/>
          </cell>
          <cell r="BP52" t="str">
            <v/>
          </cell>
          <cell r="BQ52">
            <v>0</v>
          </cell>
          <cell r="BR52">
            <v>0</v>
          </cell>
          <cell r="BS52" t="str">
            <v>-</v>
          </cell>
          <cell r="BT52" t="str">
            <v/>
          </cell>
          <cell r="BU52" t="str">
            <v/>
          </cell>
          <cell r="BV52" t="str">
            <v/>
          </cell>
          <cell r="BW52">
            <v>0</v>
          </cell>
          <cell r="BX52">
            <v>0</v>
          </cell>
          <cell r="BY52" t="str">
            <v>-</v>
          </cell>
          <cell r="BZ52" t="str">
            <v/>
          </cell>
          <cell r="CA52" t="str">
            <v/>
          </cell>
          <cell r="CB52" t="str">
            <v/>
          </cell>
          <cell r="CC52">
            <v>0</v>
          </cell>
          <cell r="CD52">
            <v>0</v>
          </cell>
          <cell r="CE52" t="str">
            <v>-</v>
          </cell>
          <cell r="CF52" t="str">
            <v/>
          </cell>
          <cell r="CG52" t="str">
            <v/>
          </cell>
          <cell r="CH52" t="str">
            <v/>
          </cell>
          <cell r="CI52" t="str">
            <v/>
          </cell>
          <cell r="CJ52" t="str">
            <v/>
          </cell>
          <cell r="CK52" t="str">
            <v/>
          </cell>
          <cell r="CL52">
            <v>0</v>
          </cell>
          <cell r="CM52">
            <v>0</v>
          </cell>
          <cell r="CN52">
            <v>0</v>
          </cell>
          <cell r="CO52" t="str">
            <v>N.R</v>
          </cell>
          <cell r="CP52">
            <v>0</v>
          </cell>
          <cell r="CQ52">
            <v>41</v>
          </cell>
          <cell r="CR52">
            <v>87</v>
          </cell>
          <cell r="CS52" t="str">
            <v>NILL</v>
          </cell>
          <cell r="CT52">
            <v>0</v>
          </cell>
          <cell r="CU52">
            <v>35</v>
          </cell>
          <cell r="CV52">
            <v>74</v>
          </cell>
          <cell r="CW52" t="str">
            <v>NILL</v>
          </cell>
          <cell r="CX52">
            <v>0</v>
          </cell>
          <cell r="CY52">
            <v>59</v>
          </cell>
          <cell r="CZ52">
            <v>97</v>
          </cell>
          <cell r="DA52" t="str">
            <v>NILL</v>
          </cell>
          <cell r="DB52">
            <v>0</v>
          </cell>
          <cell r="DC52">
            <v>0</v>
          </cell>
          <cell r="DD52">
            <v>0</v>
          </cell>
          <cell r="DE52" t="str">
            <v>NILL</v>
          </cell>
          <cell r="DF52">
            <v>0</v>
          </cell>
          <cell r="DG52">
            <v>33</v>
          </cell>
          <cell r="DH52">
            <v>87</v>
          </cell>
          <cell r="DI52" t="str">
            <v>NILL</v>
          </cell>
          <cell r="DJ52">
            <v>0</v>
          </cell>
          <cell r="DK52">
            <v>29</v>
          </cell>
          <cell r="DL52">
            <v>88</v>
          </cell>
          <cell r="DM52" t="str">
            <v>NILL</v>
          </cell>
          <cell r="DN52">
            <v>0</v>
          </cell>
          <cell r="DO52">
            <v>35</v>
          </cell>
          <cell r="DP52">
            <v>92</v>
          </cell>
          <cell r="DQ52" t="str">
            <v>NILL</v>
          </cell>
          <cell r="DR52">
            <v>0</v>
          </cell>
          <cell r="DS52">
            <v>0</v>
          </cell>
          <cell r="DT52">
            <v>81</v>
          </cell>
          <cell r="DU52" t="str">
            <v>NILL</v>
          </cell>
          <cell r="DV52">
            <v>0</v>
          </cell>
          <cell r="DW52">
            <v>0</v>
          </cell>
          <cell r="DX52">
            <v>0</v>
          </cell>
          <cell r="DY52" t="str">
            <v>NILL</v>
          </cell>
          <cell r="DZ52">
            <v>0</v>
          </cell>
          <cell r="EA52">
            <v>0</v>
          </cell>
          <cell r="EB52">
            <v>86</v>
          </cell>
          <cell r="EC52" t="str">
            <v>NILL</v>
          </cell>
          <cell r="ED52">
            <v>0</v>
          </cell>
          <cell r="EE52">
            <v>0</v>
          </cell>
          <cell r="EF52">
            <v>42</v>
          </cell>
          <cell r="EG52" t="str">
            <v>NILL</v>
          </cell>
          <cell r="EH52">
            <v>0</v>
          </cell>
          <cell r="EI52">
            <v>0</v>
          </cell>
          <cell r="EJ52">
            <v>89</v>
          </cell>
          <cell r="EK52" t="str">
            <v>NILL</v>
          </cell>
          <cell r="EL52">
            <v>0</v>
          </cell>
          <cell r="EM52">
            <v>0</v>
          </cell>
          <cell r="EN52">
            <v>91</v>
          </cell>
          <cell r="EO52" t="str">
            <v>NILL</v>
          </cell>
          <cell r="EP52" t="str">
            <v/>
          </cell>
          <cell r="EQ52">
            <v>0</v>
          </cell>
          <cell r="ER52">
            <v>0</v>
          </cell>
          <cell r="ES52" t="e">
            <v>#VALUE!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 t="str">
            <v/>
          </cell>
          <cell r="G53" t="str">
            <v/>
          </cell>
          <cell r="H53" t="str">
            <v/>
          </cell>
          <cell r="I53">
            <v>0</v>
          </cell>
          <cell r="J53">
            <v>0</v>
          </cell>
          <cell r="K53" t="str">
            <v>-</v>
          </cell>
          <cell r="L53" t="str">
            <v/>
          </cell>
          <cell r="M53" t="str">
            <v/>
          </cell>
          <cell r="N53" t="str">
            <v/>
          </cell>
          <cell r="O53">
            <v>0</v>
          </cell>
          <cell r="P53">
            <v>0</v>
          </cell>
          <cell r="Q53" t="str">
            <v>-</v>
          </cell>
          <cell r="R53" t="str">
            <v/>
          </cell>
          <cell r="S53" t="str">
            <v/>
          </cell>
          <cell r="T53" t="str">
            <v/>
          </cell>
          <cell r="U53">
            <v>0</v>
          </cell>
          <cell r="V53">
            <v>0</v>
          </cell>
          <cell r="W53" t="str">
            <v>-</v>
          </cell>
          <cell r="X53" t="str">
            <v/>
          </cell>
          <cell r="Y53" t="str">
            <v/>
          </cell>
          <cell r="Z53" t="str">
            <v/>
          </cell>
          <cell r="AA53">
            <v>0</v>
          </cell>
          <cell r="AB53">
            <v>0</v>
          </cell>
          <cell r="AC53" t="str">
            <v>-</v>
          </cell>
          <cell r="AD53" t="str">
            <v/>
          </cell>
          <cell r="AE53" t="str">
            <v/>
          </cell>
          <cell r="AF53" t="str">
            <v/>
          </cell>
          <cell r="AG53">
            <v>0</v>
          </cell>
          <cell r="AH53">
            <v>0</v>
          </cell>
          <cell r="AI53" t="str">
            <v>-</v>
          </cell>
          <cell r="AJ53" t="str">
            <v/>
          </cell>
          <cell r="AK53" t="str">
            <v/>
          </cell>
          <cell r="AL53" t="str">
            <v/>
          </cell>
          <cell r="AM53">
            <v>0</v>
          </cell>
          <cell r="AN53">
            <v>0</v>
          </cell>
          <cell r="AO53" t="str">
            <v>-</v>
          </cell>
          <cell r="AP53" t="str">
            <v/>
          </cell>
          <cell r="AQ53" t="str">
            <v/>
          </cell>
          <cell r="AR53" t="str">
            <v/>
          </cell>
          <cell r="AS53">
            <v>0</v>
          </cell>
          <cell r="AT53">
            <v>0</v>
          </cell>
          <cell r="AU53" t="str">
            <v>-</v>
          </cell>
          <cell r="AV53" t="str">
            <v/>
          </cell>
          <cell r="AW53" t="str">
            <v/>
          </cell>
          <cell r="AX53" t="str">
            <v/>
          </cell>
          <cell r="AY53">
            <v>0</v>
          </cell>
          <cell r="AZ53">
            <v>0</v>
          </cell>
          <cell r="BA53" t="str">
            <v>-</v>
          </cell>
          <cell r="BB53" t="str">
            <v/>
          </cell>
          <cell r="BC53" t="str">
            <v/>
          </cell>
          <cell r="BD53" t="str">
            <v/>
          </cell>
          <cell r="BE53">
            <v>0</v>
          </cell>
          <cell r="BF53">
            <v>0</v>
          </cell>
          <cell r="BG53" t="str">
            <v>-</v>
          </cell>
          <cell r="BH53" t="str">
            <v/>
          </cell>
          <cell r="BI53" t="str">
            <v/>
          </cell>
          <cell r="BJ53" t="str">
            <v/>
          </cell>
          <cell r="BK53">
            <v>0</v>
          </cell>
          <cell r="BL53">
            <v>0</v>
          </cell>
          <cell r="BM53" t="str">
            <v>-</v>
          </cell>
          <cell r="BN53" t="str">
            <v/>
          </cell>
          <cell r="BO53" t="str">
            <v/>
          </cell>
          <cell r="BP53" t="str">
            <v/>
          </cell>
          <cell r="BQ53">
            <v>0</v>
          </cell>
          <cell r="BR53">
            <v>0</v>
          </cell>
          <cell r="BS53" t="str">
            <v>-</v>
          </cell>
          <cell r="BT53" t="str">
            <v/>
          </cell>
          <cell r="BU53" t="str">
            <v/>
          </cell>
          <cell r="BV53" t="str">
            <v/>
          </cell>
          <cell r="BW53">
            <v>0</v>
          </cell>
          <cell r="BX53">
            <v>0</v>
          </cell>
          <cell r="BY53" t="str">
            <v>-</v>
          </cell>
          <cell r="BZ53" t="str">
            <v/>
          </cell>
          <cell r="CA53" t="str">
            <v/>
          </cell>
          <cell r="CB53" t="str">
            <v/>
          </cell>
          <cell r="CC53">
            <v>0</v>
          </cell>
          <cell r="CD53">
            <v>0</v>
          </cell>
          <cell r="CE53" t="str">
            <v>-</v>
          </cell>
          <cell r="CF53" t="str">
            <v/>
          </cell>
          <cell r="CG53" t="str">
            <v/>
          </cell>
          <cell r="CH53" t="str">
            <v/>
          </cell>
          <cell r="CI53" t="str">
            <v/>
          </cell>
          <cell r="CJ53" t="str">
            <v/>
          </cell>
          <cell r="CK53" t="str">
            <v/>
          </cell>
          <cell r="CL53">
            <v>0</v>
          </cell>
          <cell r="CM53">
            <v>0</v>
          </cell>
          <cell r="CN53">
            <v>0</v>
          </cell>
          <cell r="CO53" t="str">
            <v>N.R</v>
          </cell>
          <cell r="CP53">
            <v>0</v>
          </cell>
          <cell r="CQ53">
            <v>41</v>
          </cell>
          <cell r="CR53">
            <v>87</v>
          </cell>
          <cell r="CS53" t="str">
            <v>NILL</v>
          </cell>
          <cell r="CT53">
            <v>0</v>
          </cell>
          <cell r="CU53">
            <v>35</v>
          </cell>
          <cell r="CV53">
            <v>74</v>
          </cell>
          <cell r="CW53" t="str">
            <v>NILL</v>
          </cell>
          <cell r="CX53">
            <v>0</v>
          </cell>
          <cell r="CY53">
            <v>59</v>
          </cell>
          <cell r="CZ53">
            <v>97</v>
          </cell>
          <cell r="DA53" t="str">
            <v>NILL</v>
          </cell>
          <cell r="DB53">
            <v>0</v>
          </cell>
          <cell r="DC53">
            <v>0</v>
          </cell>
          <cell r="DD53">
            <v>0</v>
          </cell>
          <cell r="DE53" t="str">
            <v>NILL</v>
          </cell>
          <cell r="DF53">
            <v>0</v>
          </cell>
          <cell r="DG53">
            <v>33</v>
          </cell>
          <cell r="DH53">
            <v>87</v>
          </cell>
          <cell r="DI53" t="str">
            <v>NILL</v>
          </cell>
          <cell r="DJ53">
            <v>0</v>
          </cell>
          <cell r="DK53">
            <v>29</v>
          </cell>
          <cell r="DL53">
            <v>88</v>
          </cell>
          <cell r="DM53" t="str">
            <v>NILL</v>
          </cell>
          <cell r="DN53">
            <v>0</v>
          </cell>
          <cell r="DO53">
            <v>35</v>
          </cell>
          <cell r="DP53">
            <v>92</v>
          </cell>
          <cell r="DQ53" t="str">
            <v>NILL</v>
          </cell>
          <cell r="DR53">
            <v>0</v>
          </cell>
          <cell r="DS53">
            <v>0</v>
          </cell>
          <cell r="DT53">
            <v>81</v>
          </cell>
          <cell r="DU53" t="str">
            <v>NILL</v>
          </cell>
          <cell r="DV53">
            <v>0</v>
          </cell>
          <cell r="DW53">
            <v>0</v>
          </cell>
          <cell r="DX53">
            <v>0</v>
          </cell>
          <cell r="DY53" t="str">
            <v>NILL</v>
          </cell>
          <cell r="DZ53">
            <v>0</v>
          </cell>
          <cell r="EA53">
            <v>0</v>
          </cell>
          <cell r="EB53">
            <v>86</v>
          </cell>
          <cell r="EC53" t="str">
            <v>NILL</v>
          </cell>
          <cell r="ED53">
            <v>0</v>
          </cell>
          <cell r="EE53">
            <v>0</v>
          </cell>
          <cell r="EF53">
            <v>43</v>
          </cell>
          <cell r="EG53" t="str">
            <v>NILL</v>
          </cell>
          <cell r="EH53">
            <v>0</v>
          </cell>
          <cell r="EI53">
            <v>0</v>
          </cell>
          <cell r="EJ53">
            <v>89</v>
          </cell>
          <cell r="EK53" t="str">
            <v>NILL</v>
          </cell>
          <cell r="EL53">
            <v>0</v>
          </cell>
          <cell r="EM53">
            <v>0</v>
          </cell>
          <cell r="EN53">
            <v>91</v>
          </cell>
          <cell r="EO53" t="str">
            <v>NILL</v>
          </cell>
          <cell r="EP53" t="str">
            <v/>
          </cell>
          <cell r="EQ53">
            <v>0</v>
          </cell>
          <cell r="ER53">
            <v>0</v>
          </cell>
          <cell r="ES53" t="e">
            <v>#VALUE!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 t="str">
            <v/>
          </cell>
          <cell r="G54" t="str">
            <v/>
          </cell>
          <cell r="H54" t="str">
            <v/>
          </cell>
          <cell r="I54">
            <v>0</v>
          </cell>
          <cell r="J54">
            <v>0</v>
          </cell>
          <cell r="K54" t="str">
            <v>-</v>
          </cell>
          <cell r="L54" t="str">
            <v/>
          </cell>
          <cell r="M54" t="str">
            <v/>
          </cell>
          <cell r="N54" t="str">
            <v/>
          </cell>
          <cell r="O54">
            <v>0</v>
          </cell>
          <cell r="P54">
            <v>0</v>
          </cell>
          <cell r="Q54" t="str">
            <v>-</v>
          </cell>
          <cell r="R54" t="str">
            <v/>
          </cell>
          <cell r="S54" t="str">
            <v/>
          </cell>
          <cell r="T54" t="str">
            <v/>
          </cell>
          <cell r="U54">
            <v>0</v>
          </cell>
          <cell r="V54">
            <v>0</v>
          </cell>
          <cell r="W54" t="str">
            <v>-</v>
          </cell>
          <cell r="X54" t="str">
            <v/>
          </cell>
          <cell r="Y54" t="str">
            <v/>
          </cell>
          <cell r="Z54" t="str">
            <v/>
          </cell>
          <cell r="AA54">
            <v>0</v>
          </cell>
          <cell r="AB54">
            <v>0</v>
          </cell>
          <cell r="AC54" t="str">
            <v>-</v>
          </cell>
          <cell r="AD54" t="str">
            <v/>
          </cell>
          <cell r="AE54" t="str">
            <v/>
          </cell>
          <cell r="AF54" t="str">
            <v/>
          </cell>
          <cell r="AG54">
            <v>0</v>
          </cell>
          <cell r="AH54">
            <v>0</v>
          </cell>
          <cell r="AI54" t="str">
            <v>-</v>
          </cell>
          <cell r="AJ54" t="str">
            <v/>
          </cell>
          <cell r="AK54" t="str">
            <v/>
          </cell>
          <cell r="AL54" t="str">
            <v/>
          </cell>
          <cell r="AM54">
            <v>0</v>
          </cell>
          <cell r="AN54">
            <v>0</v>
          </cell>
          <cell r="AO54" t="str">
            <v>-</v>
          </cell>
          <cell r="AP54" t="str">
            <v/>
          </cell>
          <cell r="AQ54" t="str">
            <v/>
          </cell>
          <cell r="AR54" t="str">
            <v/>
          </cell>
          <cell r="AS54">
            <v>0</v>
          </cell>
          <cell r="AT54">
            <v>0</v>
          </cell>
          <cell r="AU54" t="str">
            <v>-</v>
          </cell>
          <cell r="AV54" t="str">
            <v/>
          </cell>
          <cell r="AW54" t="str">
            <v/>
          </cell>
          <cell r="AX54" t="str">
            <v/>
          </cell>
          <cell r="AY54">
            <v>0</v>
          </cell>
          <cell r="AZ54">
            <v>0</v>
          </cell>
          <cell r="BA54" t="str">
            <v>-</v>
          </cell>
          <cell r="BB54" t="str">
            <v/>
          </cell>
          <cell r="BC54" t="str">
            <v/>
          </cell>
          <cell r="BD54" t="str">
            <v/>
          </cell>
          <cell r="BE54">
            <v>0</v>
          </cell>
          <cell r="BF54">
            <v>0</v>
          </cell>
          <cell r="BG54" t="str">
            <v>-</v>
          </cell>
          <cell r="BH54" t="str">
            <v/>
          </cell>
          <cell r="BI54" t="str">
            <v/>
          </cell>
          <cell r="BJ54" t="str">
            <v/>
          </cell>
          <cell r="BK54">
            <v>0</v>
          </cell>
          <cell r="BL54">
            <v>0</v>
          </cell>
          <cell r="BM54" t="str">
            <v>-</v>
          </cell>
          <cell r="BN54" t="str">
            <v/>
          </cell>
          <cell r="BO54" t="str">
            <v/>
          </cell>
          <cell r="BP54" t="str">
            <v/>
          </cell>
          <cell r="BQ54">
            <v>0</v>
          </cell>
          <cell r="BR54">
            <v>0</v>
          </cell>
          <cell r="BS54" t="str">
            <v>-</v>
          </cell>
          <cell r="BT54" t="str">
            <v/>
          </cell>
          <cell r="BU54" t="str">
            <v/>
          </cell>
          <cell r="BV54" t="str">
            <v/>
          </cell>
          <cell r="BW54">
            <v>0</v>
          </cell>
          <cell r="BX54">
            <v>0</v>
          </cell>
          <cell r="BY54" t="str">
            <v>-</v>
          </cell>
          <cell r="BZ54" t="str">
            <v/>
          </cell>
          <cell r="CA54" t="str">
            <v/>
          </cell>
          <cell r="CB54" t="str">
            <v/>
          </cell>
          <cell r="CC54">
            <v>0</v>
          </cell>
          <cell r="CD54">
            <v>0</v>
          </cell>
          <cell r="CE54" t="str">
            <v>-</v>
          </cell>
          <cell r="CF54" t="str">
            <v/>
          </cell>
          <cell r="CG54" t="str">
            <v/>
          </cell>
          <cell r="CH54" t="str">
            <v/>
          </cell>
          <cell r="CI54" t="str">
            <v/>
          </cell>
          <cell r="CJ54" t="str">
            <v/>
          </cell>
          <cell r="CK54" t="str">
            <v/>
          </cell>
          <cell r="CL54">
            <v>0</v>
          </cell>
          <cell r="CM54">
            <v>0</v>
          </cell>
          <cell r="CN54">
            <v>0</v>
          </cell>
          <cell r="CO54" t="str">
            <v>N.R</v>
          </cell>
          <cell r="CP54">
            <v>0</v>
          </cell>
          <cell r="CQ54">
            <v>41</v>
          </cell>
          <cell r="CR54">
            <v>87</v>
          </cell>
          <cell r="CS54" t="str">
            <v>NILL</v>
          </cell>
          <cell r="CT54">
            <v>0</v>
          </cell>
          <cell r="CU54">
            <v>35</v>
          </cell>
          <cell r="CV54">
            <v>74</v>
          </cell>
          <cell r="CW54" t="str">
            <v>NILL</v>
          </cell>
          <cell r="CX54">
            <v>0</v>
          </cell>
          <cell r="CY54">
            <v>59</v>
          </cell>
          <cell r="CZ54">
            <v>97</v>
          </cell>
          <cell r="DA54" t="str">
            <v>NILL</v>
          </cell>
          <cell r="DB54">
            <v>0</v>
          </cell>
          <cell r="DC54">
            <v>0</v>
          </cell>
          <cell r="DD54">
            <v>0</v>
          </cell>
          <cell r="DE54" t="str">
            <v>NILL</v>
          </cell>
          <cell r="DF54">
            <v>0</v>
          </cell>
          <cell r="DG54">
            <v>33</v>
          </cell>
          <cell r="DH54">
            <v>87</v>
          </cell>
          <cell r="DI54" t="str">
            <v>NILL</v>
          </cell>
          <cell r="DJ54">
            <v>0</v>
          </cell>
          <cell r="DK54">
            <v>29</v>
          </cell>
          <cell r="DL54">
            <v>88</v>
          </cell>
          <cell r="DM54" t="str">
            <v>NILL</v>
          </cell>
          <cell r="DN54">
            <v>0</v>
          </cell>
          <cell r="DO54">
            <v>35</v>
          </cell>
          <cell r="DP54">
            <v>92</v>
          </cell>
          <cell r="DQ54" t="str">
            <v>NILL</v>
          </cell>
          <cell r="DR54">
            <v>0</v>
          </cell>
          <cell r="DS54">
            <v>0</v>
          </cell>
          <cell r="DT54">
            <v>81</v>
          </cell>
          <cell r="DU54" t="str">
            <v>NILL</v>
          </cell>
          <cell r="DV54">
            <v>0</v>
          </cell>
          <cell r="DW54">
            <v>0</v>
          </cell>
          <cell r="DX54">
            <v>0</v>
          </cell>
          <cell r="DY54" t="str">
            <v>NILL</v>
          </cell>
          <cell r="DZ54">
            <v>0</v>
          </cell>
          <cell r="EA54">
            <v>0</v>
          </cell>
          <cell r="EB54">
            <v>86</v>
          </cell>
          <cell r="EC54" t="str">
            <v>NILL</v>
          </cell>
          <cell r="ED54">
            <v>0</v>
          </cell>
          <cell r="EE54">
            <v>0</v>
          </cell>
          <cell r="EF54">
            <v>44</v>
          </cell>
          <cell r="EG54" t="str">
            <v>NILL</v>
          </cell>
          <cell r="EH54">
            <v>0</v>
          </cell>
          <cell r="EI54">
            <v>0</v>
          </cell>
          <cell r="EJ54">
            <v>89</v>
          </cell>
          <cell r="EK54" t="str">
            <v>NILL</v>
          </cell>
          <cell r="EL54">
            <v>0</v>
          </cell>
          <cell r="EM54">
            <v>0</v>
          </cell>
          <cell r="EN54">
            <v>91</v>
          </cell>
          <cell r="EO54" t="str">
            <v>NILL</v>
          </cell>
          <cell r="EP54" t="str">
            <v/>
          </cell>
          <cell r="EQ54">
            <v>0</v>
          </cell>
          <cell r="ER54">
            <v>0</v>
          </cell>
          <cell r="ES54" t="e">
            <v>#VALUE!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 t="str">
            <v/>
          </cell>
          <cell r="G55" t="str">
            <v/>
          </cell>
          <cell r="H55" t="str">
            <v/>
          </cell>
          <cell r="I55">
            <v>0</v>
          </cell>
          <cell r="J55">
            <v>0</v>
          </cell>
          <cell r="K55" t="str">
            <v>-</v>
          </cell>
          <cell r="L55" t="str">
            <v/>
          </cell>
          <cell r="M55" t="str">
            <v/>
          </cell>
          <cell r="N55" t="str">
            <v/>
          </cell>
          <cell r="O55">
            <v>0</v>
          </cell>
          <cell r="P55">
            <v>0</v>
          </cell>
          <cell r="Q55" t="str">
            <v>-</v>
          </cell>
          <cell r="R55" t="str">
            <v/>
          </cell>
          <cell r="S55" t="str">
            <v/>
          </cell>
          <cell r="T55" t="str">
            <v/>
          </cell>
          <cell r="U55">
            <v>0</v>
          </cell>
          <cell r="V55">
            <v>0</v>
          </cell>
          <cell r="W55" t="str">
            <v>-</v>
          </cell>
          <cell r="X55" t="str">
            <v/>
          </cell>
          <cell r="Y55" t="str">
            <v/>
          </cell>
          <cell r="Z55" t="str">
            <v/>
          </cell>
          <cell r="AA55">
            <v>0</v>
          </cell>
          <cell r="AB55">
            <v>0</v>
          </cell>
          <cell r="AC55" t="str">
            <v>-</v>
          </cell>
          <cell r="AD55" t="str">
            <v/>
          </cell>
          <cell r="AE55" t="str">
            <v/>
          </cell>
          <cell r="AF55" t="str">
            <v/>
          </cell>
          <cell r="AG55">
            <v>0</v>
          </cell>
          <cell r="AH55">
            <v>0</v>
          </cell>
          <cell r="AI55" t="str">
            <v>-</v>
          </cell>
          <cell r="AJ55" t="str">
            <v/>
          </cell>
          <cell r="AK55" t="str">
            <v/>
          </cell>
          <cell r="AL55" t="str">
            <v/>
          </cell>
          <cell r="AM55">
            <v>0</v>
          </cell>
          <cell r="AN55">
            <v>0</v>
          </cell>
          <cell r="AO55" t="str">
            <v>-</v>
          </cell>
          <cell r="AP55" t="str">
            <v/>
          </cell>
          <cell r="AQ55" t="str">
            <v/>
          </cell>
          <cell r="AR55" t="str">
            <v/>
          </cell>
          <cell r="AS55">
            <v>0</v>
          </cell>
          <cell r="AT55">
            <v>0</v>
          </cell>
          <cell r="AU55" t="str">
            <v>-</v>
          </cell>
          <cell r="AV55" t="str">
            <v/>
          </cell>
          <cell r="AW55" t="str">
            <v/>
          </cell>
          <cell r="AX55" t="str">
            <v/>
          </cell>
          <cell r="AY55">
            <v>0</v>
          </cell>
          <cell r="AZ55">
            <v>0</v>
          </cell>
          <cell r="BA55" t="str">
            <v>-</v>
          </cell>
          <cell r="BB55" t="str">
            <v/>
          </cell>
          <cell r="BC55" t="str">
            <v/>
          </cell>
          <cell r="BD55" t="str">
            <v/>
          </cell>
          <cell r="BE55">
            <v>0</v>
          </cell>
          <cell r="BF55">
            <v>0</v>
          </cell>
          <cell r="BG55" t="str">
            <v>-</v>
          </cell>
          <cell r="BH55" t="str">
            <v/>
          </cell>
          <cell r="BI55" t="str">
            <v/>
          </cell>
          <cell r="BJ55" t="str">
            <v/>
          </cell>
          <cell r="BK55">
            <v>0</v>
          </cell>
          <cell r="BL55">
            <v>0</v>
          </cell>
          <cell r="BM55" t="str">
            <v>-</v>
          </cell>
          <cell r="BN55" t="str">
            <v/>
          </cell>
          <cell r="BO55" t="str">
            <v/>
          </cell>
          <cell r="BP55" t="str">
            <v/>
          </cell>
          <cell r="BQ55">
            <v>0</v>
          </cell>
          <cell r="BR55">
            <v>0</v>
          </cell>
          <cell r="BS55" t="str">
            <v>-</v>
          </cell>
          <cell r="BT55" t="str">
            <v/>
          </cell>
          <cell r="BU55" t="str">
            <v/>
          </cell>
          <cell r="BV55" t="str">
            <v/>
          </cell>
          <cell r="BW55">
            <v>0</v>
          </cell>
          <cell r="BX55">
            <v>0</v>
          </cell>
          <cell r="BY55" t="str">
            <v>-</v>
          </cell>
          <cell r="BZ55" t="str">
            <v/>
          </cell>
          <cell r="CA55" t="str">
            <v/>
          </cell>
          <cell r="CB55" t="str">
            <v/>
          </cell>
          <cell r="CC55">
            <v>0</v>
          </cell>
          <cell r="CD55">
            <v>0</v>
          </cell>
          <cell r="CE55" t="str">
            <v>-</v>
          </cell>
          <cell r="CF55" t="str">
            <v/>
          </cell>
          <cell r="CG55" t="str">
            <v/>
          </cell>
          <cell r="CH55" t="str">
            <v/>
          </cell>
          <cell r="CI55" t="str">
            <v/>
          </cell>
          <cell r="CJ55" t="str">
            <v/>
          </cell>
          <cell r="CK55" t="str">
            <v/>
          </cell>
          <cell r="CL55">
            <v>0</v>
          </cell>
          <cell r="CM55">
            <v>0</v>
          </cell>
          <cell r="CN55">
            <v>0</v>
          </cell>
          <cell r="CO55" t="str">
            <v>N.R</v>
          </cell>
          <cell r="CP55">
            <v>0</v>
          </cell>
          <cell r="CQ55">
            <v>41</v>
          </cell>
          <cell r="CR55">
            <v>87</v>
          </cell>
          <cell r="CS55" t="str">
            <v>NILL</v>
          </cell>
          <cell r="CT55">
            <v>0</v>
          </cell>
          <cell r="CU55">
            <v>35</v>
          </cell>
          <cell r="CV55">
            <v>74</v>
          </cell>
          <cell r="CW55" t="str">
            <v>NILL</v>
          </cell>
          <cell r="CX55">
            <v>0</v>
          </cell>
          <cell r="CY55">
            <v>59</v>
          </cell>
          <cell r="CZ55">
            <v>97</v>
          </cell>
          <cell r="DA55" t="str">
            <v>NILL</v>
          </cell>
          <cell r="DB55">
            <v>0</v>
          </cell>
          <cell r="DC55">
            <v>0</v>
          </cell>
          <cell r="DD55">
            <v>0</v>
          </cell>
          <cell r="DE55" t="str">
            <v>NILL</v>
          </cell>
          <cell r="DF55">
            <v>0</v>
          </cell>
          <cell r="DG55">
            <v>33</v>
          </cell>
          <cell r="DH55">
            <v>87</v>
          </cell>
          <cell r="DI55" t="str">
            <v>NILL</v>
          </cell>
          <cell r="DJ55">
            <v>0</v>
          </cell>
          <cell r="DK55">
            <v>29</v>
          </cell>
          <cell r="DL55">
            <v>88</v>
          </cell>
          <cell r="DM55" t="str">
            <v>NILL</v>
          </cell>
          <cell r="DN55">
            <v>0</v>
          </cell>
          <cell r="DO55">
            <v>35</v>
          </cell>
          <cell r="DP55">
            <v>92</v>
          </cell>
          <cell r="DQ55" t="str">
            <v>NILL</v>
          </cell>
          <cell r="DR55">
            <v>0</v>
          </cell>
          <cell r="DS55">
            <v>0</v>
          </cell>
          <cell r="DT55">
            <v>81</v>
          </cell>
          <cell r="DU55" t="str">
            <v>NILL</v>
          </cell>
          <cell r="DV55">
            <v>0</v>
          </cell>
          <cell r="DW55">
            <v>0</v>
          </cell>
          <cell r="DX55">
            <v>0</v>
          </cell>
          <cell r="DY55" t="str">
            <v>NILL</v>
          </cell>
          <cell r="DZ55">
            <v>0</v>
          </cell>
          <cell r="EA55">
            <v>0</v>
          </cell>
          <cell r="EB55">
            <v>86</v>
          </cell>
          <cell r="EC55" t="str">
            <v>NILL</v>
          </cell>
          <cell r="ED55">
            <v>0</v>
          </cell>
          <cell r="EE55">
            <v>0</v>
          </cell>
          <cell r="EF55">
            <v>45</v>
          </cell>
          <cell r="EG55" t="str">
            <v>NILL</v>
          </cell>
          <cell r="EH55">
            <v>0</v>
          </cell>
          <cell r="EI55">
            <v>0</v>
          </cell>
          <cell r="EJ55">
            <v>89</v>
          </cell>
          <cell r="EK55" t="str">
            <v>NILL</v>
          </cell>
          <cell r="EL55">
            <v>0</v>
          </cell>
          <cell r="EM55">
            <v>0</v>
          </cell>
          <cell r="EN55">
            <v>91</v>
          </cell>
          <cell r="EO55" t="str">
            <v>NILL</v>
          </cell>
          <cell r="EP55" t="str">
            <v/>
          </cell>
          <cell r="EQ55">
            <v>0</v>
          </cell>
          <cell r="ER55">
            <v>0</v>
          </cell>
          <cell r="ES55" t="e">
            <v>#VALUE!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 t="str">
            <v/>
          </cell>
          <cell r="G56" t="str">
            <v/>
          </cell>
          <cell r="H56" t="str">
            <v/>
          </cell>
          <cell r="I56">
            <v>0</v>
          </cell>
          <cell r="J56">
            <v>0</v>
          </cell>
          <cell r="K56" t="str">
            <v>-</v>
          </cell>
          <cell r="L56" t="str">
            <v/>
          </cell>
          <cell r="M56" t="str">
            <v/>
          </cell>
          <cell r="N56" t="str">
            <v/>
          </cell>
          <cell r="O56">
            <v>0</v>
          </cell>
          <cell r="P56">
            <v>0</v>
          </cell>
          <cell r="Q56" t="str">
            <v>-</v>
          </cell>
          <cell r="R56" t="str">
            <v/>
          </cell>
          <cell r="S56" t="str">
            <v/>
          </cell>
          <cell r="T56" t="str">
            <v/>
          </cell>
          <cell r="U56">
            <v>0</v>
          </cell>
          <cell r="V56">
            <v>0</v>
          </cell>
          <cell r="W56" t="str">
            <v>-</v>
          </cell>
          <cell r="X56" t="str">
            <v/>
          </cell>
          <cell r="Y56" t="str">
            <v/>
          </cell>
          <cell r="Z56" t="str">
            <v/>
          </cell>
          <cell r="AA56">
            <v>0</v>
          </cell>
          <cell r="AB56">
            <v>0</v>
          </cell>
          <cell r="AC56" t="str">
            <v>-</v>
          </cell>
          <cell r="AD56" t="str">
            <v/>
          </cell>
          <cell r="AE56" t="str">
            <v/>
          </cell>
          <cell r="AF56" t="str">
            <v/>
          </cell>
          <cell r="AG56">
            <v>0</v>
          </cell>
          <cell r="AH56">
            <v>0</v>
          </cell>
          <cell r="AI56" t="str">
            <v>-</v>
          </cell>
          <cell r="AJ56" t="str">
            <v/>
          </cell>
          <cell r="AK56" t="str">
            <v/>
          </cell>
          <cell r="AL56" t="str">
            <v/>
          </cell>
          <cell r="AM56">
            <v>0</v>
          </cell>
          <cell r="AN56">
            <v>0</v>
          </cell>
          <cell r="AO56" t="str">
            <v>-</v>
          </cell>
          <cell r="AP56" t="str">
            <v/>
          </cell>
          <cell r="AQ56" t="str">
            <v/>
          </cell>
          <cell r="AR56" t="str">
            <v/>
          </cell>
          <cell r="AS56">
            <v>0</v>
          </cell>
          <cell r="AT56">
            <v>0</v>
          </cell>
          <cell r="AU56" t="str">
            <v>-</v>
          </cell>
          <cell r="AV56" t="str">
            <v/>
          </cell>
          <cell r="AW56" t="str">
            <v/>
          </cell>
          <cell r="AX56" t="str">
            <v/>
          </cell>
          <cell r="AY56">
            <v>0</v>
          </cell>
          <cell r="AZ56">
            <v>0</v>
          </cell>
          <cell r="BA56" t="str">
            <v>-</v>
          </cell>
          <cell r="BB56" t="str">
            <v/>
          </cell>
          <cell r="BC56" t="str">
            <v/>
          </cell>
          <cell r="BD56" t="str">
            <v/>
          </cell>
          <cell r="BE56">
            <v>0</v>
          </cell>
          <cell r="BF56">
            <v>0</v>
          </cell>
          <cell r="BG56" t="str">
            <v>-</v>
          </cell>
          <cell r="BH56" t="str">
            <v/>
          </cell>
          <cell r="BI56" t="str">
            <v/>
          </cell>
          <cell r="BJ56" t="str">
            <v/>
          </cell>
          <cell r="BK56">
            <v>0</v>
          </cell>
          <cell r="BL56">
            <v>0</v>
          </cell>
          <cell r="BM56" t="str">
            <v>-</v>
          </cell>
          <cell r="BN56" t="str">
            <v/>
          </cell>
          <cell r="BO56" t="str">
            <v/>
          </cell>
          <cell r="BP56" t="str">
            <v/>
          </cell>
          <cell r="BQ56">
            <v>0</v>
          </cell>
          <cell r="BR56">
            <v>0</v>
          </cell>
          <cell r="BS56" t="str">
            <v>-</v>
          </cell>
          <cell r="BT56" t="str">
            <v/>
          </cell>
          <cell r="BU56" t="str">
            <v/>
          </cell>
          <cell r="BV56" t="str">
            <v/>
          </cell>
          <cell r="BW56">
            <v>0</v>
          </cell>
          <cell r="BX56">
            <v>0</v>
          </cell>
          <cell r="BY56" t="str">
            <v>-</v>
          </cell>
          <cell r="BZ56" t="str">
            <v/>
          </cell>
          <cell r="CA56" t="str">
            <v/>
          </cell>
          <cell r="CB56" t="str">
            <v/>
          </cell>
          <cell r="CC56">
            <v>0</v>
          </cell>
          <cell r="CD56">
            <v>0</v>
          </cell>
          <cell r="CE56" t="str">
            <v>-</v>
          </cell>
          <cell r="CF56" t="str">
            <v/>
          </cell>
          <cell r="CG56" t="str">
            <v/>
          </cell>
          <cell r="CH56" t="str">
            <v/>
          </cell>
          <cell r="CI56" t="str">
            <v/>
          </cell>
          <cell r="CJ56" t="str">
            <v/>
          </cell>
          <cell r="CK56" t="str">
            <v/>
          </cell>
          <cell r="CL56">
            <v>0</v>
          </cell>
          <cell r="CM56">
            <v>0</v>
          </cell>
          <cell r="CN56">
            <v>0</v>
          </cell>
          <cell r="CO56" t="str">
            <v>N.R</v>
          </cell>
          <cell r="CP56">
            <v>0</v>
          </cell>
          <cell r="CQ56">
            <v>41</v>
          </cell>
          <cell r="CR56">
            <v>87</v>
          </cell>
          <cell r="CS56" t="str">
            <v>NILL</v>
          </cell>
          <cell r="CT56">
            <v>0</v>
          </cell>
          <cell r="CU56">
            <v>35</v>
          </cell>
          <cell r="CV56">
            <v>74</v>
          </cell>
          <cell r="CW56" t="str">
            <v>NILL</v>
          </cell>
          <cell r="CX56">
            <v>0</v>
          </cell>
          <cell r="CY56">
            <v>59</v>
          </cell>
          <cell r="CZ56">
            <v>97</v>
          </cell>
          <cell r="DA56" t="str">
            <v>NILL</v>
          </cell>
          <cell r="DB56">
            <v>0</v>
          </cell>
          <cell r="DC56">
            <v>0</v>
          </cell>
          <cell r="DD56">
            <v>0</v>
          </cell>
          <cell r="DE56" t="str">
            <v>NILL</v>
          </cell>
          <cell r="DF56">
            <v>0</v>
          </cell>
          <cell r="DG56">
            <v>33</v>
          </cell>
          <cell r="DH56">
            <v>87</v>
          </cell>
          <cell r="DI56" t="str">
            <v>NILL</v>
          </cell>
          <cell r="DJ56">
            <v>0</v>
          </cell>
          <cell r="DK56">
            <v>29</v>
          </cell>
          <cell r="DL56">
            <v>88</v>
          </cell>
          <cell r="DM56" t="str">
            <v>NILL</v>
          </cell>
          <cell r="DN56">
            <v>0</v>
          </cell>
          <cell r="DO56">
            <v>35</v>
          </cell>
          <cell r="DP56">
            <v>92</v>
          </cell>
          <cell r="DQ56" t="str">
            <v>NILL</v>
          </cell>
          <cell r="DR56">
            <v>0</v>
          </cell>
          <cell r="DS56">
            <v>0</v>
          </cell>
          <cell r="DT56">
            <v>81</v>
          </cell>
          <cell r="DU56" t="str">
            <v>NILL</v>
          </cell>
          <cell r="DV56">
            <v>0</v>
          </cell>
          <cell r="DW56">
            <v>0</v>
          </cell>
          <cell r="DX56">
            <v>0</v>
          </cell>
          <cell r="DY56" t="str">
            <v>NILL</v>
          </cell>
          <cell r="DZ56">
            <v>0</v>
          </cell>
          <cell r="EA56">
            <v>0</v>
          </cell>
          <cell r="EB56">
            <v>86</v>
          </cell>
          <cell r="EC56" t="str">
            <v>NILL</v>
          </cell>
          <cell r="ED56">
            <v>0</v>
          </cell>
          <cell r="EE56">
            <v>0</v>
          </cell>
          <cell r="EF56">
            <v>46</v>
          </cell>
          <cell r="EG56" t="str">
            <v>NILL</v>
          </cell>
          <cell r="EH56">
            <v>0</v>
          </cell>
          <cell r="EI56">
            <v>0</v>
          </cell>
          <cell r="EJ56">
            <v>89</v>
          </cell>
          <cell r="EK56" t="str">
            <v>NILL</v>
          </cell>
          <cell r="EL56">
            <v>0</v>
          </cell>
          <cell r="EM56">
            <v>0</v>
          </cell>
          <cell r="EN56">
            <v>91</v>
          </cell>
          <cell r="EO56" t="str">
            <v>NILL</v>
          </cell>
          <cell r="EP56" t="str">
            <v/>
          </cell>
          <cell r="EQ56">
            <v>0</v>
          </cell>
          <cell r="ER56">
            <v>0</v>
          </cell>
          <cell r="ES56" t="e">
            <v>#VALUE!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 t="str">
            <v/>
          </cell>
          <cell r="G57" t="str">
            <v/>
          </cell>
          <cell r="H57" t="str">
            <v/>
          </cell>
          <cell r="I57">
            <v>0</v>
          </cell>
          <cell r="J57">
            <v>0</v>
          </cell>
          <cell r="K57" t="str">
            <v>-</v>
          </cell>
          <cell r="L57" t="str">
            <v/>
          </cell>
          <cell r="M57" t="str">
            <v/>
          </cell>
          <cell r="N57" t="str">
            <v/>
          </cell>
          <cell r="O57">
            <v>0</v>
          </cell>
          <cell r="P57">
            <v>0</v>
          </cell>
          <cell r="Q57" t="str">
            <v>-</v>
          </cell>
          <cell r="R57" t="str">
            <v/>
          </cell>
          <cell r="S57" t="str">
            <v/>
          </cell>
          <cell r="T57" t="str">
            <v/>
          </cell>
          <cell r="U57">
            <v>0</v>
          </cell>
          <cell r="V57">
            <v>0</v>
          </cell>
          <cell r="W57" t="str">
            <v>-</v>
          </cell>
          <cell r="X57" t="str">
            <v/>
          </cell>
          <cell r="Y57" t="str">
            <v/>
          </cell>
          <cell r="Z57" t="str">
            <v/>
          </cell>
          <cell r="AA57">
            <v>0</v>
          </cell>
          <cell r="AB57">
            <v>0</v>
          </cell>
          <cell r="AC57" t="str">
            <v>-</v>
          </cell>
          <cell r="AD57" t="str">
            <v/>
          </cell>
          <cell r="AE57" t="str">
            <v/>
          </cell>
          <cell r="AF57" t="str">
            <v/>
          </cell>
          <cell r="AG57">
            <v>0</v>
          </cell>
          <cell r="AH57">
            <v>0</v>
          </cell>
          <cell r="AI57" t="str">
            <v>-</v>
          </cell>
          <cell r="AJ57" t="str">
            <v/>
          </cell>
          <cell r="AK57" t="str">
            <v/>
          </cell>
          <cell r="AL57" t="str">
            <v/>
          </cell>
          <cell r="AM57">
            <v>0</v>
          </cell>
          <cell r="AN57">
            <v>0</v>
          </cell>
          <cell r="AO57" t="str">
            <v>-</v>
          </cell>
          <cell r="AP57" t="str">
            <v/>
          </cell>
          <cell r="AQ57" t="str">
            <v/>
          </cell>
          <cell r="AR57" t="str">
            <v/>
          </cell>
          <cell r="AS57">
            <v>0</v>
          </cell>
          <cell r="AT57">
            <v>0</v>
          </cell>
          <cell r="AU57" t="str">
            <v>-</v>
          </cell>
          <cell r="AV57" t="str">
            <v/>
          </cell>
          <cell r="AW57" t="str">
            <v/>
          </cell>
          <cell r="AX57" t="str">
            <v/>
          </cell>
          <cell r="AY57">
            <v>0</v>
          </cell>
          <cell r="AZ57">
            <v>0</v>
          </cell>
          <cell r="BA57" t="str">
            <v>-</v>
          </cell>
          <cell r="BB57" t="str">
            <v/>
          </cell>
          <cell r="BC57" t="str">
            <v/>
          </cell>
          <cell r="BD57" t="str">
            <v/>
          </cell>
          <cell r="BE57">
            <v>0</v>
          </cell>
          <cell r="BF57">
            <v>0</v>
          </cell>
          <cell r="BG57" t="str">
            <v>-</v>
          </cell>
          <cell r="BH57" t="str">
            <v/>
          </cell>
          <cell r="BI57" t="str">
            <v/>
          </cell>
          <cell r="BJ57" t="str">
            <v/>
          </cell>
          <cell r="BK57">
            <v>0</v>
          </cell>
          <cell r="BL57">
            <v>0</v>
          </cell>
          <cell r="BM57" t="str">
            <v>-</v>
          </cell>
          <cell r="BN57" t="str">
            <v/>
          </cell>
          <cell r="BO57" t="str">
            <v/>
          </cell>
          <cell r="BP57" t="str">
            <v/>
          </cell>
          <cell r="BQ57">
            <v>0</v>
          </cell>
          <cell r="BR57">
            <v>0</v>
          </cell>
          <cell r="BS57" t="str">
            <v>-</v>
          </cell>
          <cell r="BT57" t="str">
            <v/>
          </cell>
          <cell r="BU57" t="str">
            <v/>
          </cell>
          <cell r="BV57" t="str">
            <v/>
          </cell>
          <cell r="BW57">
            <v>0</v>
          </cell>
          <cell r="BX57">
            <v>0</v>
          </cell>
          <cell r="BY57" t="str">
            <v>-</v>
          </cell>
          <cell r="BZ57" t="str">
            <v/>
          </cell>
          <cell r="CA57" t="str">
            <v/>
          </cell>
          <cell r="CB57" t="str">
            <v/>
          </cell>
          <cell r="CC57">
            <v>0</v>
          </cell>
          <cell r="CD57">
            <v>0</v>
          </cell>
          <cell r="CE57" t="str">
            <v>-</v>
          </cell>
          <cell r="CF57" t="str">
            <v/>
          </cell>
          <cell r="CG57" t="str">
            <v/>
          </cell>
          <cell r="CH57" t="str">
            <v/>
          </cell>
          <cell r="CI57" t="str">
            <v/>
          </cell>
          <cell r="CJ57" t="str">
            <v/>
          </cell>
          <cell r="CK57" t="str">
            <v/>
          </cell>
          <cell r="CL57">
            <v>0</v>
          </cell>
          <cell r="CM57">
            <v>0</v>
          </cell>
          <cell r="CN57">
            <v>0</v>
          </cell>
          <cell r="CO57" t="str">
            <v>N.R</v>
          </cell>
          <cell r="CP57">
            <v>0</v>
          </cell>
          <cell r="CQ57">
            <v>41</v>
          </cell>
          <cell r="CR57">
            <v>87</v>
          </cell>
          <cell r="CS57" t="str">
            <v>NILL</v>
          </cell>
          <cell r="CT57">
            <v>0</v>
          </cell>
          <cell r="CU57">
            <v>35</v>
          </cell>
          <cell r="CV57">
            <v>74</v>
          </cell>
          <cell r="CW57" t="str">
            <v>NILL</v>
          </cell>
          <cell r="CX57">
            <v>0</v>
          </cell>
          <cell r="CY57">
            <v>59</v>
          </cell>
          <cell r="CZ57">
            <v>97</v>
          </cell>
          <cell r="DA57" t="str">
            <v>NILL</v>
          </cell>
          <cell r="DB57">
            <v>0</v>
          </cell>
          <cell r="DC57">
            <v>0</v>
          </cell>
          <cell r="DD57">
            <v>0</v>
          </cell>
          <cell r="DE57" t="str">
            <v>NILL</v>
          </cell>
          <cell r="DF57">
            <v>0</v>
          </cell>
          <cell r="DG57">
            <v>33</v>
          </cell>
          <cell r="DH57">
            <v>87</v>
          </cell>
          <cell r="DI57" t="str">
            <v>NILL</v>
          </cell>
          <cell r="DJ57">
            <v>0</v>
          </cell>
          <cell r="DK57">
            <v>29</v>
          </cell>
          <cell r="DL57">
            <v>88</v>
          </cell>
          <cell r="DM57" t="str">
            <v>NILL</v>
          </cell>
          <cell r="DN57">
            <v>0</v>
          </cell>
          <cell r="DO57">
            <v>35</v>
          </cell>
          <cell r="DP57">
            <v>92</v>
          </cell>
          <cell r="DQ57" t="str">
            <v>NILL</v>
          </cell>
          <cell r="DR57">
            <v>0</v>
          </cell>
          <cell r="DS57">
            <v>0</v>
          </cell>
          <cell r="DT57">
            <v>81</v>
          </cell>
          <cell r="DU57" t="str">
            <v>NILL</v>
          </cell>
          <cell r="DV57">
            <v>0</v>
          </cell>
          <cell r="DW57">
            <v>0</v>
          </cell>
          <cell r="DX57">
            <v>0</v>
          </cell>
          <cell r="DY57" t="str">
            <v>NILL</v>
          </cell>
          <cell r="DZ57">
            <v>0</v>
          </cell>
          <cell r="EA57">
            <v>0</v>
          </cell>
          <cell r="EB57">
            <v>86</v>
          </cell>
          <cell r="EC57" t="str">
            <v>NILL</v>
          </cell>
          <cell r="ED57">
            <v>0</v>
          </cell>
          <cell r="EE57">
            <v>0</v>
          </cell>
          <cell r="EF57">
            <v>47</v>
          </cell>
          <cell r="EG57" t="str">
            <v>NILL</v>
          </cell>
          <cell r="EH57">
            <v>0</v>
          </cell>
          <cell r="EI57">
            <v>0</v>
          </cell>
          <cell r="EJ57">
            <v>89</v>
          </cell>
          <cell r="EK57" t="str">
            <v>NILL</v>
          </cell>
          <cell r="EL57">
            <v>0</v>
          </cell>
          <cell r="EM57">
            <v>0</v>
          </cell>
          <cell r="EN57">
            <v>91</v>
          </cell>
          <cell r="EO57" t="str">
            <v>NILL</v>
          </cell>
          <cell r="EP57" t="str">
            <v/>
          </cell>
          <cell r="EQ57">
            <v>0</v>
          </cell>
          <cell r="ER57">
            <v>0</v>
          </cell>
          <cell r="ES57" t="e">
            <v>#VALUE!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 t="str">
            <v/>
          </cell>
          <cell r="G58" t="str">
            <v/>
          </cell>
          <cell r="H58" t="str">
            <v/>
          </cell>
          <cell r="I58">
            <v>0</v>
          </cell>
          <cell r="J58">
            <v>0</v>
          </cell>
          <cell r="K58" t="str">
            <v>-</v>
          </cell>
          <cell r="L58" t="str">
            <v/>
          </cell>
          <cell r="M58" t="str">
            <v/>
          </cell>
          <cell r="N58" t="str">
            <v/>
          </cell>
          <cell r="O58">
            <v>0</v>
          </cell>
          <cell r="P58">
            <v>0</v>
          </cell>
          <cell r="Q58" t="str">
            <v>-</v>
          </cell>
          <cell r="R58" t="str">
            <v/>
          </cell>
          <cell r="S58" t="str">
            <v/>
          </cell>
          <cell r="T58" t="str">
            <v/>
          </cell>
          <cell r="U58">
            <v>0</v>
          </cell>
          <cell r="V58">
            <v>0</v>
          </cell>
          <cell r="W58" t="str">
            <v>-</v>
          </cell>
          <cell r="X58" t="str">
            <v/>
          </cell>
          <cell r="Y58" t="str">
            <v/>
          </cell>
          <cell r="Z58" t="str">
            <v/>
          </cell>
          <cell r="AA58">
            <v>0</v>
          </cell>
          <cell r="AB58">
            <v>0</v>
          </cell>
          <cell r="AC58" t="str">
            <v>-</v>
          </cell>
          <cell r="AD58" t="str">
            <v/>
          </cell>
          <cell r="AE58" t="str">
            <v/>
          </cell>
          <cell r="AF58" t="str">
            <v/>
          </cell>
          <cell r="AG58">
            <v>0</v>
          </cell>
          <cell r="AH58">
            <v>0</v>
          </cell>
          <cell r="AI58" t="str">
            <v>-</v>
          </cell>
          <cell r="AJ58" t="str">
            <v/>
          </cell>
          <cell r="AK58" t="str">
            <v/>
          </cell>
          <cell r="AL58" t="str">
            <v/>
          </cell>
          <cell r="AM58">
            <v>0</v>
          </cell>
          <cell r="AN58">
            <v>0</v>
          </cell>
          <cell r="AO58" t="str">
            <v>-</v>
          </cell>
          <cell r="AP58" t="str">
            <v/>
          </cell>
          <cell r="AQ58" t="str">
            <v/>
          </cell>
          <cell r="AR58" t="str">
            <v/>
          </cell>
          <cell r="AS58">
            <v>0</v>
          </cell>
          <cell r="AT58">
            <v>0</v>
          </cell>
          <cell r="AU58" t="str">
            <v>-</v>
          </cell>
          <cell r="AV58" t="str">
            <v/>
          </cell>
          <cell r="AW58" t="str">
            <v/>
          </cell>
          <cell r="AX58" t="str">
            <v/>
          </cell>
          <cell r="AY58">
            <v>0</v>
          </cell>
          <cell r="AZ58">
            <v>0</v>
          </cell>
          <cell r="BA58" t="str">
            <v>-</v>
          </cell>
          <cell r="BB58" t="str">
            <v/>
          </cell>
          <cell r="BC58" t="str">
            <v/>
          </cell>
          <cell r="BD58" t="str">
            <v/>
          </cell>
          <cell r="BE58">
            <v>0</v>
          </cell>
          <cell r="BF58">
            <v>0</v>
          </cell>
          <cell r="BG58" t="str">
            <v>-</v>
          </cell>
          <cell r="BH58" t="str">
            <v/>
          </cell>
          <cell r="BI58" t="str">
            <v/>
          </cell>
          <cell r="BJ58" t="str">
            <v/>
          </cell>
          <cell r="BK58">
            <v>0</v>
          </cell>
          <cell r="BL58">
            <v>0</v>
          </cell>
          <cell r="BM58" t="str">
            <v>-</v>
          </cell>
          <cell r="BN58" t="str">
            <v/>
          </cell>
          <cell r="BO58" t="str">
            <v/>
          </cell>
          <cell r="BP58" t="str">
            <v/>
          </cell>
          <cell r="BQ58">
            <v>0</v>
          </cell>
          <cell r="BR58">
            <v>0</v>
          </cell>
          <cell r="BS58" t="str">
            <v>-</v>
          </cell>
          <cell r="BT58" t="str">
            <v/>
          </cell>
          <cell r="BU58" t="str">
            <v/>
          </cell>
          <cell r="BV58" t="str">
            <v/>
          </cell>
          <cell r="BW58">
            <v>0</v>
          </cell>
          <cell r="BX58">
            <v>0</v>
          </cell>
          <cell r="BY58" t="str">
            <v>-</v>
          </cell>
          <cell r="BZ58" t="str">
            <v/>
          </cell>
          <cell r="CA58" t="str">
            <v/>
          </cell>
          <cell r="CB58" t="str">
            <v/>
          </cell>
          <cell r="CC58">
            <v>0</v>
          </cell>
          <cell r="CD58">
            <v>0</v>
          </cell>
          <cell r="CE58" t="str">
            <v>-</v>
          </cell>
          <cell r="CF58" t="str">
            <v/>
          </cell>
          <cell r="CG58" t="str">
            <v/>
          </cell>
          <cell r="CH58" t="str">
            <v/>
          </cell>
          <cell r="CI58" t="str">
            <v/>
          </cell>
          <cell r="CJ58" t="str">
            <v/>
          </cell>
          <cell r="CK58" t="str">
            <v/>
          </cell>
          <cell r="CL58">
            <v>0</v>
          </cell>
          <cell r="CM58">
            <v>0</v>
          </cell>
          <cell r="CN58">
            <v>0</v>
          </cell>
          <cell r="CO58" t="str">
            <v>N.R</v>
          </cell>
          <cell r="CP58">
            <v>0</v>
          </cell>
          <cell r="CQ58">
            <v>41</v>
          </cell>
          <cell r="CR58">
            <v>87</v>
          </cell>
          <cell r="CS58" t="str">
            <v>NILL</v>
          </cell>
          <cell r="CT58">
            <v>0</v>
          </cell>
          <cell r="CU58">
            <v>35</v>
          </cell>
          <cell r="CV58">
            <v>74</v>
          </cell>
          <cell r="CW58" t="str">
            <v>NILL</v>
          </cell>
          <cell r="CX58">
            <v>0</v>
          </cell>
          <cell r="CY58">
            <v>59</v>
          </cell>
          <cell r="CZ58">
            <v>97</v>
          </cell>
          <cell r="DA58" t="str">
            <v>NILL</v>
          </cell>
          <cell r="DB58">
            <v>0</v>
          </cell>
          <cell r="DC58">
            <v>0</v>
          </cell>
          <cell r="DD58">
            <v>0</v>
          </cell>
          <cell r="DE58" t="str">
            <v>NILL</v>
          </cell>
          <cell r="DF58">
            <v>0</v>
          </cell>
          <cell r="DG58">
            <v>33</v>
          </cell>
          <cell r="DH58">
            <v>87</v>
          </cell>
          <cell r="DI58" t="str">
            <v>NILL</v>
          </cell>
          <cell r="DJ58">
            <v>0</v>
          </cell>
          <cell r="DK58">
            <v>29</v>
          </cell>
          <cell r="DL58">
            <v>88</v>
          </cell>
          <cell r="DM58" t="str">
            <v>NILL</v>
          </cell>
          <cell r="DN58">
            <v>0</v>
          </cell>
          <cell r="DO58">
            <v>35</v>
          </cell>
          <cell r="DP58">
            <v>92</v>
          </cell>
          <cell r="DQ58" t="str">
            <v>NILL</v>
          </cell>
          <cell r="DR58">
            <v>0</v>
          </cell>
          <cell r="DS58">
            <v>0</v>
          </cell>
          <cell r="DT58">
            <v>81</v>
          </cell>
          <cell r="DU58" t="str">
            <v>NILL</v>
          </cell>
          <cell r="DV58">
            <v>0</v>
          </cell>
          <cell r="DW58">
            <v>0</v>
          </cell>
          <cell r="DX58">
            <v>0</v>
          </cell>
          <cell r="DY58" t="str">
            <v>NILL</v>
          </cell>
          <cell r="DZ58">
            <v>0</v>
          </cell>
          <cell r="EA58">
            <v>0</v>
          </cell>
          <cell r="EB58">
            <v>86</v>
          </cell>
          <cell r="EC58" t="str">
            <v>NILL</v>
          </cell>
          <cell r="ED58">
            <v>0</v>
          </cell>
          <cell r="EE58">
            <v>0</v>
          </cell>
          <cell r="EF58">
            <v>48</v>
          </cell>
          <cell r="EG58" t="str">
            <v>NILL</v>
          </cell>
          <cell r="EH58">
            <v>0</v>
          </cell>
          <cell r="EI58">
            <v>0</v>
          </cell>
          <cell r="EJ58">
            <v>89</v>
          </cell>
          <cell r="EK58" t="str">
            <v>NILL</v>
          </cell>
          <cell r="EL58">
            <v>0</v>
          </cell>
          <cell r="EM58">
            <v>0</v>
          </cell>
          <cell r="EN58">
            <v>91</v>
          </cell>
          <cell r="EO58" t="str">
            <v>NILL</v>
          </cell>
          <cell r="EP58" t="str">
            <v/>
          </cell>
          <cell r="EQ58">
            <v>0</v>
          </cell>
          <cell r="ER58">
            <v>0</v>
          </cell>
          <cell r="ES58" t="e">
            <v>#VALUE!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 t="str">
            <v/>
          </cell>
          <cell r="G59" t="str">
            <v/>
          </cell>
          <cell r="H59" t="str">
            <v/>
          </cell>
          <cell r="I59">
            <v>0</v>
          </cell>
          <cell r="J59">
            <v>0</v>
          </cell>
          <cell r="K59" t="str">
            <v>-</v>
          </cell>
          <cell r="L59" t="str">
            <v/>
          </cell>
          <cell r="M59" t="str">
            <v/>
          </cell>
          <cell r="N59" t="str">
            <v/>
          </cell>
          <cell r="O59">
            <v>0</v>
          </cell>
          <cell r="P59">
            <v>0</v>
          </cell>
          <cell r="Q59" t="str">
            <v>-</v>
          </cell>
          <cell r="R59" t="str">
            <v/>
          </cell>
          <cell r="S59" t="str">
            <v/>
          </cell>
          <cell r="T59" t="str">
            <v/>
          </cell>
          <cell r="U59">
            <v>0</v>
          </cell>
          <cell r="V59">
            <v>0</v>
          </cell>
          <cell r="W59" t="str">
            <v>-</v>
          </cell>
          <cell r="X59" t="str">
            <v/>
          </cell>
          <cell r="Y59" t="str">
            <v/>
          </cell>
          <cell r="Z59" t="str">
            <v/>
          </cell>
          <cell r="AA59">
            <v>0</v>
          </cell>
          <cell r="AB59">
            <v>0</v>
          </cell>
          <cell r="AC59" t="str">
            <v>-</v>
          </cell>
          <cell r="AD59" t="str">
            <v/>
          </cell>
          <cell r="AE59" t="str">
            <v/>
          </cell>
          <cell r="AF59" t="str">
            <v/>
          </cell>
          <cell r="AG59">
            <v>0</v>
          </cell>
          <cell r="AH59">
            <v>0</v>
          </cell>
          <cell r="AI59" t="str">
            <v>-</v>
          </cell>
          <cell r="AJ59" t="str">
            <v/>
          </cell>
          <cell r="AK59" t="str">
            <v/>
          </cell>
          <cell r="AL59" t="str">
            <v/>
          </cell>
          <cell r="AM59">
            <v>0</v>
          </cell>
          <cell r="AN59">
            <v>0</v>
          </cell>
          <cell r="AO59" t="str">
            <v>-</v>
          </cell>
          <cell r="AP59" t="str">
            <v/>
          </cell>
          <cell r="AQ59" t="str">
            <v/>
          </cell>
          <cell r="AR59" t="str">
            <v/>
          </cell>
          <cell r="AS59">
            <v>0</v>
          </cell>
          <cell r="AT59">
            <v>0</v>
          </cell>
          <cell r="AU59" t="str">
            <v>-</v>
          </cell>
          <cell r="AV59" t="str">
            <v/>
          </cell>
          <cell r="AW59" t="str">
            <v/>
          </cell>
          <cell r="AX59" t="str">
            <v/>
          </cell>
          <cell r="AY59">
            <v>0</v>
          </cell>
          <cell r="AZ59">
            <v>0</v>
          </cell>
          <cell r="BA59" t="str">
            <v>-</v>
          </cell>
          <cell r="BB59" t="str">
            <v/>
          </cell>
          <cell r="BC59" t="str">
            <v/>
          </cell>
          <cell r="BD59" t="str">
            <v/>
          </cell>
          <cell r="BE59">
            <v>0</v>
          </cell>
          <cell r="BF59">
            <v>0</v>
          </cell>
          <cell r="BG59" t="str">
            <v>-</v>
          </cell>
          <cell r="BH59" t="str">
            <v/>
          </cell>
          <cell r="BI59" t="str">
            <v/>
          </cell>
          <cell r="BJ59" t="str">
            <v/>
          </cell>
          <cell r="BK59">
            <v>0</v>
          </cell>
          <cell r="BL59">
            <v>0</v>
          </cell>
          <cell r="BM59" t="str">
            <v>-</v>
          </cell>
          <cell r="BN59" t="str">
            <v/>
          </cell>
          <cell r="BO59" t="str">
            <v/>
          </cell>
          <cell r="BP59" t="str">
            <v/>
          </cell>
          <cell r="BQ59">
            <v>0</v>
          </cell>
          <cell r="BR59">
            <v>0</v>
          </cell>
          <cell r="BS59" t="str">
            <v>-</v>
          </cell>
          <cell r="BT59" t="str">
            <v/>
          </cell>
          <cell r="BU59" t="str">
            <v/>
          </cell>
          <cell r="BV59" t="str">
            <v/>
          </cell>
          <cell r="BW59">
            <v>0</v>
          </cell>
          <cell r="BX59">
            <v>0</v>
          </cell>
          <cell r="BY59" t="str">
            <v>-</v>
          </cell>
          <cell r="BZ59" t="str">
            <v/>
          </cell>
          <cell r="CA59" t="str">
            <v/>
          </cell>
          <cell r="CB59" t="str">
            <v/>
          </cell>
          <cell r="CC59">
            <v>0</v>
          </cell>
          <cell r="CD59">
            <v>0</v>
          </cell>
          <cell r="CE59" t="str">
            <v>-</v>
          </cell>
          <cell r="CF59" t="str">
            <v/>
          </cell>
          <cell r="CG59" t="str">
            <v/>
          </cell>
          <cell r="CH59" t="str">
            <v/>
          </cell>
          <cell r="CI59" t="str">
            <v/>
          </cell>
          <cell r="CJ59" t="str">
            <v/>
          </cell>
          <cell r="CK59" t="str">
            <v/>
          </cell>
          <cell r="CL59">
            <v>0</v>
          </cell>
          <cell r="CM59">
            <v>0</v>
          </cell>
          <cell r="CN59">
            <v>0</v>
          </cell>
          <cell r="CO59" t="str">
            <v>N.R</v>
          </cell>
          <cell r="CP59">
            <v>0</v>
          </cell>
          <cell r="CQ59">
            <v>41</v>
          </cell>
          <cell r="CR59">
            <v>87</v>
          </cell>
          <cell r="CS59" t="str">
            <v>NILL</v>
          </cell>
          <cell r="CT59">
            <v>0</v>
          </cell>
          <cell r="CU59">
            <v>35</v>
          </cell>
          <cell r="CV59">
            <v>74</v>
          </cell>
          <cell r="CW59" t="str">
            <v>NILL</v>
          </cell>
          <cell r="CX59">
            <v>0</v>
          </cell>
          <cell r="CY59">
            <v>59</v>
          </cell>
          <cell r="CZ59">
            <v>97</v>
          </cell>
          <cell r="DA59" t="str">
            <v>NILL</v>
          </cell>
          <cell r="DB59">
            <v>0</v>
          </cell>
          <cell r="DC59">
            <v>0</v>
          </cell>
          <cell r="DD59">
            <v>0</v>
          </cell>
          <cell r="DE59" t="str">
            <v>NILL</v>
          </cell>
          <cell r="DF59">
            <v>0</v>
          </cell>
          <cell r="DG59">
            <v>33</v>
          </cell>
          <cell r="DH59">
            <v>87</v>
          </cell>
          <cell r="DI59" t="str">
            <v>NILL</v>
          </cell>
          <cell r="DJ59">
            <v>0</v>
          </cell>
          <cell r="DK59">
            <v>29</v>
          </cell>
          <cell r="DL59">
            <v>88</v>
          </cell>
          <cell r="DM59" t="str">
            <v>NILL</v>
          </cell>
          <cell r="DN59">
            <v>0</v>
          </cell>
          <cell r="DO59">
            <v>35</v>
          </cell>
          <cell r="DP59">
            <v>92</v>
          </cell>
          <cell r="DQ59" t="str">
            <v>NILL</v>
          </cell>
          <cell r="DR59">
            <v>0</v>
          </cell>
          <cell r="DS59">
            <v>0</v>
          </cell>
          <cell r="DT59">
            <v>81</v>
          </cell>
          <cell r="DU59" t="str">
            <v>NILL</v>
          </cell>
          <cell r="DV59">
            <v>0</v>
          </cell>
          <cell r="DW59">
            <v>0</v>
          </cell>
          <cell r="DX59">
            <v>0</v>
          </cell>
          <cell r="DY59" t="str">
            <v>NILL</v>
          </cell>
          <cell r="DZ59">
            <v>0</v>
          </cell>
          <cell r="EA59">
            <v>0</v>
          </cell>
          <cell r="EB59">
            <v>86</v>
          </cell>
          <cell r="EC59" t="str">
            <v>NILL</v>
          </cell>
          <cell r="ED59">
            <v>0</v>
          </cell>
          <cell r="EE59">
            <v>0</v>
          </cell>
          <cell r="EF59">
            <v>49</v>
          </cell>
          <cell r="EG59" t="str">
            <v>NILL</v>
          </cell>
          <cell r="EH59">
            <v>0</v>
          </cell>
          <cell r="EI59">
            <v>0</v>
          </cell>
          <cell r="EJ59">
            <v>89</v>
          </cell>
          <cell r="EK59" t="str">
            <v>NILL</v>
          </cell>
          <cell r="EL59">
            <v>0</v>
          </cell>
          <cell r="EM59">
            <v>0</v>
          </cell>
          <cell r="EN59">
            <v>91</v>
          </cell>
          <cell r="EO59" t="str">
            <v>NILL</v>
          </cell>
          <cell r="EP59" t="str">
            <v/>
          </cell>
          <cell r="EQ59">
            <v>0</v>
          </cell>
          <cell r="ER59">
            <v>0</v>
          </cell>
          <cell r="ES59" t="e">
            <v>#VALUE!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 t="str">
            <v/>
          </cell>
          <cell r="G60" t="str">
            <v/>
          </cell>
          <cell r="H60" t="str">
            <v/>
          </cell>
          <cell r="I60">
            <v>0</v>
          </cell>
          <cell r="J60">
            <v>0</v>
          </cell>
          <cell r="K60" t="str">
            <v>-</v>
          </cell>
          <cell r="L60" t="str">
            <v/>
          </cell>
          <cell r="M60" t="str">
            <v/>
          </cell>
          <cell r="N60" t="str">
            <v/>
          </cell>
          <cell r="O60">
            <v>0</v>
          </cell>
          <cell r="P60">
            <v>0</v>
          </cell>
          <cell r="Q60" t="str">
            <v>-</v>
          </cell>
          <cell r="R60" t="str">
            <v/>
          </cell>
          <cell r="S60" t="str">
            <v/>
          </cell>
          <cell r="T60" t="str">
            <v/>
          </cell>
          <cell r="U60">
            <v>0</v>
          </cell>
          <cell r="V60">
            <v>0</v>
          </cell>
          <cell r="W60" t="str">
            <v>-</v>
          </cell>
          <cell r="X60" t="str">
            <v/>
          </cell>
          <cell r="Y60" t="str">
            <v/>
          </cell>
          <cell r="Z60" t="str">
            <v/>
          </cell>
          <cell r="AA60">
            <v>0</v>
          </cell>
          <cell r="AB60">
            <v>0</v>
          </cell>
          <cell r="AC60" t="str">
            <v>-</v>
          </cell>
          <cell r="AD60" t="str">
            <v/>
          </cell>
          <cell r="AE60" t="str">
            <v/>
          </cell>
          <cell r="AF60" t="str">
            <v/>
          </cell>
          <cell r="AG60">
            <v>0</v>
          </cell>
          <cell r="AH60">
            <v>0</v>
          </cell>
          <cell r="AI60" t="str">
            <v>-</v>
          </cell>
          <cell r="AJ60" t="str">
            <v/>
          </cell>
          <cell r="AK60" t="str">
            <v/>
          </cell>
          <cell r="AL60" t="str">
            <v/>
          </cell>
          <cell r="AM60">
            <v>0</v>
          </cell>
          <cell r="AN60">
            <v>0</v>
          </cell>
          <cell r="AO60" t="str">
            <v>-</v>
          </cell>
          <cell r="AP60" t="str">
            <v/>
          </cell>
          <cell r="AQ60" t="str">
            <v/>
          </cell>
          <cell r="AR60" t="str">
            <v/>
          </cell>
          <cell r="AS60">
            <v>0</v>
          </cell>
          <cell r="AT60">
            <v>0</v>
          </cell>
          <cell r="AU60" t="str">
            <v>-</v>
          </cell>
          <cell r="AV60" t="str">
            <v/>
          </cell>
          <cell r="AW60" t="str">
            <v/>
          </cell>
          <cell r="AX60" t="str">
            <v/>
          </cell>
          <cell r="AY60">
            <v>0</v>
          </cell>
          <cell r="AZ60">
            <v>0</v>
          </cell>
          <cell r="BA60" t="str">
            <v>-</v>
          </cell>
          <cell r="BB60" t="str">
            <v/>
          </cell>
          <cell r="BC60" t="str">
            <v/>
          </cell>
          <cell r="BD60" t="str">
            <v/>
          </cell>
          <cell r="BE60">
            <v>0</v>
          </cell>
          <cell r="BF60">
            <v>0</v>
          </cell>
          <cell r="BG60" t="str">
            <v>-</v>
          </cell>
          <cell r="BH60" t="str">
            <v/>
          </cell>
          <cell r="BI60" t="str">
            <v/>
          </cell>
          <cell r="BJ60" t="str">
            <v/>
          </cell>
          <cell r="BK60">
            <v>0</v>
          </cell>
          <cell r="BL60">
            <v>0</v>
          </cell>
          <cell r="BM60" t="str">
            <v>-</v>
          </cell>
          <cell r="BN60" t="str">
            <v/>
          </cell>
          <cell r="BO60" t="str">
            <v/>
          </cell>
          <cell r="BP60" t="str">
            <v/>
          </cell>
          <cell r="BQ60">
            <v>0</v>
          </cell>
          <cell r="BR60">
            <v>0</v>
          </cell>
          <cell r="BS60" t="str">
            <v>-</v>
          </cell>
          <cell r="BT60" t="str">
            <v/>
          </cell>
          <cell r="BU60" t="str">
            <v/>
          </cell>
          <cell r="BV60" t="str">
            <v/>
          </cell>
          <cell r="BW60">
            <v>0</v>
          </cell>
          <cell r="BX60">
            <v>0</v>
          </cell>
          <cell r="BY60" t="str">
            <v>-</v>
          </cell>
          <cell r="BZ60" t="str">
            <v/>
          </cell>
          <cell r="CA60" t="str">
            <v/>
          </cell>
          <cell r="CB60" t="str">
            <v/>
          </cell>
          <cell r="CC60">
            <v>0</v>
          </cell>
          <cell r="CD60">
            <v>0</v>
          </cell>
          <cell r="CE60" t="str">
            <v>-</v>
          </cell>
          <cell r="CF60" t="str">
            <v/>
          </cell>
          <cell r="CG60" t="str">
            <v/>
          </cell>
          <cell r="CH60" t="str">
            <v/>
          </cell>
          <cell r="CI60" t="str">
            <v/>
          </cell>
          <cell r="CJ60" t="str">
            <v/>
          </cell>
          <cell r="CK60" t="str">
            <v/>
          </cell>
          <cell r="CL60">
            <v>0</v>
          </cell>
          <cell r="CM60">
            <v>0</v>
          </cell>
          <cell r="CN60">
            <v>0</v>
          </cell>
          <cell r="CO60" t="str">
            <v>N.R</v>
          </cell>
          <cell r="CP60">
            <v>0</v>
          </cell>
          <cell r="CQ60">
            <v>41</v>
          </cell>
          <cell r="CR60">
            <v>87</v>
          </cell>
          <cell r="CS60" t="str">
            <v>NILL</v>
          </cell>
          <cell r="CT60">
            <v>0</v>
          </cell>
          <cell r="CU60">
            <v>35</v>
          </cell>
          <cell r="CV60">
            <v>74</v>
          </cell>
          <cell r="CW60" t="str">
            <v>NILL</v>
          </cell>
          <cell r="CX60">
            <v>0</v>
          </cell>
          <cell r="CY60">
            <v>59</v>
          </cell>
          <cell r="CZ60">
            <v>97</v>
          </cell>
          <cell r="DA60" t="str">
            <v>NILL</v>
          </cell>
          <cell r="DB60">
            <v>0</v>
          </cell>
          <cell r="DC60">
            <v>0</v>
          </cell>
          <cell r="DD60">
            <v>0</v>
          </cell>
          <cell r="DE60" t="str">
            <v>NILL</v>
          </cell>
          <cell r="DF60">
            <v>0</v>
          </cell>
          <cell r="DG60">
            <v>33</v>
          </cell>
          <cell r="DH60">
            <v>87</v>
          </cell>
          <cell r="DI60" t="str">
            <v>NILL</v>
          </cell>
          <cell r="DJ60">
            <v>0</v>
          </cell>
          <cell r="DK60">
            <v>29</v>
          </cell>
          <cell r="DL60">
            <v>88</v>
          </cell>
          <cell r="DM60" t="str">
            <v>NILL</v>
          </cell>
          <cell r="DN60">
            <v>0</v>
          </cell>
          <cell r="DO60">
            <v>35</v>
          </cell>
          <cell r="DP60">
            <v>92</v>
          </cell>
          <cell r="DQ60" t="str">
            <v>NILL</v>
          </cell>
          <cell r="DR60">
            <v>0</v>
          </cell>
          <cell r="DS60">
            <v>0</v>
          </cell>
          <cell r="DT60">
            <v>81</v>
          </cell>
          <cell r="DU60" t="str">
            <v>NILL</v>
          </cell>
          <cell r="DV60">
            <v>0</v>
          </cell>
          <cell r="DW60">
            <v>0</v>
          </cell>
          <cell r="DX60">
            <v>0</v>
          </cell>
          <cell r="DY60" t="str">
            <v>NILL</v>
          </cell>
          <cell r="DZ60">
            <v>0</v>
          </cell>
          <cell r="EA60">
            <v>0</v>
          </cell>
          <cell r="EB60">
            <v>86</v>
          </cell>
          <cell r="EC60" t="str">
            <v>NILL</v>
          </cell>
          <cell r="ED60">
            <v>0</v>
          </cell>
          <cell r="EE60">
            <v>0</v>
          </cell>
          <cell r="EF60">
            <v>50</v>
          </cell>
          <cell r="EG60" t="str">
            <v>NILL</v>
          </cell>
          <cell r="EH60">
            <v>0</v>
          </cell>
          <cell r="EI60">
            <v>0</v>
          </cell>
          <cell r="EJ60">
            <v>89</v>
          </cell>
          <cell r="EK60" t="str">
            <v>NILL</v>
          </cell>
          <cell r="EL60">
            <v>0</v>
          </cell>
          <cell r="EM60">
            <v>0</v>
          </cell>
          <cell r="EN60">
            <v>91</v>
          </cell>
          <cell r="EO60" t="str">
            <v>NILL</v>
          </cell>
          <cell r="EP60" t="str">
            <v/>
          </cell>
          <cell r="EQ60">
            <v>0</v>
          </cell>
          <cell r="ER60">
            <v>0</v>
          </cell>
          <cell r="ES60" t="e">
            <v>#VALUE!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 t="str">
            <v/>
          </cell>
          <cell r="G61" t="str">
            <v/>
          </cell>
          <cell r="H61" t="str">
            <v/>
          </cell>
          <cell r="I61">
            <v>0</v>
          </cell>
          <cell r="J61">
            <v>0</v>
          </cell>
          <cell r="K61" t="str">
            <v>-</v>
          </cell>
          <cell r="L61" t="str">
            <v/>
          </cell>
          <cell r="M61" t="str">
            <v/>
          </cell>
          <cell r="N61" t="str">
            <v/>
          </cell>
          <cell r="O61">
            <v>0</v>
          </cell>
          <cell r="P61">
            <v>0</v>
          </cell>
          <cell r="Q61" t="str">
            <v>-</v>
          </cell>
          <cell r="R61" t="str">
            <v/>
          </cell>
          <cell r="S61" t="str">
            <v/>
          </cell>
          <cell r="T61" t="str">
            <v/>
          </cell>
          <cell r="U61">
            <v>0</v>
          </cell>
          <cell r="V61">
            <v>0</v>
          </cell>
          <cell r="W61" t="str">
            <v>-</v>
          </cell>
          <cell r="X61" t="str">
            <v/>
          </cell>
          <cell r="Y61" t="str">
            <v/>
          </cell>
          <cell r="Z61" t="str">
            <v/>
          </cell>
          <cell r="AA61">
            <v>0</v>
          </cell>
          <cell r="AB61">
            <v>0</v>
          </cell>
          <cell r="AC61" t="str">
            <v>-</v>
          </cell>
          <cell r="AD61" t="str">
            <v/>
          </cell>
          <cell r="AE61" t="str">
            <v/>
          </cell>
          <cell r="AF61" t="str">
            <v/>
          </cell>
          <cell r="AG61">
            <v>0</v>
          </cell>
          <cell r="AH61">
            <v>0</v>
          </cell>
          <cell r="AI61" t="str">
            <v>-</v>
          </cell>
          <cell r="AJ61" t="str">
            <v/>
          </cell>
          <cell r="AK61" t="str">
            <v/>
          </cell>
          <cell r="AL61" t="str">
            <v/>
          </cell>
          <cell r="AM61">
            <v>0</v>
          </cell>
          <cell r="AN61">
            <v>0</v>
          </cell>
          <cell r="AO61" t="str">
            <v>-</v>
          </cell>
          <cell r="AP61" t="str">
            <v/>
          </cell>
          <cell r="AQ61" t="str">
            <v/>
          </cell>
          <cell r="AR61" t="str">
            <v/>
          </cell>
          <cell r="AS61">
            <v>0</v>
          </cell>
          <cell r="AT61">
            <v>0</v>
          </cell>
          <cell r="AU61" t="str">
            <v>-</v>
          </cell>
          <cell r="AV61" t="str">
            <v/>
          </cell>
          <cell r="AW61" t="str">
            <v/>
          </cell>
          <cell r="AX61" t="str">
            <v/>
          </cell>
          <cell r="AY61">
            <v>0</v>
          </cell>
          <cell r="AZ61">
            <v>0</v>
          </cell>
          <cell r="BA61" t="str">
            <v>-</v>
          </cell>
          <cell r="BB61" t="str">
            <v/>
          </cell>
          <cell r="BC61" t="str">
            <v/>
          </cell>
          <cell r="BD61" t="str">
            <v/>
          </cell>
          <cell r="BE61">
            <v>0</v>
          </cell>
          <cell r="BF61">
            <v>0</v>
          </cell>
          <cell r="BG61" t="str">
            <v>-</v>
          </cell>
          <cell r="BH61" t="str">
            <v/>
          </cell>
          <cell r="BI61" t="str">
            <v/>
          </cell>
          <cell r="BJ61" t="str">
            <v/>
          </cell>
          <cell r="BK61">
            <v>0</v>
          </cell>
          <cell r="BL61">
            <v>0</v>
          </cell>
          <cell r="BM61" t="str">
            <v>-</v>
          </cell>
          <cell r="BN61" t="str">
            <v/>
          </cell>
          <cell r="BO61" t="str">
            <v/>
          </cell>
          <cell r="BP61" t="str">
            <v/>
          </cell>
          <cell r="BQ61">
            <v>0</v>
          </cell>
          <cell r="BR61">
            <v>0</v>
          </cell>
          <cell r="BS61" t="str">
            <v>-</v>
          </cell>
          <cell r="BT61" t="str">
            <v/>
          </cell>
          <cell r="BU61" t="str">
            <v/>
          </cell>
          <cell r="BV61" t="str">
            <v/>
          </cell>
          <cell r="BW61">
            <v>0</v>
          </cell>
          <cell r="BX61">
            <v>0</v>
          </cell>
          <cell r="BY61" t="str">
            <v>-</v>
          </cell>
          <cell r="BZ61" t="str">
            <v/>
          </cell>
          <cell r="CA61" t="str">
            <v/>
          </cell>
          <cell r="CB61" t="str">
            <v/>
          </cell>
          <cell r="CC61">
            <v>0</v>
          </cell>
          <cell r="CD61">
            <v>0</v>
          </cell>
          <cell r="CE61" t="str">
            <v>-</v>
          </cell>
          <cell r="CF61" t="str">
            <v/>
          </cell>
          <cell r="CG61" t="str">
            <v/>
          </cell>
          <cell r="CH61" t="str">
            <v/>
          </cell>
          <cell r="CI61" t="str">
            <v/>
          </cell>
          <cell r="CJ61" t="str">
            <v/>
          </cell>
          <cell r="CK61" t="str">
            <v/>
          </cell>
          <cell r="CL61">
            <v>0</v>
          </cell>
          <cell r="CM61">
            <v>0</v>
          </cell>
          <cell r="CN61">
            <v>0</v>
          </cell>
          <cell r="CO61" t="str">
            <v>N.R</v>
          </cell>
          <cell r="CP61">
            <v>0</v>
          </cell>
          <cell r="CQ61">
            <v>41</v>
          </cell>
          <cell r="CR61">
            <v>87</v>
          </cell>
          <cell r="CS61" t="str">
            <v>NILL</v>
          </cell>
          <cell r="CT61">
            <v>0</v>
          </cell>
          <cell r="CU61">
            <v>35</v>
          </cell>
          <cell r="CV61">
            <v>74</v>
          </cell>
          <cell r="CW61" t="str">
            <v>NILL</v>
          </cell>
          <cell r="CX61">
            <v>0</v>
          </cell>
          <cell r="CY61">
            <v>59</v>
          </cell>
          <cell r="CZ61">
            <v>97</v>
          </cell>
          <cell r="DA61" t="str">
            <v>NILL</v>
          </cell>
          <cell r="DB61">
            <v>0</v>
          </cell>
          <cell r="DC61">
            <v>0</v>
          </cell>
          <cell r="DD61">
            <v>0</v>
          </cell>
          <cell r="DE61" t="str">
            <v>NILL</v>
          </cell>
          <cell r="DF61">
            <v>0</v>
          </cell>
          <cell r="DG61">
            <v>33</v>
          </cell>
          <cell r="DH61">
            <v>87</v>
          </cell>
          <cell r="DI61" t="str">
            <v>NILL</v>
          </cell>
          <cell r="DJ61">
            <v>0</v>
          </cell>
          <cell r="DK61">
            <v>29</v>
          </cell>
          <cell r="DL61">
            <v>88</v>
          </cell>
          <cell r="DM61" t="str">
            <v>NILL</v>
          </cell>
          <cell r="DN61">
            <v>0</v>
          </cell>
          <cell r="DO61">
            <v>35</v>
          </cell>
          <cell r="DP61">
            <v>92</v>
          </cell>
          <cell r="DQ61" t="str">
            <v>NILL</v>
          </cell>
          <cell r="DR61">
            <v>0</v>
          </cell>
          <cell r="DS61">
            <v>0</v>
          </cell>
          <cell r="DT61">
            <v>81</v>
          </cell>
          <cell r="DU61" t="str">
            <v>NILL</v>
          </cell>
          <cell r="DV61">
            <v>0</v>
          </cell>
          <cell r="DW61">
            <v>0</v>
          </cell>
          <cell r="DX61">
            <v>0</v>
          </cell>
          <cell r="DY61" t="str">
            <v>NILL</v>
          </cell>
          <cell r="DZ61">
            <v>0</v>
          </cell>
          <cell r="EA61">
            <v>0</v>
          </cell>
          <cell r="EB61">
            <v>86</v>
          </cell>
          <cell r="EC61" t="str">
            <v>NILL</v>
          </cell>
          <cell r="ED61">
            <v>0</v>
          </cell>
          <cell r="EE61">
            <v>0</v>
          </cell>
          <cell r="EF61">
            <v>51</v>
          </cell>
          <cell r="EG61" t="str">
            <v>NILL</v>
          </cell>
          <cell r="EH61">
            <v>0</v>
          </cell>
          <cell r="EI61">
            <v>0</v>
          </cell>
          <cell r="EJ61">
            <v>89</v>
          </cell>
          <cell r="EK61" t="str">
            <v>NILL</v>
          </cell>
          <cell r="EL61">
            <v>0</v>
          </cell>
          <cell r="EM61">
            <v>0</v>
          </cell>
          <cell r="EN61">
            <v>91</v>
          </cell>
          <cell r="EO61" t="str">
            <v>NILL</v>
          </cell>
          <cell r="EP61" t="str">
            <v/>
          </cell>
          <cell r="EQ61">
            <v>0</v>
          </cell>
          <cell r="ER61">
            <v>0</v>
          </cell>
          <cell r="ES61" t="e">
            <v>#VALUE!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 t="str">
            <v/>
          </cell>
          <cell r="G62" t="str">
            <v/>
          </cell>
          <cell r="H62" t="str">
            <v/>
          </cell>
          <cell r="I62">
            <v>0</v>
          </cell>
          <cell r="J62">
            <v>0</v>
          </cell>
          <cell r="K62" t="str">
            <v>-</v>
          </cell>
          <cell r="L62" t="str">
            <v/>
          </cell>
          <cell r="M62" t="str">
            <v/>
          </cell>
          <cell r="N62" t="str">
            <v/>
          </cell>
          <cell r="O62">
            <v>0</v>
          </cell>
          <cell r="P62">
            <v>0</v>
          </cell>
          <cell r="Q62" t="str">
            <v>-</v>
          </cell>
          <cell r="R62" t="str">
            <v/>
          </cell>
          <cell r="S62" t="str">
            <v/>
          </cell>
          <cell r="T62" t="str">
            <v/>
          </cell>
          <cell r="U62">
            <v>0</v>
          </cell>
          <cell r="V62">
            <v>0</v>
          </cell>
          <cell r="W62" t="str">
            <v>-</v>
          </cell>
          <cell r="X62" t="str">
            <v/>
          </cell>
          <cell r="Y62" t="str">
            <v/>
          </cell>
          <cell r="Z62" t="str">
            <v/>
          </cell>
          <cell r="AA62">
            <v>0</v>
          </cell>
          <cell r="AB62">
            <v>0</v>
          </cell>
          <cell r="AC62" t="str">
            <v>-</v>
          </cell>
          <cell r="AD62" t="str">
            <v/>
          </cell>
          <cell r="AE62" t="str">
            <v/>
          </cell>
          <cell r="AF62" t="str">
            <v/>
          </cell>
          <cell r="AG62">
            <v>0</v>
          </cell>
          <cell r="AH62">
            <v>0</v>
          </cell>
          <cell r="AI62" t="str">
            <v>-</v>
          </cell>
          <cell r="AJ62" t="str">
            <v/>
          </cell>
          <cell r="AK62" t="str">
            <v/>
          </cell>
          <cell r="AL62" t="str">
            <v/>
          </cell>
          <cell r="AM62">
            <v>0</v>
          </cell>
          <cell r="AN62">
            <v>0</v>
          </cell>
          <cell r="AO62" t="str">
            <v>-</v>
          </cell>
          <cell r="AP62" t="str">
            <v/>
          </cell>
          <cell r="AQ62" t="str">
            <v/>
          </cell>
          <cell r="AR62" t="str">
            <v/>
          </cell>
          <cell r="AS62">
            <v>0</v>
          </cell>
          <cell r="AT62">
            <v>0</v>
          </cell>
          <cell r="AU62" t="str">
            <v>-</v>
          </cell>
          <cell r="AV62" t="str">
            <v/>
          </cell>
          <cell r="AW62" t="str">
            <v/>
          </cell>
          <cell r="AX62" t="str">
            <v/>
          </cell>
          <cell r="AY62">
            <v>0</v>
          </cell>
          <cell r="AZ62">
            <v>0</v>
          </cell>
          <cell r="BA62" t="str">
            <v>-</v>
          </cell>
          <cell r="BB62" t="str">
            <v/>
          </cell>
          <cell r="BC62" t="str">
            <v/>
          </cell>
          <cell r="BD62" t="str">
            <v/>
          </cell>
          <cell r="BE62">
            <v>0</v>
          </cell>
          <cell r="BF62">
            <v>0</v>
          </cell>
          <cell r="BG62" t="str">
            <v>-</v>
          </cell>
          <cell r="BH62" t="str">
            <v/>
          </cell>
          <cell r="BI62" t="str">
            <v/>
          </cell>
          <cell r="BJ62" t="str">
            <v/>
          </cell>
          <cell r="BK62">
            <v>0</v>
          </cell>
          <cell r="BL62">
            <v>0</v>
          </cell>
          <cell r="BM62" t="str">
            <v>-</v>
          </cell>
          <cell r="BN62" t="str">
            <v/>
          </cell>
          <cell r="BO62" t="str">
            <v/>
          </cell>
          <cell r="BP62" t="str">
            <v/>
          </cell>
          <cell r="BQ62">
            <v>0</v>
          </cell>
          <cell r="BR62">
            <v>0</v>
          </cell>
          <cell r="BS62" t="str">
            <v>-</v>
          </cell>
          <cell r="BT62" t="str">
            <v/>
          </cell>
          <cell r="BU62" t="str">
            <v/>
          </cell>
          <cell r="BV62" t="str">
            <v/>
          </cell>
          <cell r="BW62">
            <v>0</v>
          </cell>
          <cell r="BX62">
            <v>0</v>
          </cell>
          <cell r="BY62" t="str">
            <v>-</v>
          </cell>
          <cell r="BZ62" t="str">
            <v/>
          </cell>
          <cell r="CA62" t="str">
            <v/>
          </cell>
          <cell r="CB62" t="str">
            <v/>
          </cell>
          <cell r="CC62">
            <v>0</v>
          </cell>
          <cell r="CD62">
            <v>0</v>
          </cell>
          <cell r="CE62" t="str">
            <v>-</v>
          </cell>
          <cell r="CF62" t="str">
            <v/>
          </cell>
          <cell r="CG62" t="str">
            <v/>
          </cell>
          <cell r="CH62" t="str">
            <v/>
          </cell>
          <cell r="CI62" t="str">
            <v/>
          </cell>
          <cell r="CJ62" t="str">
            <v/>
          </cell>
          <cell r="CK62" t="str">
            <v/>
          </cell>
          <cell r="CL62">
            <v>0</v>
          </cell>
          <cell r="CM62">
            <v>0</v>
          </cell>
          <cell r="CN62">
            <v>0</v>
          </cell>
          <cell r="CO62" t="str">
            <v>N.R</v>
          </cell>
          <cell r="CP62">
            <v>0</v>
          </cell>
          <cell r="CQ62">
            <v>41</v>
          </cell>
          <cell r="CR62">
            <v>87</v>
          </cell>
          <cell r="CS62" t="str">
            <v>NILL</v>
          </cell>
          <cell r="CT62">
            <v>0</v>
          </cell>
          <cell r="CU62">
            <v>35</v>
          </cell>
          <cell r="CV62">
            <v>74</v>
          </cell>
          <cell r="CW62" t="str">
            <v>NILL</v>
          </cell>
          <cell r="CX62">
            <v>0</v>
          </cell>
          <cell r="CY62">
            <v>59</v>
          </cell>
          <cell r="CZ62">
            <v>97</v>
          </cell>
          <cell r="DA62" t="str">
            <v>NILL</v>
          </cell>
          <cell r="DB62">
            <v>0</v>
          </cell>
          <cell r="DC62">
            <v>0</v>
          </cell>
          <cell r="DD62">
            <v>0</v>
          </cell>
          <cell r="DE62" t="str">
            <v>NILL</v>
          </cell>
          <cell r="DF62">
            <v>0</v>
          </cell>
          <cell r="DG62">
            <v>33</v>
          </cell>
          <cell r="DH62">
            <v>87</v>
          </cell>
          <cell r="DI62" t="str">
            <v>NILL</v>
          </cell>
          <cell r="DJ62">
            <v>0</v>
          </cell>
          <cell r="DK62">
            <v>29</v>
          </cell>
          <cell r="DL62">
            <v>88</v>
          </cell>
          <cell r="DM62" t="str">
            <v>NILL</v>
          </cell>
          <cell r="DN62">
            <v>0</v>
          </cell>
          <cell r="DO62">
            <v>35</v>
          </cell>
          <cell r="DP62">
            <v>92</v>
          </cell>
          <cell r="DQ62" t="str">
            <v>NILL</v>
          </cell>
          <cell r="DR62">
            <v>0</v>
          </cell>
          <cell r="DS62">
            <v>0</v>
          </cell>
          <cell r="DT62">
            <v>81</v>
          </cell>
          <cell r="DU62" t="str">
            <v>NILL</v>
          </cell>
          <cell r="DV62">
            <v>0</v>
          </cell>
          <cell r="DW62">
            <v>0</v>
          </cell>
          <cell r="DX62">
            <v>0</v>
          </cell>
          <cell r="DY62" t="str">
            <v>NILL</v>
          </cell>
          <cell r="DZ62">
            <v>0</v>
          </cell>
          <cell r="EA62">
            <v>0</v>
          </cell>
          <cell r="EB62">
            <v>86</v>
          </cell>
          <cell r="EC62" t="str">
            <v>NILL</v>
          </cell>
          <cell r="ED62">
            <v>0</v>
          </cell>
          <cell r="EE62">
            <v>0</v>
          </cell>
          <cell r="EF62">
            <v>52</v>
          </cell>
          <cell r="EG62" t="str">
            <v>NILL</v>
          </cell>
          <cell r="EH62">
            <v>0</v>
          </cell>
          <cell r="EI62">
            <v>0</v>
          </cell>
          <cell r="EJ62">
            <v>89</v>
          </cell>
          <cell r="EK62" t="str">
            <v>NILL</v>
          </cell>
          <cell r="EL62">
            <v>0</v>
          </cell>
          <cell r="EM62">
            <v>0</v>
          </cell>
          <cell r="EN62">
            <v>91</v>
          </cell>
          <cell r="EO62" t="str">
            <v>NILL</v>
          </cell>
          <cell r="EP62" t="str">
            <v/>
          </cell>
          <cell r="EQ62">
            <v>0</v>
          </cell>
          <cell r="ER62">
            <v>0</v>
          </cell>
          <cell r="ES62" t="e">
            <v>#VALUE!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 t="str">
            <v/>
          </cell>
          <cell r="G63" t="str">
            <v/>
          </cell>
          <cell r="H63" t="str">
            <v/>
          </cell>
          <cell r="I63">
            <v>0</v>
          </cell>
          <cell r="J63">
            <v>0</v>
          </cell>
          <cell r="K63" t="str">
            <v>-</v>
          </cell>
          <cell r="L63" t="str">
            <v/>
          </cell>
          <cell r="M63" t="str">
            <v/>
          </cell>
          <cell r="N63" t="str">
            <v/>
          </cell>
          <cell r="O63">
            <v>0</v>
          </cell>
          <cell r="P63">
            <v>0</v>
          </cell>
          <cell r="Q63" t="str">
            <v>-</v>
          </cell>
          <cell r="R63" t="str">
            <v/>
          </cell>
          <cell r="S63" t="str">
            <v/>
          </cell>
          <cell r="T63" t="str">
            <v/>
          </cell>
          <cell r="U63">
            <v>0</v>
          </cell>
          <cell r="V63">
            <v>0</v>
          </cell>
          <cell r="W63" t="str">
            <v>-</v>
          </cell>
          <cell r="X63" t="str">
            <v/>
          </cell>
          <cell r="Y63" t="str">
            <v/>
          </cell>
          <cell r="Z63" t="str">
            <v/>
          </cell>
          <cell r="AA63">
            <v>0</v>
          </cell>
          <cell r="AB63">
            <v>0</v>
          </cell>
          <cell r="AC63" t="str">
            <v>-</v>
          </cell>
          <cell r="AD63" t="str">
            <v/>
          </cell>
          <cell r="AE63" t="str">
            <v/>
          </cell>
          <cell r="AF63" t="str">
            <v/>
          </cell>
          <cell r="AG63">
            <v>0</v>
          </cell>
          <cell r="AH63">
            <v>0</v>
          </cell>
          <cell r="AI63" t="str">
            <v>-</v>
          </cell>
          <cell r="AJ63" t="str">
            <v/>
          </cell>
          <cell r="AK63" t="str">
            <v/>
          </cell>
          <cell r="AL63" t="str">
            <v/>
          </cell>
          <cell r="AM63">
            <v>0</v>
          </cell>
          <cell r="AN63">
            <v>0</v>
          </cell>
          <cell r="AO63" t="str">
            <v>-</v>
          </cell>
          <cell r="AP63" t="str">
            <v/>
          </cell>
          <cell r="AQ63" t="str">
            <v/>
          </cell>
          <cell r="AR63" t="str">
            <v/>
          </cell>
          <cell r="AS63">
            <v>0</v>
          </cell>
          <cell r="AT63">
            <v>0</v>
          </cell>
          <cell r="AU63" t="str">
            <v>-</v>
          </cell>
          <cell r="AV63" t="str">
            <v/>
          </cell>
          <cell r="AW63" t="str">
            <v/>
          </cell>
          <cell r="AX63" t="str">
            <v/>
          </cell>
          <cell r="AY63">
            <v>0</v>
          </cell>
          <cell r="AZ63">
            <v>0</v>
          </cell>
          <cell r="BA63" t="str">
            <v>-</v>
          </cell>
          <cell r="BB63" t="str">
            <v/>
          </cell>
          <cell r="BC63" t="str">
            <v/>
          </cell>
          <cell r="BD63" t="str">
            <v/>
          </cell>
          <cell r="BE63">
            <v>0</v>
          </cell>
          <cell r="BF63">
            <v>0</v>
          </cell>
          <cell r="BG63" t="str">
            <v>-</v>
          </cell>
          <cell r="BH63" t="str">
            <v/>
          </cell>
          <cell r="BI63" t="str">
            <v/>
          </cell>
          <cell r="BJ63" t="str">
            <v/>
          </cell>
          <cell r="BK63">
            <v>0</v>
          </cell>
          <cell r="BL63">
            <v>0</v>
          </cell>
          <cell r="BM63" t="str">
            <v>-</v>
          </cell>
          <cell r="BN63" t="str">
            <v/>
          </cell>
          <cell r="BO63" t="str">
            <v/>
          </cell>
          <cell r="BP63" t="str">
            <v/>
          </cell>
          <cell r="BQ63">
            <v>0</v>
          </cell>
          <cell r="BR63">
            <v>0</v>
          </cell>
          <cell r="BS63" t="str">
            <v>-</v>
          </cell>
          <cell r="BT63" t="str">
            <v/>
          </cell>
          <cell r="BU63" t="str">
            <v/>
          </cell>
          <cell r="BV63" t="str">
            <v/>
          </cell>
          <cell r="BW63">
            <v>0</v>
          </cell>
          <cell r="BX63">
            <v>0</v>
          </cell>
          <cell r="BY63" t="str">
            <v>-</v>
          </cell>
          <cell r="BZ63" t="str">
            <v/>
          </cell>
          <cell r="CA63" t="str">
            <v/>
          </cell>
          <cell r="CB63" t="str">
            <v/>
          </cell>
          <cell r="CC63">
            <v>0</v>
          </cell>
          <cell r="CD63">
            <v>0</v>
          </cell>
          <cell r="CE63" t="str">
            <v>-</v>
          </cell>
          <cell r="CF63" t="str">
            <v/>
          </cell>
          <cell r="CG63" t="str">
            <v/>
          </cell>
          <cell r="CH63" t="str">
            <v/>
          </cell>
          <cell r="CI63" t="str">
            <v/>
          </cell>
          <cell r="CJ63" t="str">
            <v/>
          </cell>
          <cell r="CK63" t="str">
            <v/>
          </cell>
          <cell r="CL63">
            <v>0</v>
          </cell>
          <cell r="CM63">
            <v>0</v>
          </cell>
          <cell r="CN63">
            <v>0</v>
          </cell>
          <cell r="CO63" t="str">
            <v>N.R</v>
          </cell>
          <cell r="CP63">
            <v>0</v>
          </cell>
          <cell r="CQ63">
            <v>41</v>
          </cell>
          <cell r="CR63">
            <v>87</v>
          </cell>
          <cell r="CS63" t="str">
            <v>NILL</v>
          </cell>
          <cell r="CT63">
            <v>0</v>
          </cell>
          <cell r="CU63">
            <v>35</v>
          </cell>
          <cell r="CV63">
            <v>74</v>
          </cell>
          <cell r="CW63" t="str">
            <v>NILL</v>
          </cell>
          <cell r="CX63">
            <v>0</v>
          </cell>
          <cell r="CY63">
            <v>59</v>
          </cell>
          <cell r="CZ63">
            <v>97</v>
          </cell>
          <cell r="DA63" t="str">
            <v>NILL</v>
          </cell>
          <cell r="DB63">
            <v>0</v>
          </cell>
          <cell r="DC63">
            <v>0</v>
          </cell>
          <cell r="DD63">
            <v>0</v>
          </cell>
          <cell r="DE63" t="str">
            <v>NILL</v>
          </cell>
          <cell r="DF63">
            <v>0</v>
          </cell>
          <cell r="DG63">
            <v>33</v>
          </cell>
          <cell r="DH63">
            <v>87</v>
          </cell>
          <cell r="DI63" t="str">
            <v>NILL</v>
          </cell>
          <cell r="DJ63">
            <v>0</v>
          </cell>
          <cell r="DK63">
            <v>29</v>
          </cell>
          <cell r="DL63">
            <v>88</v>
          </cell>
          <cell r="DM63" t="str">
            <v>NILL</v>
          </cell>
          <cell r="DN63">
            <v>0</v>
          </cell>
          <cell r="DO63">
            <v>35</v>
          </cell>
          <cell r="DP63">
            <v>92</v>
          </cell>
          <cell r="DQ63" t="str">
            <v>NILL</v>
          </cell>
          <cell r="DR63">
            <v>0</v>
          </cell>
          <cell r="DS63">
            <v>0</v>
          </cell>
          <cell r="DT63">
            <v>81</v>
          </cell>
          <cell r="DU63" t="str">
            <v>NILL</v>
          </cell>
          <cell r="DV63">
            <v>0</v>
          </cell>
          <cell r="DW63">
            <v>0</v>
          </cell>
          <cell r="DX63">
            <v>0</v>
          </cell>
          <cell r="DY63" t="str">
            <v>NILL</v>
          </cell>
          <cell r="DZ63">
            <v>0</v>
          </cell>
          <cell r="EA63">
            <v>0</v>
          </cell>
          <cell r="EB63">
            <v>86</v>
          </cell>
          <cell r="EC63" t="str">
            <v>NILL</v>
          </cell>
          <cell r="ED63">
            <v>0</v>
          </cell>
          <cell r="EE63">
            <v>0</v>
          </cell>
          <cell r="EF63">
            <v>53</v>
          </cell>
          <cell r="EG63" t="str">
            <v>NILL</v>
          </cell>
          <cell r="EH63">
            <v>0</v>
          </cell>
          <cell r="EI63">
            <v>0</v>
          </cell>
          <cell r="EJ63">
            <v>89</v>
          </cell>
          <cell r="EK63" t="str">
            <v>NILL</v>
          </cell>
          <cell r="EL63">
            <v>0</v>
          </cell>
          <cell r="EM63">
            <v>0</v>
          </cell>
          <cell r="EN63">
            <v>91</v>
          </cell>
          <cell r="EO63" t="str">
            <v>NILL</v>
          </cell>
          <cell r="EP63" t="str">
            <v/>
          </cell>
          <cell r="EQ63">
            <v>0</v>
          </cell>
          <cell r="ER63">
            <v>0</v>
          </cell>
          <cell r="ES63" t="e">
            <v>#VALUE!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 t="str">
            <v/>
          </cell>
          <cell r="G64" t="str">
            <v/>
          </cell>
          <cell r="H64" t="str">
            <v/>
          </cell>
          <cell r="I64">
            <v>0</v>
          </cell>
          <cell r="J64">
            <v>0</v>
          </cell>
          <cell r="K64" t="str">
            <v>-</v>
          </cell>
          <cell r="L64" t="str">
            <v/>
          </cell>
          <cell r="M64" t="str">
            <v/>
          </cell>
          <cell r="N64" t="str">
            <v/>
          </cell>
          <cell r="O64">
            <v>0</v>
          </cell>
          <cell r="P64">
            <v>0</v>
          </cell>
          <cell r="Q64" t="str">
            <v>-</v>
          </cell>
          <cell r="R64" t="str">
            <v/>
          </cell>
          <cell r="S64" t="str">
            <v/>
          </cell>
          <cell r="T64" t="str">
            <v/>
          </cell>
          <cell r="U64">
            <v>0</v>
          </cell>
          <cell r="V64">
            <v>0</v>
          </cell>
          <cell r="W64" t="str">
            <v>-</v>
          </cell>
          <cell r="X64" t="str">
            <v/>
          </cell>
          <cell r="Y64" t="str">
            <v/>
          </cell>
          <cell r="Z64" t="str">
            <v/>
          </cell>
          <cell r="AA64">
            <v>0</v>
          </cell>
          <cell r="AB64">
            <v>0</v>
          </cell>
          <cell r="AC64" t="str">
            <v>-</v>
          </cell>
          <cell r="AD64" t="str">
            <v/>
          </cell>
          <cell r="AE64" t="str">
            <v/>
          </cell>
          <cell r="AF64" t="str">
            <v/>
          </cell>
          <cell r="AG64">
            <v>0</v>
          </cell>
          <cell r="AH64">
            <v>0</v>
          </cell>
          <cell r="AI64" t="str">
            <v>-</v>
          </cell>
          <cell r="AJ64" t="str">
            <v/>
          </cell>
          <cell r="AK64" t="str">
            <v/>
          </cell>
          <cell r="AL64" t="str">
            <v/>
          </cell>
          <cell r="AM64">
            <v>0</v>
          </cell>
          <cell r="AN64">
            <v>0</v>
          </cell>
          <cell r="AO64" t="str">
            <v>-</v>
          </cell>
          <cell r="AP64" t="str">
            <v/>
          </cell>
          <cell r="AQ64" t="str">
            <v/>
          </cell>
          <cell r="AR64" t="str">
            <v/>
          </cell>
          <cell r="AS64">
            <v>0</v>
          </cell>
          <cell r="AT64">
            <v>0</v>
          </cell>
          <cell r="AU64" t="str">
            <v>-</v>
          </cell>
          <cell r="AV64" t="str">
            <v/>
          </cell>
          <cell r="AW64" t="str">
            <v/>
          </cell>
          <cell r="AX64" t="str">
            <v/>
          </cell>
          <cell r="AY64">
            <v>0</v>
          </cell>
          <cell r="AZ64">
            <v>0</v>
          </cell>
          <cell r="BA64" t="str">
            <v>-</v>
          </cell>
          <cell r="BB64" t="str">
            <v/>
          </cell>
          <cell r="BC64" t="str">
            <v/>
          </cell>
          <cell r="BD64" t="str">
            <v/>
          </cell>
          <cell r="BE64">
            <v>0</v>
          </cell>
          <cell r="BF64">
            <v>0</v>
          </cell>
          <cell r="BG64" t="str">
            <v>-</v>
          </cell>
          <cell r="BH64" t="str">
            <v/>
          </cell>
          <cell r="BI64" t="str">
            <v/>
          </cell>
          <cell r="BJ64" t="str">
            <v/>
          </cell>
          <cell r="BK64">
            <v>0</v>
          </cell>
          <cell r="BL64">
            <v>0</v>
          </cell>
          <cell r="BM64" t="str">
            <v>-</v>
          </cell>
          <cell r="BN64" t="str">
            <v/>
          </cell>
          <cell r="BO64" t="str">
            <v/>
          </cell>
          <cell r="BP64" t="str">
            <v/>
          </cell>
          <cell r="BQ64">
            <v>0</v>
          </cell>
          <cell r="BR64">
            <v>0</v>
          </cell>
          <cell r="BS64" t="str">
            <v>-</v>
          </cell>
          <cell r="BT64" t="str">
            <v/>
          </cell>
          <cell r="BU64" t="str">
            <v/>
          </cell>
          <cell r="BV64" t="str">
            <v/>
          </cell>
          <cell r="BW64">
            <v>0</v>
          </cell>
          <cell r="BX64">
            <v>0</v>
          </cell>
          <cell r="BY64" t="str">
            <v>-</v>
          </cell>
          <cell r="BZ64" t="str">
            <v/>
          </cell>
          <cell r="CA64" t="str">
            <v/>
          </cell>
          <cell r="CB64" t="str">
            <v/>
          </cell>
          <cell r="CC64">
            <v>0</v>
          </cell>
          <cell r="CD64">
            <v>0</v>
          </cell>
          <cell r="CE64" t="str">
            <v>-</v>
          </cell>
          <cell r="CF64" t="str">
            <v/>
          </cell>
          <cell r="CG64" t="str">
            <v/>
          </cell>
          <cell r="CH64" t="str">
            <v/>
          </cell>
          <cell r="CI64" t="str">
            <v/>
          </cell>
          <cell r="CJ64" t="str">
            <v/>
          </cell>
          <cell r="CK64" t="str">
            <v/>
          </cell>
          <cell r="CL64">
            <v>0</v>
          </cell>
          <cell r="CM64">
            <v>0</v>
          </cell>
          <cell r="CN64">
            <v>0</v>
          </cell>
          <cell r="CO64" t="str">
            <v>N.R</v>
          </cell>
          <cell r="CP64">
            <v>0</v>
          </cell>
          <cell r="CQ64">
            <v>41</v>
          </cell>
          <cell r="CR64">
            <v>87</v>
          </cell>
          <cell r="CS64" t="str">
            <v>NILL</v>
          </cell>
          <cell r="CT64">
            <v>0</v>
          </cell>
          <cell r="CU64">
            <v>35</v>
          </cell>
          <cell r="CV64">
            <v>74</v>
          </cell>
          <cell r="CW64" t="str">
            <v>NILL</v>
          </cell>
          <cell r="CX64">
            <v>0</v>
          </cell>
          <cell r="CY64">
            <v>59</v>
          </cell>
          <cell r="CZ64">
            <v>97</v>
          </cell>
          <cell r="DA64" t="str">
            <v>NILL</v>
          </cell>
          <cell r="DB64">
            <v>0</v>
          </cell>
          <cell r="DC64">
            <v>0</v>
          </cell>
          <cell r="DD64">
            <v>0</v>
          </cell>
          <cell r="DE64" t="str">
            <v>NILL</v>
          </cell>
          <cell r="DF64">
            <v>0</v>
          </cell>
          <cell r="DG64">
            <v>33</v>
          </cell>
          <cell r="DH64">
            <v>87</v>
          </cell>
          <cell r="DI64" t="str">
            <v>NILL</v>
          </cell>
          <cell r="DJ64">
            <v>0</v>
          </cell>
          <cell r="DK64">
            <v>29</v>
          </cell>
          <cell r="DL64">
            <v>88</v>
          </cell>
          <cell r="DM64" t="str">
            <v>NILL</v>
          </cell>
          <cell r="DN64">
            <v>0</v>
          </cell>
          <cell r="DO64">
            <v>35</v>
          </cell>
          <cell r="DP64">
            <v>92</v>
          </cell>
          <cell r="DQ64" t="str">
            <v>NILL</v>
          </cell>
          <cell r="DR64">
            <v>0</v>
          </cell>
          <cell r="DS64">
            <v>0</v>
          </cell>
          <cell r="DT64">
            <v>81</v>
          </cell>
          <cell r="DU64" t="str">
            <v>NILL</v>
          </cell>
          <cell r="DV64">
            <v>0</v>
          </cell>
          <cell r="DW64">
            <v>0</v>
          </cell>
          <cell r="DX64">
            <v>0</v>
          </cell>
          <cell r="DY64" t="str">
            <v>NILL</v>
          </cell>
          <cell r="DZ64">
            <v>0</v>
          </cell>
          <cell r="EA64">
            <v>0</v>
          </cell>
          <cell r="EB64">
            <v>86</v>
          </cell>
          <cell r="EC64" t="str">
            <v>NILL</v>
          </cell>
          <cell r="ED64">
            <v>0</v>
          </cell>
          <cell r="EE64">
            <v>0</v>
          </cell>
          <cell r="EF64">
            <v>54</v>
          </cell>
          <cell r="EG64" t="str">
            <v>NILL</v>
          </cell>
          <cell r="EH64">
            <v>0</v>
          </cell>
          <cell r="EI64">
            <v>0</v>
          </cell>
          <cell r="EJ64">
            <v>89</v>
          </cell>
          <cell r="EK64" t="str">
            <v>NILL</v>
          </cell>
          <cell r="EL64">
            <v>0</v>
          </cell>
          <cell r="EM64">
            <v>0</v>
          </cell>
          <cell r="EN64">
            <v>91</v>
          </cell>
          <cell r="EO64" t="str">
            <v>NILL</v>
          </cell>
          <cell r="EP64" t="str">
            <v/>
          </cell>
          <cell r="EQ64">
            <v>0</v>
          </cell>
          <cell r="ER64">
            <v>0</v>
          </cell>
          <cell r="ES64" t="e">
            <v>#VALUE!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 t="str">
            <v/>
          </cell>
          <cell r="G65" t="str">
            <v/>
          </cell>
          <cell r="H65" t="str">
            <v/>
          </cell>
          <cell r="I65">
            <v>0</v>
          </cell>
          <cell r="J65">
            <v>0</v>
          </cell>
          <cell r="K65" t="str">
            <v>-</v>
          </cell>
          <cell r="L65" t="str">
            <v/>
          </cell>
          <cell r="M65" t="str">
            <v/>
          </cell>
          <cell r="N65" t="str">
            <v/>
          </cell>
          <cell r="O65">
            <v>0</v>
          </cell>
          <cell r="P65">
            <v>0</v>
          </cell>
          <cell r="Q65" t="str">
            <v>-</v>
          </cell>
          <cell r="R65" t="str">
            <v/>
          </cell>
          <cell r="S65" t="str">
            <v/>
          </cell>
          <cell r="T65" t="str">
            <v/>
          </cell>
          <cell r="U65">
            <v>0</v>
          </cell>
          <cell r="V65">
            <v>0</v>
          </cell>
          <cell r="W65" t="str">
            <v>-</v>
          </cell>
          <cell r="X65" t="str">
            <v/>
          </cell>
          <cell r="Y65" t="str">
            <v/>
          </cell>
          <cell r="Z65" t="str">
            <v/>
          </cell>
          <cell r="AA65">
            <v>0</v>
          </cell>
          <cell r="AB65">
            <v>0</v>
          </cell>
          <cell r="AC65" t="str">
            <v>-</v>
          </cell>
          <cell r="AD65" t="str">
            <v/>
          </cell>
          <cell r="AE65" t="str">
            <v/>
          </cell>
          <cell r="AF65" t="str">
            <v/>
          </cell>
          <cell r="AG65">
            <v>0</v>
          </cell>
          <cell r="AH65">
            <v>0</v>
          </cell>
          <cell r="AI65" t="str">
            <v>-</v>
          </cell>
          <cell r="AJ65" t="str">
            <v/>
          </cell>
          <cell r="AK65" t="str">
            <v/>
          </cell>
          <cell r="AL65" t="str">
            <v/>
          </cell>
          <cell r="AM65">
            <v>0</v>
          </cell>
          <cell r="AN65">
            <v>0</v>
          </cell>
          <cell r="AO65" t="str">
            <v>-</v>
          </cell>
          <cell r="AP65" t="str">
            <v/>
          </cell>
          <cell r="AQ65" t="str">
            <v/>
          </cell>
          <cell r="AR65" t="str">
            <v/>
          </cell>
          <cell r="AS65">
            <v>0</v>
          </cell>
          <cell r="AT65">
            <v>0</v>
          </cell>
          <cell r="AU65" t="str">
            <v>-</v>
          </cell>
          <cell r="AV65" t="str">
            <v/>
          </cell>
          <cell r="AW65" t="str">
            <v/>
          </cell>
          <cell r="AX65" t="str">
            <v/>
          </cell>
          <cell r="AY65">
            <v>0</v>
          </cell>
          <cell r="AZ65">
            <v>0</v>
          </cell>
          <cell r="BA65" t="str">
            <v>-</v>
          </cell>
          <cell r="BB65" t="str">
            <v/>
          </cell>
          <cell r="BC65" t="str">
            <v/>
          </cell>
          <cell r="BD65" t="str">
            <v/>
          </cell>
          <cell r="BE65">
            <v>0</v>
          </cell>
          <cell r="BF65">
            <v>0</v>
          </cell>
          <cell r="BG65" t="str">
            <v>-</v>
          </cell>
          <cell r="BH65" t="str">
            <v/>
          </cell>
          <cell r="BI65" t="str">
            <v/>
          </cell>
          <cell r="BJ65" t="str">
            <v/>
          </cell>
          <cell r="BK65">
            <v>0</v>
          </cell>
          <cell r="BL65">
            <v>0</v>
          </cell>
          <cell r="BM65" t="str">
            <v>-</v>
          </cell>
          <cell r="BN65" t="str">
            <v/>
          </cell>
          <cell r="BO65" t="str">
            <v/>
          </cell>
          <cell r="BP65" t="str">
            <v/>
          </cell>
          <cell r="BQ65">
            <v>0</v>
          </cell>
          <cell r="BR65">
            <v>0</v>
          </cell>
          <cell r="BS65" t="str">
            <v>-</v>
          </cell>
          <cell r="BT65" t="str">
            <v/>
          </cell>
          <cell r="BU65" t="str">
            <v/>
          </cell>
          <cell r="BV65" t="str">
            <v/>
          </cell>
          <cell r="BW65">
            <v>0</v>
          </cell>
          <cell r="BX65">
            <v>0</v>
          </cell>
          <cell r="BY65" t="str">
            <v>-</v>
          </cell>
          <cell r="BZ65" t="str">
            <v/>
          </cell>
          <cell r="CA65" t="str">
            <v/>
          </cell>
          <cell r="CB65" t="str">
            <v/>
          </cell>
          <cell r="CC65">
            <v>0</v>
          </cell>
          <cell r="CD65">
            <v>0</v>
          </cell>
          <cell r="CE65" t="str">
            <v>-</v>
          </cell>
          <cell r="CF65" t="str">
            <v/>
          </cell>
          <cell r="CG65" t="str">
            <v/>
          </cell>
          <cell r="CH65" t="str">
            <v/>
          </cell>
          <cell r="CI65" t="str">
            <v/>
          </cell>
          <cell r="CJ65" t="str">
            <v/>
          </cell>
          <cell r="CK65" t="str">
            <v/>
          </cell>
          <cell r="CL65">
            <v>0</v>
          </cell>
          <cell r="CM65">
            <v>0</v>
          </cell>
          <cell r="CN65">
            <v>0</v>
          </cell>
          <cell r="CO65" t="str">
            <v>N.R</v>
          </cell>
          <cell r="CP65">
            <v>0</v>
          </cell>
          <cell r="CQ65">
            <v>41</v>
          </cell>
          <cell r="CR65">
            <v>87</v>
          </cell>
          <cell r="CS65" t="str">
            <v>NILL</v>
          </cell>
          <cell r="CT65">
            <v>0</v>
          </cell>
          <cell r="CU65">
            <v>35</v>
          </cell>
          <cell r="CV65">
            <v>74</v>
          </cell>
          <cell r="CW65" t="str">
            <v>NILL</v>
          </cell>
          <cell r="CX65">
            <v>0</v>
          </cell>
          <cell r="CY65">
            <v>59</v>
          </cell>
          <cell r="CZ65">
            <v>97</v>
          </cell>
          <cell r="DA65" t="str">
            <v>NILL</v>
          </cell>
          <cell r="DB65">
            <v>0</v>
          </cell>
          <cell r="DC65">
            <v>0</v>
          </cell>
          <cell r="DD65">
            <v>0</v>
          </cell>
          <cell r="DE65" t="str">
            <v>NILL</v>
          </cell>
          <cell r="DF65">
            <v>0</v>
          </cell>
          <cell r="DG65">
            <v>33</v>
          </cell>
          <cell r="DH65">
            <v>87</v>
          </cell>
          <cell r="DI65" t="str">
            <v>NILL</v>
          </cell>
          <cell r="DJ65">
            <v>0</v>
          </cell>
          <cell r="DK65">
            <v>29</v>
          </cell>
          <cell r="DL65">
            <v>88</v>
          </cell>
          <cell r="DM65" t="str">
            <v>NILL</v>
          </cell>
          <cell r="DN65">
            <v>0</v>
          </cell>
          <cell r="DO65">
            <v>35</v>
          </cell>
          <cell r="DP65">
            <v>92</v>
          </cell>
          <cell r="DQ65" t="str">
            <v>NILL</v>
          </cell>
          <cell r="DR65">
            <v>0</v>
          </cell>
          <cell r="DS65">
            <v>0</v>
          </cell>
          <cell r="DT65">
            <v>81</v>
          </cell>
          <cell r="DU65" t="str">
            <v>NILL</v>
          </cell>
          <cell r="DV65">
            <v>0</v>
          </cell>
          <cell r="DW65">
            <v>0</v>
          </cell>
          <cell r="DX65">
            <v>0</v>
          </cell>
          <cell r="DY65" t="str">
            <v>NILL</v>
          </cell>
          <cell r="DZ65">
            <v>0</v>
          </cell>
          <cell r="EA65">
            <v>0</v>
          </cell>
          <cell r="EB65">
            <v>86</v>
          </cell>
          <cell r="EC65" t="str">
            <v>NILL</v>
          </cell>
          <cell r="ED65">
            <v>0</v>
          </cell>
          <cell r="EE65">
            <v>0</v>
          </cell>
          <cell r="EF65">
            <v>55</v>
          </cell>
          <cell r="EG65" t="str">
            <v>NILL</v>
          </cell>
          <cell r="EH65">
            <v>0</v>
          </cell>
          <cell r="EI65">
            <v>0</v>
          </cell>
          <cell r="EJ65">
            <v>89</v>
          </cell>
          <cell r="EK65" t="str">
            <v>NILL</v>
          </cell>
          <cell r="EL65">
            <v>0</v>
          </cell>
          <cell r="EM65">
            <v>0</v>
          </cell>
          <cell r="EN65">
            <v>91</v>
          </cell>
          <cell r="EO65" t="str">
            <v>NILL</v>
          </cell>
          <cell r="EP65" t="str">
            <v/>
          </cell>
          <cell r="EQ65">
            <v>0</v>
          </cell>
          <cell r="ER65">
            <v>0</v>
          </cell>
          <cell r="ES65" t="e">
            <v>#VALUE!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 t="str">
            <v/>
          </cell>
          <cell r="G66" t="str">
            <v/>
          </cell>
          <cell r="H66" t="str">
            <v/>
          </cell>
          <cell r="I66">
            <v>0</v>
          </cell>
          <cell r="J66">
            <v>0</v>
          </cell>
          <cell r="K66" t="str">
            <v>-</v>
          </cell>
          <cell r="L66" t="str">
            <v/>
          </cell>
          <cell r="M66" t="str">
            <v/>
          </cell>
          <cell r="N66" t="str">
            <v/>
          </cell>
          <cell r="O66">
            <v>0</v>
          </cell>
          <cell r="P66">
            <v>0</v>
          </cell>
          <cell r="Q66" t="str">
            <v>-</v>
          </cell>
          <cell r="R66" t="str">
            <v/>
          </cell>
          <cell r="S66" t="str">
            <v/>
          </cell>
          <cell r="T66" t="str">
            <v/>
          </cell>
          <cell r="U66">
            <v>0</v>
          </cell>
          <cell r="V66">
            <v>0</v>
          </cell>
          <cell r="W66" t="str">
            <v>-</v>
          </cell>
          <cell r="X66" t="str">
            <v/>
          </cell>
          <cell r="Y66" t="str">
            <v/>
          </cell>
          <cell r="Z66" t="str">
            <v/>
          </cell>
          <cell r="AA66">
            <v>0</v>
          </cell>
          <cell r="AB66">
            <v>0</v>
          </cell>
          <cell r="AC66" t="str">
            <v>-</v>
          </cell>
          <cell r="AD66" t="str">
            <v/>
          </cell>
          <cell r="AE66" t="str">
            <v/>
          </cell>
          <cell r="AF66" t="str">
            <v/>
          </cell>
          <cell r="AG66">
            <v>0</v>
          </cell>
          <cell r="AH66">
            <v>0</v>
          </cell>
          <cell r="AI66" t="str">
            <v>-</v>
          </cell>
          <cell r="AJ66" t="str">
            <v/>
          </cell>
          <cell r="AK66" t="str">
            <v/>
          </cell>
          <cell r="AL66" t="str">
            <v/>
          </cell>
          <cell r="AM66">
            <v>0</v>
          </cell>
          <cell r="AN66">
            <v>0</v>
          </cell>
          <cell r="AO66" t="str">
            <v>-</v>
          </cell>
          <cell r="AP66" t="str">
            <v/>
          </cell>
          <cell r="AQ66" t="str">
            <v/>
          </cell>
          <cell r="AR66" t="str">
            <v/>
          </cell>
          <cell r="AS66">
            <v>0</v>
          </cell>
          <cell r="AT66">
            <v>0</v>
          </cell>
          <cell r="AU66" t="str">
            <v>-</v>
          </cell>
          <cell r="AV66" t="str">
            <v/>
          </cell>
          <cell r="AW66" t="str">
            <v/>
          </cell>
          <cell r="AX66" t="str">
            <v/>
          </cell>
          <cell r="AY66">
            <v>0</v>
          </cell>
          <cell r="AZ66">
            <v>0</v>
          </cell>
          <cell r="BA66" t="str">
            <v>-</v>
          </cell>
          <cell r="BB66" t="str">
            <v/>
          </cell>
          <cell r="BC66" t="str">
            <v/>
          </cell>
          <cell r="BD66" t="str">
            <v/>
          </cell>
          <cell r="BE66">
            <v>0</v>
          </cell>
          <cell r="BF66">
            <v>0</v>
          </cell>
          <cell r="BG66" t="str">
            <v>-</v>
          </cell>
          <cell r="BH66" t="str">
            <v/>
          </cell>
          <cell r="BI66" t="str">
            <v/>
          </cell>
          <cell r="BJ66" t="str">
            <v/>
          </cell>
          <cell r="BK66">
            <v>0</v>
          </cell>
          <cell r="BL66">
            <v>0</v>
          </cell>
          <cell r="BM66" t="str">
            <v>-</v>
          </cell>
          <cell r="BN66" t="str">
            <v/>
          </cell>
          <cell r="BO66" t="str">
            <v/>
          </cell>
          <cell r="BP66" t="str">
            <v/>
          </cell>
          <cell r="BQ66">
            <v>0</v>
          </cell>
          <cell r="BR66">
            <v>0</v>
          </cell>
          <cell r="BS66" t="str">
            <v>-</v>
          </cell>
          <cell r="BT66" t="str">
            <v/>
          </cell>
          <cell r="BU66" t="str">
            <v/>
          </cell>
          <cell r="BV66" t="str">
            <v/>
          </cell>
          <cell r="BW66">
            <v>0</v>
          </cell>
          <cell r="BX66">
            <v>0</v>
          </cell>
          <cell r="BY66" t="str">
            <v>-</v>
          </cell>
          <cell r="BZ66" t="str">
            <v/>
          </cell>
          <cell r="CA66" t="str">
            <v/>
          </cell>
          <cell r="CB66" t="str">
            <v/>
          </cell>
          <cell r="CC66">
            <v>0</v>
          </cell>
          <cell r="CD66">
            <v>0</v>
          </cell>
          <cell r="CE66" t="str">
            <v>-</v>
          </cell>
          <cell r="CF66" t="str">
            <v/>
          </cell>
          <cell r="CG66" t="str">
            <v/>
          </cell>
          <cell r="CH66" t="str">
            <v/>
          </cell>
          <cell r="CI66" t="str">
            <v/>
          </cell>
          <cell r="CJ66" t="str">
            <v/>
          </cell>
          <cell r="CK66" t="str">
            <v/>
          </cell>
          <cell r="CL66">
            <v>0</v>
          </cell>
          <cell r="CM66">
            <v>0</v>
          </cell>
          <cell r="CN66">
            <v>0</v>
          </cell>
          <cell r="CO66" t="str">
            <v>N.R</v>
          </cell>
          <cell r="CP66">
            <v>0</v>
          </cell>
          <cell r="CQ66">
            <v>41</v>
          </cell>
          <cell r="CR66">
            <v>87</v>
          </cell>
          <cell r="CS66" t="str">
            <v>NILL</v>
          </cell>
          <cell r="CT66">
            <v>0</v>
          </cell>
          <cell r="CU66">
            <v>35</v>
          </cell>
          <cell r="CV66">
            <v>74</v>
          </cell>
          <cell r="CW66" t="str">
            <v>NILL</v>
          </cell>
          <cell r="CX66">
            <v>0</v>
          </cell>
          <cell r="CY66">
            <v>59</v>
          </cell>
          <cell r="CZ66">
            <v>97</v>
          </cell>
          <cell r="DA66" t="str">
            <v>NILL</v>
          </cell>
          <cell r="DB66">
            <v>0</v>
          </cell>
          <cell r="DC66">
            <v>0</v>
          </cell>
          <cell r="DD66">
            <v>0</v>
          </cell>
          <cell r="DE66" t="str">
            <v>NILL</v>
          </cell>
          <cell r="DF66">
            <v>0</v>
          </cell>
          <cell r="DG66">
            <v>33</v>
          </cell>
          <cell r="DH66">
            <v>87</v>
          </cell>
          <cell r="DI66" t="str">
            <v>NILL</v>
          </cell>
          <cell r="DJ66">
            <v>0</v>
          </cell>
          <cell r="DK66">
            <v>29</v>
          </cell>
          <cell r="DL66">
            <v>88</v>
          </cell>
          <cell r="DM66" t="str">
            <v>NILL</v>
          </cell>
          <cell r="DN66">
            <v>0</v>
          </cell>
          <cell r="DO66">
            <v>35</v>
          </cell>
          <cell r="DP66">
            <v>92</v>
          </cell>
          <cell r="DQ66" t="str">
            <v>NILL</v>
          </cell>
          <cell r="DR66">
            <v>0</v>
          </cell>
          <cell r="DS66">
            <v>0</v>
          </cell>
          <cell r="DT66">
            <v>81</v>
          </cell>
          <cell r="DU66" t="str">
            <v>NILL</v>
          </cell>
          <cell r="DV66">
            <v>0</v>
          </cell>
          <cell r="DW66">
            <v>0</v>
          </cell>
          <cell r="DX66">
            <v>0</v>
          </cell>
          <cell r="DY66" t="str">
            <v>NILL</v>
          </cell>
          <cell r="DZ66">
            <v>0</v>
          </cell>
          <cell r="EA66">
            <v>0</v>
          </cell>
          <cell r="EB66">
            <v>86</v>
          </cell>
          <cell r="EC66" t="str">
            <v>NILL</v>
          </cell>
          <cell r="ED66">
            <v>0</v>
          </cell>
          <cell r="EE66">
            <v>0</v>
          </cell>
          <cell r="EF66">
            <v>56</v>
          </cell>
          <cell r="EG66" t="str">
            <v>NILL</v>
          </cell>
          <cell r="EH66">
            <v>0</v>
          </cell>
          <cell r="EI66">
            <v>0</v>
          </cell>
          <cell r="EJ66">
            <v>89</v>
          </cell>
          <cell r="EK66" t="str">
            <v>NILL</v>
          </cell>
          <cell r="EL66">
            <v>0</v>
          </cell>
          <cell r="EM66">
            <v>0</v>
          </cell>
          <cell r="EN66">
            <v>91</v>
          </cell>
          <cell r="EO66" t="str">
            <v>NILL</v>
          </cell>
          <cell r="EP66" t="str">
            <v/>
          </cell>
          <cell r="EQ66">
            <v>0</v>
          </cell>
          <cell r="ER66">
            <v>0</v>
          </cell>
          <cell r="ES66" t="e">
            <v>#VALUE!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 t="str">
            <v/>
          </cell>
          <cell r="G67" t="str">
            <v/>
          </cell>
          <cell r="H67" t="str">
            <v/>
          </cell>
          <cell r="I67">
            <v>0</v>
          </cell>
          <cell r="J67">
            <v>0</v>
          </cell>
          <cell r="K67" t="str">
            <v>-</v>
          </cell>
          <cell r="L67" t="str">
            <v/>
          </cell>
          <cell r="M67" t="str">
            <v/>
          </cell>
          <cell r="N67" t="str">
            <v/>
          </cell>
          <cell r="O67">
            <v>0</v>
          </cell>
          <cell r="P67">
            <v>0</v>
          </cell>
          <cell r="Q67" t="str">
            <v>-</v>
          </cell>
          <cell r="R67" t="str">
            <v/>
          </cell>
          <cell r="S67" t="str">
            <v/>
          </cell>
          <cell r="T67" t="str">
            <v/>
          </cell>
          <cell r="U67">
            <v>0</v>
          </cell>
          <cell r="V67">
            <v>0</v>
          </cell>
          <cell r="W67" t="str">
            <v>-</v>
          </cell>
          <cell r="X67" t="str">
            <v/>
          </cell>
          <cell r="Y67" t="str">
            <v/>
          </cell>
          <cell r="Z67" t="str">
            <v/>
          </cell>
          <cell r="AA67">
            <v>0</v>
          </cell>
          <cell r="AB67">
            <v>0</v>
          </cell>
          <cell r="AC67" t="str">
            <v>-</v>
          </cell>
          <cell r="AD67" t="str">
            <v/>
          </cell>
          <cell r="AE67" t="str">
            <v/>
          </cell>
          <cell r="AF67" t="str">
            <v/>
          </cell>
          <cell r="AG67">
            <v>0</v>
          </cell>
          <cell r="AH67">
            <v>0</v>
          </cell>
          <cell r="AI67" t="str">
            <v>-</v>
          </cell>
          <cell r="AJ67" t="str">
            <v/>
          </cell>
          <cell r="AK67" t="str">
            <v/>
          </cell>
          <cell r="AL67" t="str">
            <v/>
          </cell>
          <cell r="AM67">
            <v>0</v>
          </cell>
          <cell r="AN67">
            <v>0</v>
          </cell>
          <cell r="AO67" t="str">
            <v>-</v>
          </cell>
          <cell r="AP67" t="str">
            <v/>
          </cell>
          <cell r="AQ67" t="str">
            <v/>
          </cell>
          <cell r="AR67" t="str">
            <v/>
          </cell>
          <cell r="AS67">
            <v>0</v>
          </cell>
          <cell r="AT67">
            <v>0</v>
          </cell>
          <cell r="AU67" t="str">
            <v>-</v>
          </cell>
          <cell r="AV67" t="str">
            <v/>
          </cell>
          <cell r="AW67" t="str">
            <v/>
          </cell>
          <cell r="AX67" t="str">
            <v/>
          </cell>
          <cell r="AY67">
            <v>0</v>
          </cell>
          <cell r="AZ67">
            <v>0</v>
          </cell>
          <cell r="BA67" t="str">
            <v>-</v>
          </cell>
          <cell r="BB67" t="str">
            <v/>
          </cell>
          <cell r="BC67" t="str">
            <v/>
          </cell>
          <cell r="BD67" t="str">
            <v/>
          </cell>
          <cell r="BE67">
            <v>0</v>
          </cell>
          <cell r="BF67">
            <v>0</v>
          </cell>
          <cell r="BG67" t="str">
            <v>-</v>
          </cell>
          <cell r="BH67" t="str">
            <v/>
          </cell>
          <cell r="BI67" t="str">
            <v/>
          </cell>
          <cell r="BJ67" t="str">
            <v/>
          </cell>
          <cell r="BK67">
            <v>0</v>
          </cell>
          <cell r="BL67">
            <v>0</v>
          </cell>
          <cell r="BM67" t="str">
            <v>-</v>
          </cell>
          <cell r="BN67" t="str">
            <v/>
          </cell>
          <cell r="BO67" t="str">
            <v/>
          </cell>
          <cell r="BP67" t="str">
            <v/>
          </cell>
          <cell r="BQ67">
            <v>0</v>
          </cell>
          <cell r="BR67">
            <v>0</v>
          </cell>
          <cell r="BS67" t="str">
            <v>-</v>
          </cell>
          <cell r="BT67" t="str">
            <v/>
          </cell>
          <cell r="BU67" t="str">
            <v/>
          </cell>
          <cell r="BV67" t="str">
            <v/>
          </cell>
          <cell r="BW67">
            <v>0</v>
          </cell>
          <cell r="BX67">
            <v>0</v>
          </cell>
          <cell r="BY67" t="str">
            <v>-</v>
          </cell>
          <cell r="BZ67" t="str">
            <v/>
          </cell>
          <cell r="CA67" t="str">
            <v/>
          </cell>
          <cell r="CB67" t="str">
            <v/>
          </cell>
          <cell r="CC67">
            <v>0</v>
          </cell>
          <cell r="CD67">
            <v>0</v>
          </cell>
          <cell r="CE67" t="str">
            <v>-</v>
          </cell>
          <cell r="CF67" t="str">
            <v/>
          </cell>
          <cell r="CG67" t="str">
            <v/>
          </cell>
          <cell r="CH67" t="str">
            <v/>
          </cell>
          <cell r="CI67" t="str">
            <v/>
          </cell>
          <cell r="CJ67" t="str">
            <v/>
          </cell>
          <cell r="CK67" t="str">
            <v/>
          </cell>
          <cell r="CL67">
            <v>0</v>
          </cell>
          <cell r="CM67">
            <v>0</v>
          </cell>
          <cell r="CN67">
            <v>0</v>
          </cell>
          <cell r="CO67" t="str">
            <v>N.R</v>
          </cell>
          <cell r="CP67">
            <v>0</v>
          </cell>
          <cell r="CQ67">
            <v>41</v>
          </cell>
          <cell r="CR67">
            <v>87</v>
          </cell>
          <cell r="CS67" t="str">
            <v>NILL</v>
          </cell>
          <cell r="CT67">
            <v>0</v>
          </cell>
          <cell r="CU67">
            <v>35</v>
          </cell>
          <cell r="CV67">
            <v>74</v>
          </cell>
          <cell r="CW67" t="str">
            <v>NILL</v>
          </cell>
          <cell r="CX67">
            <v>0</v>
          </cell>
          <cell r="CY67">
            <v>59</v>
          </cell>
          <cell r="CZ67">
            <v>97</v>
          </cell>
          <cell r="DA67" t="str">
            <v>NILL</v>
          </cell>
          <cell r="DB67">
            <v>0</v>
          </cell>
          <cell r="DC67">
            <v>0</v>
          </cell>
          <cell r="DD67">
            <v>0</v>
          </cell>
          <cell r="DE67" t="str">
            <v>NILL</v>
          </cell>
          <cell r="DF67">
            <v>0</v>
          </cell>
          <cell r="DG67">
            <v>33</v>
          </cell>
          <cell r="DH67">
            <v>87</v>
          </cell>
          <cell r="DI67" t="str">
            <v>NILL</v>
          </cell>
          <cell r="DJ67">
            <v>0</v>
          </cell>
          <cell r="DK67">
            <v>29</v>
          </cell>
          <cell r="DL67">
            <v>88</v>
          </cell>
          <cell r="DM67" t="str">
            <v>NILL</v>
          </cell>
          <cell r="DN67">
            <v>0</v>
          </cell>
          <cell r="DO67">
            <v>35</v>
          </cell>
          <cell r="DP67">
            <v>92</v>
          </cell>
          <cell r="DQ67" t="str">
            <v>NILL</v>
          </cell>
          <cell r="DR67">
            <v>0</v>
          </cell>
          <cell r="DS67">
            <v>0</v>
          </cell>
          <cell r="DT67">
            <v>81</v>
          </cell>
          <cell r="DU67" t="str">
            <v>NILL</v>
          </cell>
          <cell r="DV67">
            <v>0</v>
          </cell>
          <cell r="DW67">
            <v>0</v>
          </cell>
          <cell r="DX67">
            <v>0</v>
          </cell>
          <cell r="DY67" t="str">
            <v>NILL</v>
          </cell>
          <cell r="DZ67">
            <v>0</v>
          </cell>
          <cell r="EA67">
            <v>0</v>
          </cell>
          <cell r="EB67">
            <v>86</v>
          </cell>
          <cell r="EC67" t="str">
            <v>NILL</v>
          </cell>
          <cell r="ED67">
            <v>0</v>
          </cell>
          <cell r="EE67">
            <v>0</v>
          </cell>
          <cell r="EF67">
            <v>57</v>
          </cell>
          <cell r="EG67" t="str">
            <v>NILL</v>
          </cell>
          <cell r="EH67">
            <v>0</v>
          </cell>
          <cell r="EI67">
            <v>0</v>
          </cell>
          <cell r="EJ67">
            <v>89</v>
          </cell>
          <cell r="EK67" t="str">
            <v>NILL</v>
          </cell>
          <cell r="EL67">
            <v>0</v>
          </cell>
          <cell r="EM67">
            <v>0</v>
          </cell>
          <cell r="EN67">
            <v>91</v>
          </cell>
          <cell r="EO67" t="str">
            <v>NILL</v>
          </cell>
          <cell r="EP67" t="str">
            <v/>
          </cell>
          <cell r="EQ67">
            <v>0</v>
          </cell>
          <cell r="ER67">
            <v>0</v>
          </cell>
          <cell r="ES67" t="e">
            <v>#VALUE!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 t="str">
            <v/>
          </cell>
          <cell r="G68" t="str">
            <v/>
          </cell>
          <cell r="H68" t="str">
            <v/>
          </cell>
          <cell r="I68">
            <v>0</v>
          </cell>
          <cell r="J68">
            <v>0</v>
          </cell>
          <cell r="K68" t="str">
            <v>-</v>
          </cell>
          <cell r="L68" t="str">
            <v/>
          </cell>
          <cell r="M68" t="str">
            <v/>
          </cell>
          <cell r="N68" t="str">
            <v/>
          </cell>
          <cell r="O68">
            <v>0</v>
          </cell>
          <cell r="P68">
            <v>0</v>
          </cell>
          <cell r="Q68" t="str">
            <v>-</v>
          </cell>
          <cell r="R68" t="str">
            <v/>
          </cell>
          <cell r="S68" t="str">
            <v/>
          </cell>
          <cell r="T68" t="str">
            <v/>
          </cell>
          <cell r="U68">
            <v>0</v>
          </cell>
          <cell r="V68">
            <v>0</v>
          </cell>
          <cell r="W68" t="str">
            <v>-</v>
          </cell>
          <cell r="X68" t="str">
            <v/>
          </cell>
          <cell r="Y68" t="str">
            <v/>
          </cell>
          <cell r="Z68" t="str">
            <v/>
          </cell>
          <cell r="AA68">
            <v>0</v>
          </cell>
          <cell r="AB68">
            <v>0</v>
          </cell>
          <cell r="AC68" t="str">
            <v>-</v>
          </cell>
          <cell r="AD68" t="str">
            <v/>
          </cell>
          <cell r="AE68" t="str">
            <v/>
          </cell>
          <cell r="AF68" t="str">
            <v/>
          </cell>
          <cell r="AG68">
            <v>0</v>
          </cell>
          <cell r="AH68">
            <v>0</v>
          </cell>
          <cell r="AI68" t="str">
            <v>-</v>
          </cell>
          <cell r="AJ68" t="str">
            <v/>
          </cell>
          <cell r="AK68" t="str">
            <v/>
          </cell>
          <cell r="AL68" t="str">
            <v/>
          </cell>
          <cell r="AM68">
            <v>0</v>
          </cell>
          <cell r="AN68">
            <v>0</v>
          </cell>
          <cell r="AO68" t="str">
            <v>-</v>
          </cell>
          <cell r="AP68" t="str">
            <v/>
          </cell>
          <cell r="AQ68" t="str">
            <v/>
          </cell>
          <cell r="AR68" t="str">
            <v/>
          </cell>
          <cell r="AS68">
            <v>0</v>
          </cell>
          <cell r="AT68">
            <v>0</v>
          </cell>
          <cell r="AU68" t="str">
            <v>-</v>
          </cell>
          <cell r="AV68" t="str">
            <v/>
          </cell>
          <cell r="AW68" t="str">
            <v/>
          </cell>
          <cell r="AX68" t="str">
            <v/>
          </cell>
          <cell r="AY68">
            <v>0</v>
          </cell>
          <cell r="AZ68">
            <v>0</v>
          </cell>
          <cell r="BA68" t="str">
            <v>-</v>
          </cell>
          <cell r="BB68" t="str">
            <v/>
          </cell>
          <cell r="BC68" t="str">
            <v/>
          </cell>
          <cell r="BD68" t="str">
            <v/>
          </cell>
          <cell r="BE68">
            <v>0</v>
          </cell>
          <cell r="BF68">
            <v>0</v>
          </cell>
          <cell r="BG68" t="str">
            <v>-</v>
          </cell>
          <cell r="BH68" t="str">
            <v/>
          </cell>
          <cell r="BI68" t="str">
            <v/>
          </cell>
          <cell r="BJ68" t="str">
            <v/>
          </cell>
          <cell r="BK68">
            <v>0</v>
          </cell>
          <cell r="BL68">
            <v>0</v>
          </cell>
          <cell r="BM68" t="str">
            <v>-</v>
          </cell>
          <cell r="BN68" t="str">
            <v/>
          </cell>
          <cell r="BO68" t="str">
            <v/>
          </cell>
          <cell r="BP68" t="str">
            <v/>
          </cell>
          <cell r="BQ68">
            <v>0</v>
          </cell>
          <cell r="BR68">
            <v>0</v>
          </cell>
          <cell r="BS68" t="str">
            <v>-</v>
          </cell>
          <cell r="BT68" t="str">
            <v/>
          </cell>
          <cell r="BU68" t="str">
            <v/>
          </cell>
          <cell r="BV68" t="str">
            <v/>
          </cell>
          <cell r="BW68">
            <v>0</v>
          </cell>
          <cell r="BX68">
            <v>0</v>
          </cell>
          <cell r="BY68" t="str">
            <v>-</v>
          </cell>
          <cell r="BZ68" t="str">
            <v/>
          </cell>
          <cell r="CA68" t="str">
            <v/>
          </cell>
          <cell r="CB68" t="str">
            <v/>
          </cell>
          <cell r="CC68">
            <v>0</v>
          </cell>
          <cell r="CD68">
            <v>0</v>
          </cell>
          <cell r="CE68" t="str">
            <v>-</v>
          </cell>
          <cell r="CF68" t="str">
            <v/>
          </cell>
          <cell r="CG68" t="str">
            <v/>
          </cell>
          <cell r="CH68" t="str">
            <v/>
          </cell>
          <cell r="CI68" t="str">
            <v/>
          </cell>
          <cell r="CJ68" t="str">
            <v/>
          </cell>
          <cell r="CK68" t="str">
            <v/>
          </cell>
          <cell r="CL68">
            <v>0</v>
          </cell>
          <cell r="CM68">
            <v>0</v>
          </cell>
          <cell r="CN68">
            <v>0</v>
          </cell>
          <cell r="CO68" t="str">
            <v>N.R</v>
          </cell>
          <cell r="CP68">
            <v>0</v>
          </cell>
          <cell r="CQ68">
            <v>41</v>
          </cell>
          <cell r="CR68">
            <v>87</v>
          </cell>
          <cell r="CS68" t="str">
            <v>NILL</v>
          </cell>
          <cell r="CT68">
            <v>0</v>
          </cell>
          <cell r="CU68">
            <v>35</v>
          </cell>
          <cell r="CV68">
            <v>74</v>
          </cell>
          <cell r="CW68" t="str">
            <v>NILL</v>
          </cell>
          <cell r="CX68">
            <v>0</v>
          </cell>
          <cell r="CY68">
            <v>59</v>
          </cell>
          <cell r="CZ68">
            <v>97</v>
          </cell>
          <cell r="DA68" t="str">
            <v>NILL</v>
          </cell>
          <cell r="DB68">
            <v>0</v>
          </cell>
          <cell r="DC68">
            <v>0</v>
          </cell>
          <cell r="DD68">
            <v>0</v>
          </cell>
          <cell r="DE68" t="str">
            <v>NILL</v>
          </cell>
          <cell r="DF68">
            <v>0</v>
          </cell>
          <cell r="DG68">
            <v>33</v>
          </cell>
          <cell r="DH68">
            <v>87</v>
          </cell>
          <cell r="DI68" t="str">
            <v>NILL</v>
          </cell>
          <cell r="DJ68">
            <v>0</v>
          </cell>
          <cell r="DK68">
            <v>29</v>
          </cell>
          <cell r="DL68">
            <v>88</v>
          </cell>
          <cell r="DM68" t="str">
            <v>NILL</v>
          </cell>
          <cell r="DN68">
            <v>0</v>
          </cell>
          <cell r="DO68">
            <v>35</v>
          </cell>
          <cell r="DP68">
            <v>92</v>
          </cell>
          <cell r="DQ68" t="str">
            <v>NILL</v>
          </cell>
          <cell r="DR68">
            <v>0</v>
          </cell>
          <cell r="DS68">
            <v>0</v>
          </cell>
          <cell r="DT68">
            <v>81</v>
          </cell>
          <cell r="DU68" t="str">
            <v>NILL</v>
          </cell>
          <cell r="DV68">
            <v>0</v>
          </cell>
          <cell r="DW68">
            <v>0</v>
          </cell>
          <cell r="DX68">
            <v>0</v>
          </cell>
          <cell r="DY68" t="str">
            <v>NILL</v>
          </cell>
          <cell r="DZ68">
            <v>0</v>
          </cell>
          <cell r="EA68">
            <v>0</v>
          </cell>
          <cell r="EB68">
            <v>86</v>
          </cell>
          <cell r="EC68" t="str">
            <v>NILL</v>
          </cell>
          <cell r="ED68">
            <v>0</v>
          </cell>
          <cell r="EE68">
            <v>0</v>
          </cell>
          <cell r="EF68">
            <v>58</v>
          </cell>
          <cell r="EG68" t="str">
            <v>NILL</v>
          </cell>
          <cell r="EH68">
            <v>0</v>
          </cell>
          <cell r="EI68">
            <v>0</v>
          </cell>
          <cell r="EJ68">
            <v>89</v>
          </cell>
          <cell r="EK68" t="str">
            <v>NILL</v>
          </cell>
          <cell r="EL68">
            <v>0</v>
          </cell>
          <cell r="EM68">
            <v>0</v>
          </cell>
          <cell r="EN68">
            <v>91</v>
          </cell>
          <cell r="EO68" t="str">
            <v>NILL</v>
          </cell>
          <cell r="EP68" t="str">
            <v/>
          </cell>
          <cell r="EQ68">
            <v>0</v>
          </cell>
          <cell r="ER68">
            <v>0</v>
          </cell>
          <cell r="ES68" t="e">
            <v>#VALUE!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 t="str">
            <v/>
          </cell>
          <cell r="G69" t="str">
            <v/>
          </cell>
          <cell r="H69" t="str">
            <v/>
          </cell>
          <cell r="I69">
            <v>0</v>
          </cell>
          <cell r="J69">
            <v>0</v>
          </cell>
          <cell r="K69" t="str">
            <v>-</v>
          </cell>
          <cell r="L69" t="str">
            <v/>
          </cell>
          <cell r="M69" t="str">
            <v/>
          </cell>
          <cell r="N69" t="str">
            <v/>
          </cell>
          <cell r="O69">
            <v>0</v>
          </cell>
          <cell r="P69">
            <v>0</v>
          </cell>
          <cell r="Q69" t="str">
            <v>-</v>
          </cell>
          <cell r="R69" t="str">
            <v/>
          </cell>
          <cell r="S69" t="str">
            <v/>
          </cell>
          <cell r="T69" t="str">
            <v/>
          </cell>
          <cell r="U69">
            <v>0</v>
          </cell>
          <cell r="V69">
            <v>0</v>
          </cell>
          <cell r="W69" t="str">
            <v>-</v>
          </cell>
          <cell r="X69" t="str">
            <v/>
          </cell>
          <cell r="Y69" t="str">
            <v/>
          </cell>
          <cell r="Z69" t="str">
            <v/>
          </cell>
          <cell r="AA69">
            <v>0</v>
          </cell>
          <cell r="AB69">
            <v>0</v>
          </cell>
          <cell r="AC69" t="str">
            <v>-</v>
          </cell>
          <cell r="AD69" t="str">
            <v/>
          </cell>
          <cell r="AE69" t="str">
            <v/>
          </cell>
          <cell r="AF69" t="str">
            <v/>
          </cell>
          <cell r="AG69">
            <v>0</v>
          </cell>
          <cell r="AH69">
            <v>0</v>
          </cell>
          <cell r="AI69" t="str">
            <v>-</v>
          </cell>
          <cell r="AJ69" t="str">
            <v/>
          </cell>
          <cell r="AK69" t="str">
            <v/>
          </cell>
          <cell r="AL69" t="str">
            <v/>
          </cell>
          <cell r="AM69">
            <v>0</v>
          </cell>
          <cell r="AN69">
            <v>0</v>
          </cell>
          <cell r="AO69" t="str">
            <v>-</v>
          </cell>
          <cell r="AP69" t="str">
            <v/>
          </cell>
          <cell r="AQ69" t="str">
            <v/>
          </cell>
          <cell r="AR69" t="str">
            <v/>
          </cell>
          <cell r="AS69">
            <v>0</v>
          </cell>
          <cell r="AT69">
            <v>0</v>
          </cell>
          <cell r="AU69" t="str">
            <v>-</v>
          </cell>
          <cell r="AV69" t="str">
            <v/>
          </cell>
          <cell r="AW69" t="str">
            <v/>
          </cell>
          <cell r="AX69" t="str">
            <v/>
          </cell>
          <cell r="AY69">
            <v>0</v>
          </cell>
          <cell r="AZ69">
            <v>0</v>
          </cell>
          <cell r="BA69" t="str">
            <v>-</v>
          </cell>
          <cell r="BB69" t="str">
            <v/>
          </cell>
          <cell r="BC69" t="str">
            <v/>
          </cell>
          <cell r="BD69" t="str">
            <v/>
          </cell>
          <cell r="BE69">
            <v>0</v>
          </cell>
          <cell r="BF69">
            <v>0</v>
          </cell>
          <cell r="BG69" t="str">
            <v>-</v>
          </cell>
          <cell r="BH69" t="str">
            <v/>
          </cell>
          <cell r="BI69" t="str">
            <v/>
          </cell>
          <cell r="BJ69" t="str">
            <v/>
          </cell>
          <cell r="BK69">
            <v>0</v>
          </cell>
          <cell r="BL69">
            <v>0</v>
          </cell>
          <cell r="BM69" t="str">
            <v>-</v>
          </cell>
          <cell r="BN69" t="str">
            <v/>
          </cell>
          <cell r="BO69" t="str">
            <v/>
          </cell>
          <cell r="BP69" t="str">
            <v/>
          </cell>
          <cell r="BQ69">
            <v>0</v>
          </cell>
          <cell r="BR69">
            <v>0</v>
          </cell>
          <cell r="BS69" t="str">
            <v>-</v>
          </cell>
          <cell r="BT69" t="str">
            <v/>
          </cell>
          <cell r="BU69" t="str">
            <v/>
          </cell>
          <cell r="BV69" t="str">
            <v/>
          </cell>
          <cell r="BW69">
            <v>0</v>
          </cell>
          <cell r="BX69">
            <v>0</v>
          </cell>
          <cell r="BY69" t="str">
            <v>-</v>
          </cell>
          <cell r="BZ69" t="str">
            <v/>
          </cell>
          <cell r="CA69" t="str">
            <v/>
          </cell>
          <cell r="CB69" t="str">
            <v/>
          </cell>
          <cell r="CC69">
            <v>0</v>
          </cell>
          <cell r="CD69">
            <v>0</v>
          </cell>
          <cell r="CE69" t="str">
            <v>-</v>
          </cell>
          <cell r="CF69" t="str">
            <v/>
          </cell>
          <cell r="CG69" t="str">
            <v/>
          </cell>
          <cell r="CH69" t="str">
            <v/>
          </cell>
          <cell r="CI69" t="str">
            <v/>
          </cell>
          <cell r="CJ69" t="str">
            <v/>
          </cell>
          <cell r="CK69" t="str">
            <v/>
          </cell>
          <cell r="CL69">
            <v>0</v>
          </cell>
          <cell r="CM69">
            <v>0</v>
          </cell>
          <cell r="CN69">
            <v>0</v>
          </cell>
          <cell r="CO69" t="str">
            <v>N.R</v>
          </cell>
          <cell r="CP69">
            <v>0</v>
          </cell>
          <cell r="CQ69">
            <v>41</v>
          </cell>
          <cell r="CR69">
            <v>87</v>
          </cell>
          <cell r="CS69" t="str">
            <v>NILL</v>
          </cell>
          <cell r="CT69">
            <v>0</v>
          </cell>
          <cell r="CU69">
            <v>35</v>
          </cell>
          <cell r="CV69">
            <v>74</v>
          </cell>
          <cell r="CW69" t="str">
            <v>NILL</v>
          </cell>
          <cell r="CX69">
            <v>0</v>
          </cell>
          <cell r="CY69">
            <v>59</v>
          </cell>
          <cell r="CZ69">
            <v>97</v>
          </cell>
          <cell r="DA69" t="str">
            <v>NILL</v>
          </cell>
          <cell r="DB69">
            <v>0</v>
          </cell>
          <cell r="DC69">
            <v>0</v>
          </cell>
          <cell r="DD69">
            <v>0</v>
          </cell>
          <cell r="DE69" t="str">
            <v>NILL</v>
          </cell>
          <cell r="DF69">
            <v>0</v>
          </cell>
          <cell r="DG69">
            <v>33</v>
          </cell>
          <cell r="DH69">
            <v>87</v>
          </cell>
          <cell r="DI69" t="str">
            <v>NILL</v>
          </cell>
          <cell r="DJ69">
            <v>0</v>
          </cell>
          <cell r="DK69">
            <v>29</v>
          </cell>
          <cell r="DL69">
            <v>88</v>
          </cell>
          <cell r="DM69" t="str">
            <v>NILL</v>
          </cell>
          <cell r="DN69">
            <v>0</v>
          </cell>
          <cell r="DO69">
            <v>35</v>
          </cell>
          <cell r="DP69">
            <v>92</v>
          </cell>
          <cell r="DQ69" t="str">
            <v>NILL</v>
          </cell>
          <cell r="DR69">
            <v>0</v>
          </cell>
          <cell r="DS69">
            <v>0</v>
          </cell>
          <cell r="DT69">
            <v>81</v>
          </cell>
          <cell r="DU69" t="str">
            <v>NILL</v>
          </cell>
          <cell r="DV69">
            <v>0</v>
          </cell>
          <cell r="DW69">
            <v>0</v>
          </cell>
          <cell r="DX69">
            <v>0</v>
          </cell>
          <cell r="DY69" t="str">
            <v>NILL</v>
          </cell>
          <cell r="DZ69">
            <v>0</v>
          </cell>
          <cell r="EA69">
            <v>0</v>
          </cell>
          <cell r="EB69">
            <v>86</v>
          </cell>
          <cell r="EC69" t="str">
            <v>NILL</v>
          </cell>
          <cell r="ED69">
            <v>0</v>
          </cell>
          <cell r="EE69">
            <v>0</v>
          </cell>
          <cell r="EF69">
            <v>59</v>
          </cell>
          <cell r="EG69" t="str">
            <v>NILL</v>
          </cell>
          <cell r="EH69">
            <v>0</v>
          </cell>
          <cell r="EI69">
            <v>0</v>
          </cell>
          <cell r="EJ69">
            <v>89</v>
          </cell>
          <cell r="EK69" t="str">
            <v>NILL</v>
          </cell>
          <cell r="EL69">
            <v>0</v>
          </cell>
          <cell r="EM69">
            <v>0</v>
          </cell>
          <cell r="EN69">
            <v>91</v>
          </cell>
          <cell r="EO69" t="str">
            <v>NILL</v>
          </cell>
          <cell r="EP69" t="str">
            <v/>
          </cell>
          <cell r="EQ69">
            <v>0</v>
          </cell>
          <cell r="ER69">
            <v>0</v>
          </cell>
          <cell r="ES69" t="e">
            <v>#VALUE!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 t="str">
            <v/>
          </cell>
          <cell r="G70" t="str">
            <v/>
          </cell>
          <cell r="H70" t="str">
            <v/>
          </cell>
          <cell r="I70">
            <v>0</v>
          </cell>
          <cell r="J70">
            <v>0</v>
          </cell>
          <cell r="K70" t="str">
            <v>-</v>
          </cell>
          <cell r="L70" t="str">
            <v/>
          </cell>
          <cell r="M70" t="str">
            <v/>
          </cell>
          <cell r="N70" t="str">
            <v/>
          </cell>
          <cell r="O70">
            <v>0</v>
          </cell>
          <cell r="P70">
            <v>0</v>
          </cell>
          <cell r="Q70" t="str">
            <v>-</v>
          </cell>
          <cell r="R70" t="str">
            <v/>
          </cell>
          <cell r="S70" t="str">
            <v/>
          </cell>
          <cell r="T70" t="str">
            <v/>
          </cell>
          <cell r="U70">
            <v>0</v>
          </cell>
          <cell r="V70">
            <v>0</v>
          </cell>
          <cell r="W70" t="str">
            <v>-</v>
          </cell>
          <cell r="X70" t="str">
            <v/>
          </cell>
          <cell r="Y70" t="str">
            <v/>
          </cell>
          <cell r="Z70" t="str">
            <v/>
          </cell>
          <cell r="AA70">
            <v>0</v>
          </cell>
          <cell r="AB70">
            <v>0</v>
          </cell>
          <cell r="AC70" t="str">
            <v>-</v>
          </cell>
          <cell r="AD70" t="str">
            <v/>
          </cell>
          <cell r="AE70" t="str">
            <v/>
          </cell>
          <cell r="AF70" t="str">
            <v/>
          </cell>
          <cell r="AG70">
            <v>0</v>
          </cell>
          <cell r="AH70">
            <v>0</v>
          </cell>
          <cell r="AI70" t="str">
            <v>-</v>
          </cell>
          <cell r="AJ70" t="str">
            <v/>
          </cell>
          <cell r="AK70" t="str">
            <v/>
          </cell>
          <cell r="AL70" t="str">
            <v/>
          </cell>
          <cell r="AM70">
            <v>0</v>
          </cell>
          <cell r="AN70">
            <v>0</v>
          </cell>
          <cell r="AO70" t="str">
            <v>-</v>
          </cell>
          <cell r="AP70" t="str">
            <v/>
          </cell>
          <cell r="AQ70" t="str">
            <v/>
          </cell>
          <cell r="AR70" t="str">
            <v/>
          </cell>
          <cell r="AS70">
            <v>0</v>
          </cell>
          <cell r="AT70">
            <v>0</v>
          </cell>
          <cell r="AU70" t="str">
            <v>-</v>
          </cell>
          <cell r="AV70" t="str">
            <v/>
          </cell>
          <cell r="AW70" t="str">
            <v/>
          </cell>
          <cell r="AX70" t="str">
            <v/>
          </cell>
          <cell r="AY70">
            <v>0</v>
          </cell>
          <cell r="AZ70">
            <v>0</v>
          </cell>
          <cell r="BA70" t="str">
            <v>-</v>
          </cell>
          <cell r="BB70" t="str">
            <v/>
          </cell>
          <cell r="BC70" t="str">
            <v/>
          </cell>
          <cell r="BD70" t="str">
            <v/>
          </cell>
          <cell r="BE70">
            <v>0</v>
          </cell>
          <cell r="BF70">
            <v>0</v>
          </cell>
          <cell r="BG70" t="str">
            <v>-</v>
          </cell>
          <cell r="BH70" t="str">
            <v/>
          </cell>
          <cell r="BI70" t="str">
            <v/>
          </cell>
          <cell r="BJ70" t="str">
            <v/>
          </cell>
          <cell r="BK70">
            <v>0</v>
          </cell>
          <cell r="BL70">
            <v>0</v>
          </cell>
          <cell r="BM70" t="str">
            <v>-</v>
          </cell>
          <cell r="BN70" t="str">
            <v/>
          </cell>
          <cell r="BO70" t="str">
            <v/>
          </cell>
          <cell r="BP70" t="str">
            <v/>
          </cell>
          <cell r="BQ70">
            <v>0</v>
          </cell>
          <cell r="BR70">
            <v>0</v>
          </cell>
          <cell r="BS70" t="str">
            <v>-</v>
          </cell>
          <cell r="BT70" t="str">
            <v/>
          </cell>
          <cell r="BU70" t="str">
            <v/>
          </cell>
          <cell r="BV70" t="str">
            <v/>
          </cell>
          <cell r="BW70">
            <v>0</v>
          </cell>
          <cell r="BX70">
            <v>0</v>
          </cell>
          <cell r="BY70" t="str">
            <v>-</v>
          </cell>
          <cell r="BZ70" t="str">
            <v/>
          </cell>
          <cell r="CA70" t="str">
            <v/>
          </cell>
          <cell r="CB70" t="str">
            <v/>
          </cell>
          <cell r="CC70">
            <v>0</v>
          </cell>
          <cell r="CD70">
            <v>0</v>
          </cell>
          <cell r="CE70" t="str">
            <v>-</v>
          </cell>
          <cell r="CF70" t="str">
            <v/>
          </cell>
          <cell r="CG70" t="str">
            <v/>
          </cell>
          <cell r="CH70" t="str">
            <v/>
          </cell>
          <cell r="CI70" t="str">
            <v/>
          </cell>
          <cell r="CJ70" t="str">
            <v/>
          </cell>
          <cell r="CK70" t="str">
            <v/>
          </cell>
          <cell r="CL70">
            <v>0</v>
          </cell>
          <cell r="CM70">
            <v>0</v>
          </cell>
          <cell r="CN70">
            <v>0</v>
          </cell>
          <cell r="CO70" t="str">
            <v>N.R</v>
          </cell>
          <cell r="CP70">
            <v>0</v>
          </cell>
          <cell r="CQ70">
            <v>41</v>
          </cell>
          <cell r="CR70">
            <v>87</v>
          </cell>
          <cell r="CS70" t="str">
            <v>NILL</v>
          </cell>
          <cell r="CT70">
            <v>0</v>
          </cell>
          <cell r="CU70">
            <v>35</v>
          </cell>
          <cell r="CV70">
            <v>74</v>
          </cell>
          <cell r="CW70" t="str">
            <v>NILL</v>
          </cell>
          <cell r="CX70">
            <v>0</v>
          </cell>
          <cell r="CY70">
            <v>59</v>
          </cell>
          <cell r="CZ70">
            <v>97</v>
          </cell>
          <cell r="DA70" t="str">
            <v>NILL</v>
          </cell>
          <cell r="DB70">
            <v>0</v>
          </cell>
          <cell r="DC70">
            <v>0</v>
          </cell>
          <cell r="DD70">
            <v>0</v>
          </cell>
          <cell r="DE70" t="str">
            <v>NILL</v>
          </cell>
          <cell r="DF70">
            <v>0</v>
          </cell>
          <cell r="DG70">
            <v>33</v>
          </cell>
          <cell r="DH70">
            <v>87</v>
          </cell>
          <cell r="DI70" t="str">
            <v>NILL</v>
          </cell>
          <cell r="DJ70">
            <v>0</v>
          </cell>
          <cell r="DK70">
            <v>29</v>
          </cell>
          <cell r="DL70">
            <v>88</v>
          </cell>
          <cell r="DM70" t="str">
            <v>NILL</v>
          </cell>
          <cell r="DN70">
            <v>0</v>
          </cell>
          <cell r="DO70">
            <v>35</v>
          </cell>
          <cell r="DP70">
            <v>92</v>
          </cell>
          <cell r="DQ70" t="str">
            <v>NILL</v>
          </cell>
          <cell r="DR70">
            <v>0</v>
          </cell>
          <cell r="DS70">
            <v>0</v>
          </cell>
          <cell r="DT70">
            <v>81</v>
          </cell>
          <cell r="DU70" t="str">
            <v>NILL</v>
          </cell>
          <cell r="DV70">
            <v>0</v>
          </cell>
          <cell r="DW70">
            <v>0</v>
          </cell>
          <cell r="DX70">
            <v>0</v>
          </cell>
          <cell r="DY70" t="str">
            <v>NILL</v>
          </cell>
          <cell r="DZ70">
            <v>0</v>
          </cell>
          <cell r="EA70">
            <v>0</v>
          </cell>
          <cell r="EB70">
            <v>86</v>
          </cell>
          <cell r="EC70" t="str">
            <v>NILL</v>
          </cell>
          <cell r="ED70">
            <v>0</v>
          </cell>
          <cell r="EE70">
            <v>0</v>
          </cell>
          <cell r="EF70">
            <v>60</v>
          </cell>
          <cell r="EG70" t="str">
            <v>NILL</v>
          </cell>
          <cell r="EH70">
            <v>0</v>
          </cell>
          <cell r="EI70">
            <v>0</v>
          </cell>
          <cell r="EJ70">
            <v>89</v>
          </cell>
          <cell r="EK70" t="str">
            <v>NILL</v>
          </cell>
          <cell r="EL70">
            <v>0</v>
          </cell>
          <cell r="EM70">
            <v>0</v>
          </cell>
          <cell r="EN70">
            <v>91</v>
          </cell>
          <cell r="EO70" t="str">
            <v>NILL</v>
          </cell>
          <cell r="EP70" t="str">
            <v/>
          </cell>
          <cell r="EQ70">
            <v>0</v>
          </cell>
          <cell r="ER70">
            <v>0</v>
          </cell>
          <cell r="ES70" t="e">
            <v>#VALUE!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 t="str">
            <v/>
          </cell>
          <cell r="G71" t="str">
            <v/>
          </cell>
          <cell r="H71" t="str">
            <v/>
          </cell>
          <cell r="I71">
            <v>0</v>
          </cell>
          <cell r="J71">
            <v>0</v>
          </cell>
          <cell r="K71" t="str">
            <v>-</v>
          </cell>
          <cell r="L71" t="str">
            <v/>
          </cell>
          <cell r="M71" t="str">
            <v/>
          </cell>
          <cell r="N71" t="str">
            <v/>
          </cell>
          <cell r="O71">
            <v>0</v>
          </cell>
          <cell r="P71">
            <v>0</v>
          </cell>
          <cell r="Q71" t="str">
            <v>-</v>
          </cell>
          <cell r="R71" t="str">
            <v/>
          </cell>
          <cell r="S71" t="str">
            <v/>
          </cell>
          <cell r="T71" t="str">
            <v/>
          </cell>
          <cell r="U71">
            <v>0</v>
          </cell>
          <cell r="V71">
            <v>0</v>
          </cell>
          <cell r="W71" t="str">
            <v>-</v>
          </cell>
          <cell r="X71" t="str">
            <v/>
          </cell>
          <cell r="Y71" t="str">
            <v/>
          </cell>
          <cell r="Z71" t="str">
            <v/>
          </cell>
          <cell r="AA71">
            <v>0</v>
          </cell>
          <cell r="AB71">
            <v>0</v>
          </cell>
          <cell r="AC71" t="str">
            <v>-</v>
          </cell>
          <cell r="AD71" t="str">
            <v/>
          </cell>
          <cell r="AE71" t="str">
            <v/>
          </cell>
          <cell r="AF71" t="str">
            <v/>
          </cell>
          <cell r="AG71">
            <v>0</v>
          </cell>
          <cell r="AH71">
            <v>0</v>
          </cell>
          <cell r="AI71" t="str">
            <v>-</v>
          </cell>
          <cell r="AJ71" t="str">
            <v/>
          </cell>
          <cell r="AK71" t="str">
            <v/>
          </cell>
          <cell r="AL71" t="str">
            <v/>
          </cell>
          <cell r="AM71">
            <v>0</v>
          </cell>
          <cell r="AN71">
            <v>0</v>
          </cell>
          <cell r="AO71" t="str">
            <v>-</v>
          </cell>
          <cell r="AP71" t="str">
            <v/>
          </cell>
          <cell r="AQ71" t="str">
            <v/>
          </cell>
          <cell r="AR71" t="str">
            <v/>
          </cell>
          <cell r="AS71">
            <v>0</v>
          </cell>
          <cell r="AT71">
            <v>0</v>
          </cell>
          <cell r="AU71" t="str">
            <v>-</v>
          </cell>
          <cell r="AV71" t="str">
            <v/>
          </cell>
          <cell r="AW71" t="str">
            <v/>
          </cell>
          <cell r="AX71" t="str">
            <v/>
          </cell>
          <cell r="AY71">
            <v>0</v>
          </cell>
          <cell r="AZ71">
            <v>0</v>
          </cell>
          <cell r="BA71" t="str">
            <v>-</v>
          </cell>
          <cell r="BB71" t="str">
            <v/>
          </cell>
          <cell r="BC71" t="str">
            <v/>
          </cell>
          <cell r="BD71" t="str">
            <v/>
          </cell>
          <cell r="BE71">
            <v>0</v>
          </cell>
          <cell r="BF71">
            <v>0</v>
          </cell>
          <cell r="BG71" t="str">
            <v>-</v>
          </cell>
          <cell r="BH71" t="str">
            <v/>
          </cell>
          <cell r="BI71" t="str">
            <v/>
          </cell>
          <cell r="BJ71" t="str">
            <v/>
          </cell>
          <cell r="BK71">
            <v>0</v>
          </cell>
          <cell r="BL71">
            <v>0</v>
          </cell>
          <cell r="BM71" t="str">
            <v>-</v>
          </cell>
          <cell r="BN71" t="str">
            <v/>
          </cell>
          <cell r="BO71" t="str">
            <v/>
          </cell>
          <cell r="BP71" t="str">
            <v/>
          </cell>
          <cell r="BQ71">
            <v>0</v>
          </cell>
          <cell r="BR71">
            <v>0</v>
          </cell>
          <cell r="BS71" t="str">
            <v>-</v>
          </cell>
          <cell r="BT71" t="str">
            <v/>
          </cell>
          <cell r="BU71" t="str">
            <v/>
          </cell>
          <cell r="BV71" t="str">
            <v/>
          </cell>
          <cell r="BW71">
            <v>0</v>
          </cell>
          <cell r="BX71">
            <v>0</v>
          </cell>
          <cell r="BY71" t="str">
            <v>-</v>
          </cell>
          <cell r="BZ71" t="str">
            <v/>
          </cell>
          <cell r="CA71" t="str">
            <v/>
          </cell>
          <cell r="CB71" t="str">
            <v/>
          </cell>
          <cell r="CC71">
            <v>0</v>
          </cell>
          <cell r="CD71">
            <v>0</v>
          </cell>
          <cell r="CE71" t="str">
            <v>-</v>
          </cell>
          <cell r="CF71" t="str">
            <v/>
          </cell>
          <cell r="CG71" t="str">
            <v/>
          </cell>
          <cell r="CH71" t="str">
            <v/>
          </cell>
          <cell r="CI71" t="str">
            <v/>
          </cell>
          <cell r="CJ71" t="str">
            <v/>
          </cell>
          <cell r="CK71" t="str">
            <v/>
          </cell>
          <cell r="CL71">
            <v>0</v>
          </cell>
          <cell r="CM71">
            <v>0</v>
          </cell>
          <cell r="CN71">
            <v>0</v>
          </cell>
          <cell r="CO71" t="str">
            <v>N.R</v>
          </cell>
          <cell r="CP71">
            <v>0</v>
          </cell>
          <cell r="CQ71">
            <v>41</v>
          </cell>
          <cell r="CR71">
            <v>87</v>
          </cell>
          <cell r="CS71" t="str">
            <v>NILL</v>
          </cell>
          <cell r="CT71">
            <v>0</v>
          </cell>
          <cell r="CU71">
            <v>35</v>
          </cell>
          <cell r="CV71">
            <v>74</v>
          </cell>
          <cell r="CW71" t="str">
            <v>NILL</v>
          </cell>
          <cell r="CX71">
            <v>0</v>
          </cell>
          <cell r="CY71">
            <v>59</v>
          </cell>
          <cell r="CZ71">
            <v>97</v>
          </cell>
          <cell r="DA71" t="str">
            <v>NILL</v>
          </cell>
          <cell r="DB71">
            <v>0</v>
          </cell>
          <cell r="DC71">
            <v>0</v>
          </cell>
          <cell r="DD71">
            <v>0</v>
          </cell>
          <cell r="DE71" t="str">
            <v>NILL</v>
          </cell>
          <cell r="DF71">
            <v>0</v>
          </cell>
          <cell r="DG71">
            <v>33</v>
          </cell>
          <cell r="DH71">
            <v>87</v>
          </cell>
          <cell r="DI71" t="str">
            <v>NILL</v>
          </cell>
          <cell r="DJ71">
            <v>0</v>
          </cell>
          <cell r="DK71">
            <v>29</v>
          </cell>
          <cell r="DL71">
            <v>88</v>
          </cell>
          <cell r="DM71" t="str">
            <v>NILL</v>
          </cell>
          <cell r="DN71">
            <v>0</v>
          </cell>
          <cell r="DO71">
            <v>35</v>
          </cell>
          <cell r="DP71">
            <v>92</v>
          </cell>
          <cell r="DQ71" t="str">
            <v>NILL</v>
          </cell>
          <cell r="DR71">
            <v>0</v>
          </cell>
          <cell r="DS71">
            <v>0</v>
          </cell>
          <cell r="DT71">
            <v>81</v>
          </cell>
          <cell r="DU71" t="str">
            <v>NILL</v>
          </cell>
          <cell r="DV71">
            <v>0</v>
          </cell>
          <cell r="DW71">
            <v>0</v>
          </cell>
          <cell r="DX71">
            <v>0</v>
          </cell>
          <cell r="DY71" t="str">
            <v>NILL</v>
          </cell>
          <cell r="DZ71">
            <v>0</v>
          </cell>
          <cell r="EA71">
            <v>0</v>
          </cell>
          <cell r="EB71">
            <v>86</v>
          </cell>
          <cell r="EC71" t="str">
            <v>NILL</v>
          </cell>
          <cell r="ED71">
            <v>0</v>
          </cell>
          <cell r="EE71">
            <v>0</v>
          </cell>
          <cell r="EF71">
            <v>61</v>
          </cell>
          <cell r="EG71" t="str">
            <v>NILL</v>
          </cell>
          <cell r="EH71">
            <v>0</v>
          </cell>
          <cell r="EI71">
            <v>0</v>
          </cell>
          <cell r="EJ71">
            <v>89</v>
          </cell>
          <cell r="EK71" t="str">
            <v>NILL</v>
          </cell>
          <cell r="EL71">
            <v>0</v>
          </cell>
          <cell r="EM71">
            <v>0</v>
          </cell>
          <cell r="EN71">
            <v>91</v>
          </cell>
          <cell r="EO71" t="str">
            <v>NILL</v>
          </cell>
          <cell r="EP71" t="str">
            <v/>
          </cell>
          <cell r="EQ71">
            <v>0</v>
          </cell>
          <cell r="ER71">
            <v>0</v>
          </cell>
          <cell r="ES71" t="e">
            <v>#VALUE!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 t="str">
            <v/>
          </cell>
          <cell r="G72" t="str">
            <v/>
          </cell>
          <cell r="H72" t="str">
            <v/>
          </cell>
          <cell r="I72">
            <v>0</v>
          </cell>
          <cell r="J72">
            <v>0</v>
          </cell>
          <cell r="K72" t="str">
            <v>-</v>
          </cell>
          <cell r="L72" t="str">
            <v/>
          </cell>
          <cell r="M72" t="str">
            <v/>
          </cell>
          <cell r="N72" t="str">
            <v/>
          </cell>
          <cell r="O72">
            <v>0</v>
          </cell>
          <cell r="P72">
            <v>0</v>
          </cell>
          <cell r="Q72" t="str">
            <v>-</v>
          </cell>
          <cell r="R72" t="str">
            <v/>
          </cell>
          <cell r="S72" t="str">
            <v/>
          </cell>
          <cell r="T72" t="str">
            <v/>
          </cell>
          <cell r="U72">
            <v>0</v>
          </cell>
          <cell r="V72">
            <v>0</v>
          </cell>
          <cell r="W72" t="str">
            <v>-</v>
          </cell>
          <cell r="X72" t="str">
            <v/>
          </cell>
          <cell r="Y72" t="str">
            <v/>
          </cell>
          <cell r="Z72" t="str">
            <v/>
          </cell>
          <cell r="AA72">
            <v>0</v>
          </cell>
          <cell r="AB72">
            <v>0</v>
          </cell>
          <cell r="AC72" t="str">
            <v>-</v>
          </cell>
          <cell r="AD72" t="str">
            <v/>
          </cell>
          <cell r="AE72" t="str">
            <v/>
          </cell>
          <cell r="AF72" t="str">
            <v/>
          </cell>
          <cell r="AG72">
            <v>0</v>
          </cell>
          <cell r="AH72">
            <v>0</v>
          </cell>
          <cell r="AI72" t="str">
            <v>-</v>
          </cell>
          <cell r="AJ72" t="str">
            <v/>
          </cell>
          <cell r="AK72" t="str">
            <v/>
          </cell>
          <cell r="AL72" t="str">
            <v/>
          </cell>
          <cell r="AM72">
            <v>0</v>
          </cell>
          <cell r="AN72">
            <v>0</v>
          </cell>
          <cell r="AO72" t="str">
            <v>-</v>
          </cell>
          <cell r="AP72" t="str">
            <v/>
          </cell>
          <cell r="AQ72" t="str">
            <v/>
          </cell>
          <cell r="AR72" t="str">
            <v/>
          </cell>
          <cell r="AS72">
            <v>0</v>
          </cell>
          <cell r="AT72">
            <v>0</v>
          </cell>
          <cell r="AU72" t="str">
            <v>-</v>
          </cell>
          <cell r="AV72" t="str">
            <v/>
          </cell>
          <cell r="AW72" t="str">
            <v/>
          </cell>
          <cell r="AX72" t="str">
            <v/>
          </cell>
          <cell r="AY72">
            <v>0</v>
          </cell>
          <cell r="AZ72">
            <v>0</v>
          </cell>
          <cell r="BA72" t="str">
            <v>-</v>
          </cell>
          <cell r="BB72" t="str">
            <v/>
          </cell>
          <cell r="BC72" t="str">
            <v/>
          </cell>
          <cell r="BD72" t="str">
            <v/>
          </cell>
          <cell r="BE72">
            <v>0</v>
          </cell>
          <cell r="BF72">
            <v>0</v>
          </cell>
          <cell r="BG72" t="str">
            <v>-</v>
          </cell>
          <cell r="BH72" t="str">
            <v/>
          </cell>
          <cell r="BI72" t="str">
            <v/>
          </cell>
          <cell r="BJ72" t="str">
            <v/>
          </cell>
          <cell r="BK72">
            <v>0</v>
          </cell>
          <cell r="BL72">
            <v>0</v>
          </cell>
          <cell r="BM72" t="str">
            <v>-</v>
          </cell>
          <cell r="BN72" t="str">
            <v/>
          </cell>
          <cell r="BO72" t="str">
            <v/>
          </cell>
          <cell r="BP72" t="str">
            <v/>
          </cell>
          <cell r="BQ72">
            <v>0</v>
          </cell>
          <cell r="BR72">
            <v>0</v>
          </cell>
          <cell r="BS72" t="str">
            <v>-</v>
          </cell>
          <cell r="BT72" t="str">
            <v/>
          </cell>
          <cell r="BU72" t="str">
            <v/>
          </cell>
          <cell r="BV72" t="str">
            <v/>
          </cell>
          <cell r="BW72">
            <v>0</v>
          </cell>
          <cell r="BX72">
            <v>0</v>
          </cell>
          <cell r="BY72" t="str">
            <v>-</v>
          </cell>
          <cell r="BZ72" t="str">
            <v/>
          </cell>
          <cell r="CA72" t="str">
            <v/>
          </cell>
          <cell r="CB72" t="str">
            <v/>
          </cell>
          <cell r="CC72">
            <v>0</v>
          </cell>
          <cell r="CD72">
            <v>0</v>
          </cell>
          <cell r="CE72" t="str">
            <v>-</v>
          </cell>
          <cell r="CF72" t="str">
            <v/>
          </cell>
          <cell r="CG72" t="str">
            <v/>
          </cell>
          <cell r="CH72" t="str">
            <v/>
          </cell>
          <cell r="CI72" t="str">
            <v/>
          </cell>
          <cell r="CJ72" t="str">
            <v/>
          </cell>
          <cell r="CK72" t="str">
            <v/>
          </cell>
          <cell r="CL72">
            <v>0</v>
          </cell>
          <cell r="CM72">
            <v>0</v>
          </cell>
          <cell r="CN72">
            <v>0</v>
          </cell>
          <cell r="CO72" t="str">
            <v>N.R</v>
          </cell>
          <cell r="CP72">
            <v>0</v>
          </cell>
          <cell r="CQ72">
            <v>41</v>
          </cell>
          <cell r="CR72">
            <v>87</v>
          </cell>
          <cell r="CS72" t="str">
            <v>NILL</v>
          </cell>
          <cell r="CT72">
            <v>0</v>
          </cell>
          <cell r="CU72">
            <v>35</v>
          </cell>
          <cell r="CV72">
            <v>74</v>
          </cell>
          <cell r="CW72" t="str">
            <v>NILL</v>
          </cell>
          <cell r="CX72">
            <v>0</v>
          </cell>
          <cell r="CY72">
            <v>59</v>
          </cell>
          <cell r="CZ72">
            <v>97</v>
          </cell>
          <cell r="DA72" t="str">
            <v>NILL</v>
          </cell>
          <cell r="DB72">
            <v>0</v>
          </cell>
          <cell r="DC72">
            <v>0</v>
          </cell>
          <cell r="DD72">
            <v>0</v>
          </cell>
          <cell r="DE72" t="str">
            <v>NILL</v>
          </cell>
          <cell r="DF72">
            <v>0</v>
          </cell>
          <cell r="DG72">
            <v>33</v>
          </cell>
          <cell r="DH72">
            <v>87</v>
          </cell>
          <cell r="DI72" t="str">
            <v>NILL</v>
          </cell>
          <cell r="DJ72">
            <v>0</v>
          </cell>
          <cell r="DK72">
            <v>29</v>
          </cell>
          <cell r="DL72">
            <v>88</v>
          </cell>
          <cell r="DM72" t="str">
            <v>NILL</v>
          </cell>
          <cell r="DN72">
            <v>0</v>
          </cell>
          <cell r="DO72">
            <v>35</v>
          </cell>
          <cell r="DP72">
            <v>92</v>
          </cell>
          <cell r="DQ72" t="str">
            <v>NILL</v>
          </cell>
          <cell r="DR72">
            <v>0</v>
          </cell>
          <cell r="DS72">
            <v>0</v>
          </cell>
          <cell r="DT72">
            <v>81</v>
          </cell>
          <cell r="DU72" t="str">
            <v>NILL</v>
          </cell>
          <cell r="DV72">
            <v>0</v>
          </cell>
          <cell r="DW72">
            <v>0</v>
          </cell>
          <cell r="DX72">
            <v>0</v>
          </cell>
          <cell r="DY72" t="str">
            <v>NILL</v>
          </cell>
          <cell r="DZ72">
            <v>0</v>
          </cell>
          <cell r="EA72">
            <v>0</v>
          </cell>
          <cell r="EB72">
            <v>86</v>
          </cell>
          <cell r="EC72" t="str">
            <v>NILL</v>
          </cell>
          <cell r="ED72">
            <v>0</v>
          </cell>
          <cell r="EE72">
            <v>0</v>
          </cell>
          <cell r="EF72">
            <v>62</v>
          </cell>
          <cell r="EG72" t="str">
            <v>NILL</v>
          </cell>
          <cell r="EH72">
            <v>0</v>
          </cell>
          <cell r="EI72">
            <v>0</v>
          </cell>
          <cell r="EJ72">
            <v>89</v>
          </cell>
          <cell r="EK72" t="str">
            <v>NILL</v>
          </cell>
          <cell r="EL72">
            <v>0</v>
          </cell>
          <cell r="EM72">
            <v>0</v>
          </cell>
          <cell r="EN72">
            <v>91</v>
          </cell>
          <cell r="EO72" t="str">
            <v>NILL</v>
          </cell>
          <cell r="EP72" t="str">
            <v/>
          </cell>
          <cell r="EQ72">
            <v>0</v>
          </cell>
          <cell r="ER72">
            <v>0</v>
          </cell>
          <cell r="ES72" t="e">
            <v>#VALUE!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 t="str">
            <v/>
          </cell>
          <cell r="G73" t="str">
            <v/>
          </cell>
          <cell r="H73" t="str">
            <v/>
          </cell>
          <cell r="I73">
            <v>0</v>
          </cell>
          <cell r="J73">
            <v>0</v>
          </cell>
          <cell r="K73" t="str">
            <v>-</v>
          </cell>
          <cell r="L73" t="str">
            <v/>
          </cell>
          <cell r="M73" t="str">
            <v/>
          </cell>
          <cell r="N73" t="str">
            <v/>
          </cell>
          <cell r="O73">
            <v>0</v>
          </cell>
          <cell r="P73">
            <v>0</v>
          </cell>
          <cell r="Q73" t="str">
            <v>-</v>
          </cell>
          <cell r="R73" t="str">
            <v/>
          </cell>
          <cell r="S73" t="str">
            <v/>
          </cell>
          <cell r="T73" t="str">
            <v/>
          </cell>
          <cell r="U73">
            <v>0</v>
          </cell>
          <cell r="V73">
            <v>0</v>
          </cell>
          <cell r="W73" t="str">
            <v>-</v>
          </cell>
          <cell r="X73" t="str">
            <v/>
          </cell>
          <cell r="Y73" t="str">
            <v/>
          </cell>
          <cell r="Z73" t="str">
            <v/>
          </cell>
          <cell r="AA73">
            <v>0</v>
          </cell>
          <cell r="AB73">
            <v>0</v>
          </cell>
          <cell r="AC73" t="str">
            <v>-</v>
          </cell>
          <cell r="AD73" t="str">
            <v/>
          </cell>
          <cell r="AE73" t="str">
            <v/>
          </cell>
          <cell r="AF73" t="str">
            <v/>
          </cell>
          <cell r="AG73">
            <v>0</v>
          </cell>
          <cell r="AH73">
            <v>0</v>
          </cell>
          <cell r="AI73" t="str">
            <v>-</v>
          </cell>
          <cell r="AJ73" t="str">
            <v/>
          </cell>
          <cell r="AK73" t="str">
            <v/>
          </cell>
          <cell r="AL73" t="str">
            <v/>
          </cell>
          <cell r="AM73">
            <v>0</v>
          </cell>
          <cell r="AN73">
            <v>0</v>
          </cell>
          <cell r="AO73" t="str">
            <v>-</v>
          </cell>
          <cell r="AP73" t="str">
            <v/>
          </cell>
          <cell r="AQ73" t="str">
            <v/>
          </cell>
          <cell r="AR73" t="str">
            <v/>
          </cell>
          <cell r="AS73">
            <v>0</v>
          </cell>
          <cell r="AT73">
            <v>0</v>
          </cell>
          <cell r="AU73" t="str">
            <v>-</v>
          </cell>
          <cell r="AV73" t="str">
            <v/>
          </cell>
          <cell r="AW73" t="str">
            <v/>
          </cell>
          <cell r="AX73" t="str">
            <v/>
          </cell>
          <cell r="AY73">
            <v>0</v>
          </cell>
          <cell r="AZ73">
            <v>0</v>
          </cell>
          <cell r="BA73" t="str">
            <v>-</v>
          </cell>
          <cell r="BB73" t="str">
            <v/>
          </cell>
          <cell r="BC73" t="str">
            <v/>
          </cell>
          <cell r="BD73" t="str">
            <v/>
          </cell>
          <cell r="BE73">
            <v>0</v>
          </cell>
          <cell r="BF73">
            <v>0</v>
          </cell>
          <cell r="BG73" t="str">
            <v>-</v>
          </cell>
          <cell r="BH73" t="str">
            <v/>
          </cell>
          <cell r="BI73" t="str">
            <v/>
          </cell>
          <cell r="BJ73" t="str">
            <v/>
          </cell>
          <cell r="BK73">
            <v>0</v>
          </cell>
          <cell r="BL73">
            <v>0</v>
          </cell>
          <cell r="BM73" t="str">
            <v>-</v>
          </cell>
          <cell r="BN73" t="str">
            <v/>
          </cell>
          <cell r="BO73" t="str">
            <v/>
          </cell>
          <cell r="BP73" t="str">
            <v/>
          </cell>
          <cell r="BQ73">
            <v>0</v>
          </cell>
          <cell r="BR73">
            <v>0</v>
          </cell>
          <cell r="BS73" t="str">
            <v>-</v>
          </cell>
          <cell r="BT73" t="str">
            <v/>
          </cell>
          <cell r="BU73" t="str">
            <v/>
          </cell>
          <cell r="BV73" t="str">
            <v/>
          </cell>
          <cell r="BW73">
            <v>0</v>
          </cell>
          <cell r="BX73">
            <v>0</v>
          </cell>
          <cell r="BY73" t="str">
            <v>-</v>
          </cell>
          <cell r="BZ73" t="str">
            <v/>
          </cell>
          <cell r="CA73" t="str">
            <v/>
          </cell>
          <cell r="CB73" t="str">
            <v/>
          </cell>
          <cell r="CC73">
            <v>0</v>
          </cell>
          <cell r="CD73">
            <v>0</v>
          </cell>
          <cell r="CE73" t="str">
            <v>-</v>
          </cell>
          <cell r="CF73" t="str">
            <v/>
          </cell>
          <cell r="CG73" t="str">
            <v/>
          </cell>
          <cell r="CH73" t="str">
            <v/>
          </cell>
          <cell r="CI73" t="str">
            <v/>
          </cell>
          <cell r="CJ73" t="str">
            <v/>
          </cell>
          <cell r="CK73" t="str">
            <v/>
          </cell>
          <cell r="CL73">
            <v>0</v>
          </cell>
          <cell r="CM73">
            <v>0</v>
          </cell>
          <cell r="CN73">
            <v>0</v>
          </cell>
          <cell r="CO73" t="str">
            <v>N.R</v>
          </cell>
          <cell r="CP73">
            <v>0</v>
          </cell>
          <cell r="CQ73">
            <v>41</v>
          </cell>
          <cell r="CR73">
            <v>87</v>
          </cell>
          <cell r="CS73" t="str">
            <v>NILL</v>
          </cell>
          <cell r="CT73">
            <v>0</v>
          </cell>
          <cell r="CU73">
            <v>35</v>
          </cell>
          <cell r="CV73">
            <v>74</v>
          </cell>
          <cell r="CW73" t="str">
            <v>NILL</v>
          </cell>
          <cell r="CX73">
            <v>0</v>
          </cell>
          <cell r="CY73">
            <v>59</v>
          </cell>
          <cell r="CZ73">
            <v>97</v>
          </cell>
          <cell r="DA73" t="str">
            <v>NILL</v>
          </cell>
          <cell r="DB73">
            <v>0</v>
          </cell>
          <cell r="DC73">
            <v>0</v>
          </cell>
          <cell r="DD73">
            <v>0</v>
          </cell>
          <cell r="DE73" t="str">
            <v>NILL</v>
          </cell>
          <cell r="DF73">
            <v>0</v>
          </cell>
          <cell r="DG73">
            <v>33</v>
          </cell>
          <cell r="DH73">
            <v>87</v>
          </cell>
          <cell r="DI73" t="str">
            <v>NILL</v>
          </cell>
          <cell r="DJ73">
            <v>0</v>
          </cell>
          <cell r="DK73">
            <v>29</v>
          </cell>
          <cell r="DL73">
            <v>88</v>
          </cell>
          <cell r="DM73" t="str">
            <v>NILL</v>
          </cell>
          <cell r="DN73">
            <v>0</v>
          </cell>
          <cell r="DO73">
            <v>35</v>
          </cell>
          <cell r="DP73">
            <v>92</v>
          </cell>
          <cell r="DQ73" t="str">
            <v>NILL</v>
          </cell>
          <cell r="DR73">
            <v>0</v>
          </cell>
          <cell r="DS73">
            <v>0</v>
          </cell>
          <cell r="DT73">
            <v>81</v>
          </cell>
          <cell r="DU73" t="str">
            <v>NILL</v>
          </cell>
          <cell r="DV73">
            <v>0</v>
          </cell>
          <cell r="DW73">
            <v>0</v>
          </cell>
          <cell r="DX73">
            <v>0</v>
          </cell>
          <cell r="DY73" t="str">
            <v>NILL</v>
          </cell>
          <cell r="DZ73">
            <v>0</v>
          </cell>
          <cell r="EA73">
            <v>0</v>
          </cell>
          <cell r="EB73">
            <v>86</v>
          </cell>
          <cell r="EC73" t="str">
            <v>NILL</v>
          </cell>
          <cell r="ED73">
            <v>0</v>
          </cell>
          <cell r="EE73">
            <v>0</v>
          </cell>
          <cell r="EF73">
            <v>63</v>
          </cell>
          <cell r="EG73" t="str">
            <v>NILL</v>
          </cell>
          <cell r="EH73">
            <v>0</v>
          </cell>
          <cell r="EI73">
            <v>0</v>
          </cell>
          <cell r="EJ73">
            <v>89</v>
          </cell>
          <cell r="EK73" t="str">
            <v>NILL</v>
          </cell>
          <cell r="EL73">
            <v>0</v>
          </cell>
          <cell r="EM73">
            <v>0</v>
          </cell>
          <cell r="EN73">
            <v>91</v>
          </cell>
          <cell r="EO73" t="str">
            <v>NILL</v>
          </cell>
          <cell r="EP73" t="str">
            <v/>
          </cell>
          <cell r="EQ73">
            <v>0</v>
          </cell>
          <cell r="ER73">
            <v>0</v>
          </cell>
          <cell r="ES73" t="e">
            <v>#VALUE!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 t="str">
            <v/>
          </cell>
          <cell r="G74" t="str">
            <v/>
          </cell>
          <cell r="H74" t="str">
            <v/>
          </cell>
          <cell r="I74">
            <v>0</v>
          </cell>
          <cell r="J74">
            <v>0</v>
          </cell>
          <cell r="K74" t="str">
            <v>-</v>
          </cell>
          <cell r="L74" t="str">
            <v/>
          </cell>
          <cell r="M74" t="str">
            <v/>
          </cell>
          <cell r="N74" t="str">
            <v/>
          </cell>
          <cell r="O74">
            <v>0</v>
          </cell>
          <cell r="P74">
            <v>0</v>
          </cell>
          <cell r="Q74" t="str">
            <v>-</v>
          </cell>
          <cell r="R74" t="str">
            <v/>
          </cell>
          <cell r="S74" t="str">
            <v/>
          </cell>
          <cell r="T74" t="str">
            <v/>
          </cell>
          <cell r="U74">
            <v>0</v>
          </cell>
          <cell r="V74">
            <v>0</v>
          </cell>
          <cell r="W74" t="str">
            <v>-</v>
          </cell>
          <cell r="X74" t="str">
            <v/>
          </cell>
          <cell r="Y74" t="str">
            <v/>
          </cell>
          <cell r="Z74" t="str">
            <v/>
          </cell>
          <cell r="AA74">
            <v>0</v>
          </cell>
          <cell r="AB74">
            <v>0</v>
          </cell>
          <cell r="AC74" t="str">
            <v>-</v>
          </cell>
          <cell r="AD74" t="str">
            <v/>
          </cell>
          <cell r="AE74" t="str">
            <v/>
          </cell>
          <cell r="AF74" t="str">
            <v/>
          </cell>
          <cell r="AG74">
            <v>0</v>
          </cell>
          <cell r="AH74">
            <v>0</v>
          </cell>
          <cell r="AI74" t="str">
            <v>-</v>
          </cell>
          <cell r="AJ74" t="str">
            <v/>
          </cell>
          <cell r="AK74" t="str">
            <v/>
          </cell>
          <cell r="AL74" t="str">
            <v/>
          </cell>
          <cell r="AM74">
            <v>0</v>
          </cell>
          <cell r="AN74">
            <v>0</v>
          </cell>
          <cell r="AO74" t="str">
            <v>-</v>
          </cell>
          <cell r="AP74" t="str">
            <v/>
          </cell>
          <cell r="AQ74" t="str">
            <v/>
          </cell>
          <cell r="AR74" t="str">
            <v/>
          </cell>
          <cell r="AS74">
            <v>0</v>
          </cell>
          <cell r="AT74">
            <v>0</v>
          </cell>
          <cell r="AU74" t="str">
            <v>-</v>
          </cell>
          <cell r="AV74" t="str">
            <v/>
          </cell>
          <cell r="AW74" t="str">
            <v/>
          </cell>
          <cell r="AX74" t="str">
            <v/>
          </cell>
          <cell r="AY74">
            <v>0</v>
          </cell>
          <cell r="AZ74">
            <v>0</v>
          </cell>
          <cell r="BA74" t="str">
            <v>-</v>
          </cell>
          <cell r="BB74" t="str">
            <v/>
          </cell>
          <cell r="BC74" t="str">
            <v/>
          </cell>
          <cell r="BD74" t="str">
            <v/>
          </cell>
          <cell r="BE74">
            <v>0</v>
          </cell>
          <cell r="BF74">
            <v>0</v>
          </cell>
          <cell r="BG74" t="str">
            <v>-</v>
          </cell>
          <cell r="BH74" t="str">
            <v/>
          </cell>
          <cell r="BI74" t="str">
            <v/>
          </cell>
          <cell r="BJ74" t="str">
            <v/>
          </cell>
          <cell r="BK74">
            <v>0</v>
          </cell>
          <cell r="BL74">
            <v>0</v>
          </cell>
          <cell r="BM74" t="str">
            <v>-</v>
          </cell>
          <cell r="BN74" t="str">
            <v/>
          </cell>
          <cell r="BO74" t="str">
            <v/>
          </cell>
          <cell r="BP74" t="str">
            <v/>
          </cell>
          <cell r="BQ74">
            <v>0</v>
          </cell>
          <cell r="BR74">
            <v>0</v>
          </cell>
          <cell r="BS74" t="str">
            <v>-</v>
          </cell>
          <cell r="BT74" t="str">
            <v/>
          </cell>
          <cell r="BU74" t="str">
            <v/>
          </cell>
          <cell r="BV74" t="str">
            <v/>
          </cell>
          <cell r="BW74">
            <v>0</v>
          </cell>
          <cell r="BX74">
            <v>0</v>
          </cell>
          <cell r="BY74" t="str">
            <v>-</v>
          </cell>
          <cell r="BZ74" t="str">
            <v/>
          </cell>
          <cell r="CA74" t="str">
            <v/>
          </cell>
          <cell r="CB74" t="str">
            <v/>
          </cell>
          <cell r="CC74">
            <v>0</v>
          </cell>
          <cell r="CD74">
            <v>0</v>
          </cell>
          <cell r="CE74" t="str">
            <v>-</v>
          </cell>
          <cell r="CF74" t="str">
            <v/>
          </cell>
          <cell r="CG74" t="str">
            <v/>
          </cell>
          <cell r="CH74" t="str">
            <v/>
          </cell>
          <cell r="CI74" t="str">
            <v/>
          </cell>
          <cell r="CJ74" t="str">
            <v/>
          </cell>
          <cell r="CK74" t="str">
            <v/>
          </cell>
          <cell r="CL74">
            <v>0</v>
          </cell>
          <cell r="CM74">
            <v>0</v>
          </cell>
          <cell r="CN74">
            <v>0</v>
          </cell>
          <cell r="CO74" t="str">
            <v>N.R</v>
          </cell>
          <cell r="CP74">
            <v>0</v>
          </cell>
          <cell r="CQ74">
            <v>41</v>
          </cell>
          <cell r="CR74">
            <v>87</v>
          </cell>
          <cell r="CS74" t="str">
            <v>NILL</v>
          </cell>
          <cell r="CT74">
            <v>0</v>
          </cell>
          <cell r="CU74">
            <v>35</v>
          </cell>
          <cell r="CV74">
            <v>74</v>
          </cell>
          <cell r="CW74" t="str">
            <v>NILL</v>
          </cell>
          <cell r="CX74">
            <v>0</v>
          </cell>
          <cell r="CY74">
            <v>59</v>
          </cell>
          <cell r="CZ74">
            <v>97</v>
          </cell>
          <cell r="DA74" t="str">
            <v>NILL</v>
          </cell>
          <cell r="DB74">
            <v>0</v>
          </cell>
          <cell r="DC74">
            <v>0</v>
          </cell>
          <cell r="DD74">
            <v>0</v>
          </cell>
          <cell r="DE74" t="str">
            <v>NILL</v>
          </cell>
          <cell r="DF74">
            <v>0</v>
          </cell>
          <cell r="DG74">
            <v>33</v>
          </cell>
          <cell r="DH74">
            <v>87</v>
          </cell>
          <cell r="DI74" t="str">
            <v>NILL</v>
          </cell>
          <cell r="DJ74">
            <v>0</v>
          </cell>
          <cell r="DK74">
            <v>29</v>
          </cell>
          <cell r="DL74">
            <v>88</v>
          </cell>
          <cell r="DM74" t="str">
            <v>NILL</v>
          </cell>
          <cell r="DN74">
            <v>0</v>
          </cell>
          <cell r="DO74">
            <v>35</v>
          </cell>
          <cell r="DP74">
            <v>92</v>
          </cell>
          <cell r="DQ74" t="str">
            <v>NILL</v>
          </cell>
          <cell r="DR74">
            <v>0</v>
          </cell>
          <cell r="DS74">
            <v>0</v>
          </cell>
          <cell r="DT74">
            <v>81</v>
          </cell>
          <cell r="DU74" t="str">
            <v>NILL</v>
          </cell>
          <cell r="DV74">
            <v>0</v>
          </cell>
          <cell r="DW74">
            <v>0</v>
          </cell>
          <cell r="DX74">
            <v>0</v>
          </cell>
          <cell r="DY74" t="str">
            <v>NILL</v>
          </cell>
          <cell r="DZ74">
            <v>0</v>
          </cell>
          <cell r="EA74">
            <v>0</v>
          </cell>
          <cell r="EB74">
            <v>86</v>
          </cell>
          <cell r="EC74" t="str">
            <v>NILL</v>
          </cell>
          <cell r="ED74">
            <v>0</v>
          </cell>
          <cell r="EE74">
            <v>0</v>
          </cell>
          <cell r="EF74">
            <v>64</v>
          </cell>
          <cell r="EG74" t="str">
            <v>NILL</v>
          </cell>
          <cell r="EH74">
            <v>0</v>
          </cell>
          <cell r="EI74">
            <v>0</v>
          </cell>
          <cell r="EJ74">
            <v>89</v>
          </cell>
          <cell r="EK74" t="str">
            <v>NILL</v>
          </cell>
          <cell r="EL74">
            <v>0</v>
          </cell>
          <cell r="EM74">
            <v>0</v>
          </cell>
          <cell r="EN74">
            <v>91</v>
          </cell>
          <cell r="EO74" t="str">
            <v>NILL</v>
          </cell>
          <cell r="EP74" t="str">
            <v/>
          </cell>
          <cell r="EQ74">
            <v>0</v>
          </cell>
          <cell r="ER74">
            <v>0</v>
          </cell>
          <cell r="ES74" t="e">
            <v>#VALUE!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 t="str">
            <v/>
          </cell>
          <cell r="G75" t="str">
            <v/>
          </cell>
          <cell r="H75" t="str">
            <v/>
          </cell>
          <cell r="I75">
            <v>0</v>
          </cell>
          <cell r="J75">
            <v>0</v>
          </cell>
          <cell r="K75" t="str">
            <v>-</v>
          </cell>
          <cell r="L75" t="str">
            <v/>
          </cell>
          <cell r="M75" t="str">
            <v/>
          </cell>
          <cell r="N75" t="str">
            <v/>
          </cell>
          <cell r="O75">
            <v>0</v>
          </cell>
          <cell r="P75">
            <v>0</v>
          </cell>
          <cell r="Q75" t="str">
            <v>-</v>
          </cell>
          <cell r="R75" t="str">
            <v/>
          </cell>
          <cell r="S75" t="str">
            <v/>
          </cell>
          <cell r="T75" t="str">
            <v/>
          </cell>
          <cell r="U75">
            <v>0</v>
          </cell>
          <cell r="V75">
            <v>0</v>
          </cell>
          <cell r="W75" t="str">
            <v>-</v>
          </cell>
          <cell r="X75" t="str">
            <v/>
          </cell>
          <cell r="Y75" t="str">
            <v/>
          </cell>
          <cell r="Z75" t="str">
            <v/>
          </cell>
          <cell r="AA75">
            <v>0</v>
          </cell>
          <cell r="AB75">
            <v>0</v>
          </cell>
          <cell r="AC75" t="str">
            <v>-</v>
          </cell>
          <cell r="AD75" t="str">
            <v/>
          </cell>
          <cell r="AE75" t="str">
            <v/>
          </cell>
          <cell r="AF75" t="str">
            <v/>
          </cell>
          <cell r="AG75">
            <v>0</v>
          </cell>
          <cell r="AH75">
            <v>0</v>
          </cell>
          <cell r="AI75" t="str">
            <v>-</v>
          </cell>
          <cell r="AJ75" t="str">
            <v/>
          </cell>
          <cell r="AK75" t="str">
            <v/>
          </cell>
          <cell r="AL75" t="str">
            <v/>
          </cell>
          <cell r="AM75">
            <v>0</v>
          </cell>
          <cell r="AN75">
            <v>0</v>
          </cell>
          <cell r="AO75" t="str">
            <v>-</v>
          </cell>
          <cell r="AP75" t="str">
            <v/>
          </cell>
          <cell r="AQ75" t="str">
            <v/>
          </cell>
          <cell r="AR75" t="str">
            <v/>
          </cell>
          <cell r="AS75">
            <v>0</v>
          </cell>
          <cell r="AT75">
            <v>0</v>
          </cell>
          <cell r="AU75" t="str">
            <v>-</v>
          </cell>
          <cell r="AV75" t="str">
            <v/>
          </cell>
          <cell r="AW75" t="str">
            <v/>
          </cell>
          <cell r="AX75" t="str">
            <v/>
          </cell>
          <cell r="AY75">
            <v>0</v>
          </cell>
          <cell r="AZ75">
            <v>0</v>
          </cell>
          <cell r="BA75" t="str">
            <v>-</v>
          </cell>
          <cell r="BB75" t="str">
            <v/>
          </cell>
          <cell r="BC75" t="str">
            <v/>
          </cell>
          <cell r="BD75" t="str">
            <v/>
          </cell>
          <cell r="BE75">
            <v>0</v>
          </cell>
          <cell r="BF75">
            <v>0</v>
          </cell>
          <cell r="BG75" t="str">
            <v>-</v>
          </cell>
          <cell r="BH75" t="str">
            <v/>
          </cell>
          <cell r="BI75" t="str">
            <v/>
          </cell>
          <cell r="BJ75" t="str">
            <v/>
          </cell>
          <cell r="BK75">
            <v>0</v>
          </cell>
          <cell r="BL75">
            <v>0</v>
          </cell>
          <cell r="BM75" t="str">
            <v>-</v>
          </cell>
          <cell r="BN75" t="str">
            <v/>
          </cell>
          <cell r="BO75" t="str">
            <v/>
          </cell>
          <cell r="BP75" t="str">
            <v/>
          </cell>
          <cell r="BQ75">
            <v>0</v>
          </cell>
          <cell r="BR75">
            <v>0</v>
          </cell>
          <cell r="BS75" t="str">
            <v>-</v>
          </cell>
          <cell r="BT75" t="str">
            <v/>
          </cell>
          <cell r="BU75" t="str">
            <v/>
          </cell>
          <cell r="BV75" t="str">
            <v/>
          </cell>
          <cell r="BW75">
            <v>0</v>
          </cell>
          <cell r="BX75">
            <v>0</v>
          </cell>
          <cell r="BY75" t="str">
            <v>-</v>
          </cell>
          <cell r="BZ75" t="str">
            <v/>
          </cell>
          <cell r="CA75" t="str">
            <v/>
          </cell>
          <cell r="CB75" t="str">
            <v/>
          </cell>
          <cell r="CC75">
            <v>0</v>
          </cell>
          <cell r="CD75">
            <v>0</v>
          </cell>
          <cell r="CE75" t="str">
            <v>-</v>
          </cell>
          <cell r="CF75" t="str">
            <v/>
          </cell>
          <cell r="CG75" t="str">
            <v/>
          </cell>
          <cell r="CH75" t="str">
            <v/>
          </cell>
          <cell r="CI75" t="str">
            <v/>
          </cell>
          <cell r="CJ75" t="str">
            <v/>
          </cell>
          <cell r="CK75" t="str">
            <v/>
          </cell>
          <cell r="CL75">
            <v>0</v>
          </cell>
          <cell r="CM75">
            <v>0</v>
          </cell>
          <cell r="CN75">
            <v>0</v>
          </cell>
          <cell r="CO75" t="str">
            <v>N.R</v>
          </cell>
          <cell r="CP75">
            <v>0</v>
          </cell>
          <cell r="CQ75">
            <v>41</v>
          </cell>
          <cell r="CR75">
            <v>87</v>
          </cell>
          <cell r="CS75" t="str">
            <v>NILL</v>
          </cell>
          <cell r="CT75">
            <v>0</v>
          </cell>
          <cell r="CU75">
            <v>35</v>
          </cell>
          <cell r="CV75">
            <v>74</v>
          </cell>
          <cell r="CW75" t="str">
            <v>NILL</v>
          </cell>
          <cell r="CX75">
            <v>0</v>
          </cell>
          <cell r="CY75">
            <v>59</v>
          </cell>
          <cell r="CZ75">
            <v>97</v>
          </cell>
          <cell r="DA75" t="str">
            <v>NILL</v>
          </cell>
          <cell r="DB75">
            <v>0</v>
          </cell>
          <cell r="DC75">
            <v>0</v>
          </cell>
          <cell r="DD75">
            <v>0</v>
          </cell>
          <cell r="DE75" t="str">
            <v>NILL</v>
          </cell>
          <cell r="DF75">
            <v>0</v>
          </cell>
          <cell r="DG75">
            <v>33</v>
          </cell>
          <cell r="DH75">
            <v>87</v>
          </cell>
          <cell r="DI75" t="str">
            <v>NILL</v>
          </cell>
          <cell r="DJ75">
            <v>0</v>
          </cell>
          <cell r="DK75">
            <v>29</v>
          </cell>
          <cell r="DL75">
            <v>88</v>
          </cell>
          <cell r="DM75" t="str">
            <v>NILL</v>
          </cell>
          <cell r="DN75">
            <v>0</v>
          </cell>
          <cell r="DO75">
            <v>35</v>
          </cell>
          <cell r="DP75">
            <v>92</v>
          </cell>
          <cell r="DQ75" t="str">
            <v>NILL</v>
          </cell>
          <cell r="DR75">
            <v>0</v>
          </cell>
          <cell r="DS75">
            <v>0</v>
          </cell>
          <cell r="DT75">
            <v>81</v>
          </cell>
          <cell r="DU75" t="str">
            <v>NILL</v>
          </cell>
          <cell r="DV75">
            <v>0</v>
          </cell>
          <cell r="DW75">
            <v>0</v>
          </cell>
          <cell r="DX75">
            <v>0</v>
          </cell>
          <cell r="DY75" t="str">
            <v>NILL</v>
          </cell>
          <cell r="DZ75">
            <v>0</v>
          </cell>
          <cell r="EA75">
            <v>0</v>
          </cell>
          <cell r="EB75">
            <v>86</v>
          </cell>
          <cell r="EC75" t="str">
            <v>NILL</v>
          </cell>
          <cell r="ED75">
            <v>0</v>
          </cell>
          <cell r="EE75">
            <v>0</v>
          </cell>
          <cell r="EF75">
            <v>65</v>
          </cell>
          <cell r="EG75" t="str">
            <v>NILL</v>
          </cell>
          <cell r="EH75">
            <v>0</v>
          </cell>
          <cell r="EI75">
            <v>0</v>
          </cell>
          <cell r="EJ75">
            <v>89</v>
          </cell>
          <cell r="EK75" t="str">
            <v>NILL</v>
          </cell>
          <cell r="EL75">
            <v>0</v>
          </cell>
          <cell r="EM75">
            <v>0</v>
          </cell>
          <cell r="EN75">
            <v>91</v>
          </cell>
          <cell r="EO75" t="str">
            <v>NILL</v>
          </cell>
          <cell r="EP75" t="str">
            <v/>
          </cell>
          <cell r="EQ75">
            <v>0</v>
          </cell>
          <cell r="ER75">
            <v>0</v>
          </cell>
          <cell r="ES75" t="e">
            <v>#VALUE!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 t="str">
            <v/>
          </cell>
          <cell r="G76" t="str">
            <v/>
          </cell>
          <cell r="H76" t="str">
            <v/>
          </cell>
          <cell r="I76">
            <v>0</v>
          </cell>
          <cell r="J76">
            <v>0</v>
          </cell>
          <cell r="K76" t="str">
            <v>-</v>
          </cell>
          <cell r="L76" t="str">
            <v/>
          </cell>
          <cell r="M76" t="str">
            <v/>
          </cell>
          <cell r="N76" t="str">
            <v/>
          </cell>
          <cell r="O76">
            <v>0</v>
          </cell>
          <cell r="P76">
            <v>0</v>
          </cell>
          <cell r="Q76" t="str">
            <v>-</v>
          </cell>
          <cell r="R76" t="str">
            <v/>
          </cell>
          <cell r="S76" t="str">
            <v/>
          </cell>
          <cell r="T76" t="str">
            <v/>
          </cell>
          <cell r="U76">
            <v>0</v>
          </cell>
          <cell r="V76">
            <v>0</v>
          </cell>
          <cell r="W76" t="str">
            <v>-</v>
          </cell>
          <cell r="X76" t="str">
            <v/>
          </cell>
          <cell r="Y76" t="str">
            <v/>
          </cell>
          <cell r="Z76" t="str">
            <v/>
          </cell>
          <cell r="AA76">
            <v>0</v>
          </cell>
          <cell r="AB76">
            <v>0</v>
          </cell>
          <cell r="AC76" t="str">
            <v>-</v>
          </cell>
          <cell r="AD76" t="str">
            <v/>
          </cell>
          <cell r="AE76" t="str">
            <v/>
          </cell>
          <cell r="AF76" t="str">
            <v/>
          </cell>
          <cell r="AG76">
            <v>0</v>
          </cell>
          <cell r="AH76">
            <v>0</v>
          </cell>
          <cell r="AI76" t="str">
            <v>-</v>
          </cell>
          <cell r="AJ76" t="str">
            <v/>
          </cell>
          <cell r="AK76" t="str">
            <v/>
          </cell>
          <cell r="AL76" t="str">
            <v/>
          </cell>
          <cell r="AM76">
            <v>0</v>
          </cell>
          <cell r="AN76">
            <v>0</v>
          </cell>
          <cell r="AO76" t="str">
            <v>-</v>
          </cell>
          <cell r="AP76" t="str">
            <v/>
          </cell>
          <cell r="AQ76" t="str">
            <v/>
          </cell>
          <cell r="AR76" t="str">
            <v/>
          </cell>
          <cell r="AS76">
            <v>0</v>
          </cell>
          <cell r="AT76">
            <v>0</v>
          </cell>
          <cell r="AU76" t="str">
            <v>-</v>
          </cell>
          <cell r="AV76" t="str">
            <v/>
          </cell>
          <cell r="AW76" t="str">
            <v/>
          </cell>
          <cell r="AX76" t="str">
            <v/>
          </cell>
          <cell r="AY76">
            <v>0</v>
          </cell>
          <cell r="AZ76">
            <v>0</v>
          </cell>
          <cell r="BA76" t="str">
            <v>-</v>
          </cell>
          <cell r="BB76" t="str">
            <v/>
          </cell>
          <cell r="BC76" t="str">
            <v/>
          </cell>
          <cell r="BD76" t="str">
            <v/>
          </cell>
          <cell r="BE76">
            <v>0</v>
          </cell>
          <cell r="BF76">
            <v>0</v>
          </cell>
          <cell r="BG76" t="str">
            <v>-</v>
          </cell>
          <cell r="BH76" t="str">
            <v/>
          </cell>
          <cell r="BI76" t="str">
            <v/>
          </cell>
          <cell r="BJ76" t="str">
            <v/>
          </cell>
          <cell r="BK76">
            <v>0</v>
          </cell>
          <cell r="BL76">
            <v>0</v>
          </cell>
          <cell r="BM76" t="str">
            <v>-</v>
          </cell>
          <cell r="BN76" t="str">
            <v/>
          </cell>
          <cell r="BO76" t="str">
            <v/>
          </cell>
          <cell r="BP76" t="str">
            <v/>
          </cell>
          <cell r="BQ76">
            <v>0</v>
          </cell>
          <cell r="BR76">
            <v>0</v>
          </cell>
          <cell r="BS76" t="str">
            <v>-</v>
          </cell>
          <cell r="BT76" t="str">
            <v/>
          </cell>
          <cell r="BU76" t="str">
            <v/>
          </cell>
          <cell r="BV76" t="str">
            <v/>
          </cell>
          <cell r="BW76">
            <v>0</v>
          </cell>
          <cell r="BX76">
            <v>0</v>
          </cell>
          <cell r="BY76" t="str">
            <v>-</v>
          </cell>
          <cell r="BZ76" t="str">
            <v/>
          </cell>
          <cell r="CA76" t="str">
            <v/>
          </cell>
          <cell r="CB76" t="str">
            <v/>
          </cell>
          <cell r="CC76">
            <v>0</v>
          </cell>
          <cell r="CD76">
            <v>0</v>
          </cell>
          <cell r="CE76" t="str">
            <v>-</v>
          </cell>
          <cell r="CF76" t="str">
            <v/>
          </cell>
          <cell r="CG76" t="str">
            <v/>
          </cell>
          <cell r="CH76" t="str">
            <v/>
          </cell>
          <cell r="CI76" t="str">
            <v/>
          </cell>
          <cell r="CJ76" t="str">
            <v/>
          </cell>
          <cell r="CK76" t="str">
            <v/>
          </cell>
          <cell r="CL76">
            <v>0</v>
          </cell>
          <cell r="CM76">
            <v>0</v>
          </cell>
          <cell r="CN76">
            <v>0</v>
          </cell>
          <cell r="CO76" t="str">
            <v>N.R</v>
          </cell>
          <cell r="CP76">
            <v>0</v>
          </cell>
          <cell r="CQ76">
            <v>41</v>
          </cell>
          <cell r="CR76">
            <v>87</v>
          </cell>
          <cell r="CS76" t="str">
            <v>NILL</v>
          </cell>
          <cell r="CT76">
            <v>0</v>
          </cell>
          <cell r="CU76">
            <v>35</v>
          </cell>
          <cell r="CV76">
            <v>74</v>
          </cell>
          <cell r="CW76" t="str">
            <v>NILL</v>
          </cell>
          <cell r="CX76">
            <v>0</v>
          </cell>
          <cell r="CY76">
            <v>59</v>
          </cell>
          <cell r="CZ76">
            <v>97</v>
          </cell>
          <cell r="DA76" t="str">
            <v>NILL</v>
          </cell>
          <cell r="DB76">
            <v>0</v>
          </cell>
          <cell r="DC76">
            <v>0</v>
          </cell>
          <cell r="DD76">
            <v>0</v>
          </cell>
          <cell r="DE76" t="str">
            <v>NILL</v>
          </cell>
          <cell r="DF76">
            <v>0</v>
          </cell>
          <cell r="DG76">
            <v>33</v>
          </cell>
          <cell r="DH76">
            <v>87</v>
          </cell>
          <cell r="DI76" t="str">
            <v>NILL</v>
          </cell>
          <cell r="DJ76">
            <v>0</v>
          </cell>
          <cell r="DK76">
            <v>29</v>
          </cell>
          <cell r="DL76">
            <v>88</v>
          </cell>
          <cell r="DM76" t="str">
            <v>NILL</v>
          </cell>
          <cell r="DN76">
            <v>0</v>
          </cell>
          <cell r="DO76">
            <v>35</v>
          </cell>
          <cell r="DP76">
            <v>92</v>
          </cell>
          <cell r="DQ76" t="str">
            <v>NILL</v>
          </cell>
          <cell r="DR76">
            <v>0</v>
          </cell>
          <cell r="DS76">
            <v>0</v>
          </cell>
          <cell r="DT76">
            <v>81</v>
          </cell>
          <cell r="DU76" t="str">
            <v>NILL</v>
          </cell>
          <cell r="DV76">
            <v>0</v>
          </cell>
          <cell r="DW76">
            <v>0</v>
          </cell>
          <cell r="DX76">
            <v>0</v>
          </cell>
          <cell r="DY76" t="str">
            <v>NILL</v>
          </cell>
          <cell r="DZ76">
            <v>0</v>
          </cell>
          <cell r="EA76">
            <v>0</v>
          </cell>
          <cell r="EB76">
            <v>86</v>
          </cell>
          <cell r="EC76" t="str">
            <v>NILL</v>
          </cell>
          <cell r="ED76">
            <v>0</v>
          </cell>
          <cell r="EE76">
            <v>0</v>
          </cell>
          <cell r="EF76">
            <v>66</v>
          </cell>
          <cell r="EG76" t="str">
            <v>NILL</v>
          </cell>
          <cell r="EH76">
            <v>0</v>
          </cell>
          <cell r="EI76">
            <v>0</v>
          </cell>
          <cell r="EJ76">
            <v>89</v>
          </cell>
          <cell r="EK76" t="str">
            <v>NILL</v>
          </cell>
          <cell r="EL76">
            <v>0</v>
          </cell>
          <cell r="EM76">
            <v>0</v>
          </cell>
          <cell r="EN76">
            <v>91</v>
          </cell>
          <cell r="EO76" t="str">
            <v>NILL</v>
          </cell>
          <cell r="EP76" t="str">
            <v/>
          </cell>
          <cell r="EQ76">
            <v>0</v>
          </cell>
          <cell r="ER76">
            <v>0</v>
          </cell>
          <cell r="ES76" t="e">
            <v>#VALUE!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 t="str">
            <v/>
          </cell>
          <cell r="G77" t="str">
            <v/>
          </cell>
          <cell r="H77" t="str">
            <v/>
          </cell>
          <cell r="I77">
            <v>0</v>
          </cell>
          <cell r="J77">
            <v>0</v>
          </cell>
          <cell r="K77" t="str">
            <v>-</v>
          </cell>
          <cell r="L77" t="str">
            <v/>
          </cell>
          <cell r="M77" t="str">
            <v/>
          </cell>
          <cell r="N77" t="str">
            <v/>
          </cell>
          <cell r="O77">
            <v>0</v>
          </cell>
          <cell r="P77">
            <v>0</v>
          </cell>
          <cell r="Q77" t="str">
            <v>-</v>
          </cell>
          <cell r="R77" t="str">
            <v/>
          </cell>
          <cell r="S77" t="str">
            <v/>
          </cell>
          <cell r="T77" t="str">
            <v/>
          </cell>
          <cell r="U77">
            <v>0</v>
          </cell>
          <cell r="V77">
            <v>0</v>
          </cell>
          <cell r="W77" t="str">
            <v>-</v>
          </cell>
          <cell r="X77" t="str">
            <v/>
          </cell>
          <cell r="Y77" t="str">
            <v/>
          </cell>
          <cell r="Z77" t="str">
            <v/>
          </cell>
          <cell r="AA77">
            <v>0</v>
          </cell>
          <cell r="AB77">
            <v>0</v>
          </cell>
          <cell r="AC77" t="str">
            <v>-</v>
          </cell>
          <cell r="AD77" t="str">
            <v/>
          </cell>
          <cell r="AE77" t="str">
            <v/>
          </cell>
          <cell r="AF77" t="str">
            <v/>
          </cell>
          <cell r="AG77">
            <v>0</v>
          </cell>
          <cell r="AH77">
            <v>0</v>
          </cell>
          <cell r="AI77" t="str">
            <v>-</v>
          </cell>
          <cell r="AJ77" t="str">
            <v/>
          </cell>
          <cell r="AK77" t="str">
            <v/>
          </cell>
          <cell r="AL77" t="str">
            <v/>
          </cell>
          <cell r="AM77">
            <v>0</v>
          </cell>
          <cell r="AN77">
            <v>0</v>
          </cell>
          <cell r="AO77" t="str">
            <v>-</v>
          </cell>
          <cell r="AP77" t="str">
            <v/>
          </cell>
          <cell r="AQ77" t="str">
            <v/>
          </cell>
          <cell r="AR77" t="str">
            <v/>
          </cell>
          <cell r="AS77">
            <v>0</v>
          </cell>
          <cell r="AT77">
            <v>0</v>
          </cell>
          <cell r="AU77" t="str">
            <v>-</v>
          </cell>
          <cell r="AV77" t="str">
            <v/>
          </cell>
          <cell r="AW77" t="str">
            <v/>
          </cell>
          <cell r="AX77" t="str">
            <v/>
          </cell>
          <cell r="AY77">
            <v>0</v>
          </cell>
          <cell r="AZ77">
            <v>0</v>
          </cell>
          <cell r="BA77" t="str">
            <v>-</v>
          </cell>
          <cell r="BB77" t="str">
            <v/>
          </cell>
          <cell r="BC77" t="str">
            <v/>
          </cell>
          <cell r="BD77" t="str">
            <v/>
          </cell>
          <cell r="BE77">
            <v>0</v>
          </cell>
          <cell r="BF77">
            <v>0</v>
          </cell>
          <cell r="BG77" t="str">
            <v>-</v>
          </cell>
          <cell r="BH77" t="str">
            <v/>
          </cell>
          <cell r="BI77" t="str">
            <v/>
          </cell>
          <cell r="BJ77" t="str">
            <v/>
          </cell>
          <cell r="BK77">
            <v>0</v>
          </cell>
          <cell r="BL77">
            <v>0</v>
          </cell>
          <cell r="BM77" t="str">
            <v>-</v>
          </cell>
          <cell r="BN77" t="str">
            <v/>
          </cell>
          <cell r="BO77" t="str">
            <v/>
          </cell>
          <cell r="BP77" t="str">
            <v/>
          </cell>
          <cell r="BQ77">
            <v>0</v>
          </cell>
          <cell r="BR77">
            <v>0</v>
          </cell>
          <cell r="BS77" t="str">
            <v>-</v>
          </cell>
          <cell r="BT77" t="str">
            <v/>
          </cell>
          <cell r="BU77" t="str">
            <v/>
          </cell>
          <cell r="BV77" t="str">
            <v/>
          </cell>
          <cell r="BW77">
            <v>0</v>
          </cell>
          <cell r="BX77">
            <v>0</v>
          </cell>
          <cell r="BY77" t="str">
            <v>-</v>
          </cell>
          <cell r="BZ77" t="str">
            <v/>
          </cell>
          <cell r="CA77" t="str">
            <v/>
          </cell>
          <cell r="CB77" t="str">
            <v/>
          </cell>
          <cell r="CC77">
            <v>0</v>
          </cell>
          <cell r="CD77">
            <v>0</v>
          </cell>
          <cell r="CE77" t="str">
            <v>-</v>
          </cell>
          <cell r="CF77" t="str">
            <v/>
          </cell>
          <cell r="CG77" t="str">
            <v/>
          </cell>
          <cell r="CH77" t="str">
            <v/>
          </cell>
          <cell r="CI77" t="str">
            <v/>
          </cell>
          <cell r="CJ77" t="str">
            <v/>
          </cell>
          <cell r="CK77" t="str">
            <v/>
          </cell>
          <cell r="CL77">
            <v>0</v>
          </cell>
          <cell r="CM77">
            <v>0</v>
          </cell>
          <cell r="CN77">
            <v>0</v>
          </cell>
          <cell r="CO77" t="str">
            <v>N.R</v>
          </cell>
          <cell r="CP77">
            <v>0</v>
          </cell>
          <cell r="CQ77">
            <v>41</v>
          </cell>
          <cell r="CR77">
            <v>87</v>
          </cell>
          <cell r="CS77" t="str">
            <v>NILL</v>
          </cell>
          <cell r="CT77">
            <v>0</v>
          </cell>
          <cell r="CU77">
            <v>35</v>
          </cell>
          <cell r="CV77">
            <v>74</v>
          </cell>
          <cell r="CW77" t="str">
            <v>NILL</v>
          </cell>
          <cell r="CX77">
            <v>0</v>
          </cell>
          <cell r="CY77">
            <v>59</v>
          </cell>
          <cell r="CZ77">
            <v>97</v>
          </cell>
          <cell r="DA77" t="str">
            <v>NILL</v>
          </cell>
          <cell r="DB77">
            <v>0</v>
          </cell>
          <cell r="DC77">
            <v>0</v>
          </cell>
          <cell r="DD77">
            <v>0</v>
          </cell>
          <cell r="DE77" t="str">
            <v>NILL</v>
          </cell>
          <cell r="DF77">
            <v>0</v>
          </cell>
          <cell r="DG77">
            <v>33</v>
          </cell>
          <cell r="DH77">
            <v>87</v>
          </cell>
          <cell r="DI77" t="str">
            <v>NILL</v>
          </cell>
          <cell r="DJ77">
            <v>0</v>
          </cell>
          <cell r="DK77">
            <v>29</v>
          </cell>
          <cell r="DL77">
            <v>88</v>
          </cell>
          <cell r="DM77" t="str">
            <v>NILL</v>
          </cell>
          <cell r="DN77">
            <v>0</v>
          </cell>
          <cell r="DO77">
            <v>35</v>
          </cell>
          <cell r="DP77">
            <v>92</v>
          </cell>
          <cell r="DQ77" t="str">
            <v>NILL</v>
          </cell>
          <cell r="DR77">
            <v>0</v>
          </cell>
          <cell r="DS77">
            <v>0</v>
          </cell>
          <cell r="DT77">
            <v>81</v>
          </cell>
          <cell r="DU77" t="str">
            <v>NILL</v>
          </cell>
          <cell r="DV77">
            <v>0</v>
          </cell>
          <cell r="DW77">
            <v>0</v>
          </cell>
          <cell r="DX77">
            <v>0</v>
          </cell>
          <cell r="DY77" t="str">
            <v>NILL</v>
          </cell>
          <cell r="DZ77">
            <v>0</v>
          </cell>
          <cell r="EA77">
            <v>0</v>
          </cell>
          <cell r="EB77">
            <v>86</v>
          </cell>
          <cell r="EC77" t="str">
            <v>NILL</v>
          </cell>
          <cell r="ED77">
            <v>0</v>
          </cell>
          <cell r="EE77">
            <v>0</v>
          </cell>
          <cell r="EF77">
            <v>67</v>
          </cell>
          <cell r="EG77" t="str">
            <v>NILL</v>
          </cell>
          <cell r="EH77">
            <v>0</v>
          </cell>
          <cell r="EI77">
            <v>0</v>
          </cell>
          <cell r="EJ77">
            <v>89</v>
          </cell>
          <cell r="EK77" t="str">
            <v>NILL</v>
          </cell>
          <cell r="EL77">
            <v>0</v>
          </cell>
          <cell r="EM77">
            <v>0</v>
          </cell>
          <cell r="EN77">
            <v>91</v>
          </cell>
          <cell r="EO77" t="str">
            <v>NILL</v>
          </cell>
          <cell r="EP77" t="str">
            <v/>
          </cell>
          <cell r="EQ77">
            <v>0</v>
          </cell>
          <cell r="ER77">
            <v>0</v>
          </cell>
          <cell r="ES77" t="e">
            <v>#VALUE!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 t="str">
            <v/>
          </cell>
          <cell r="G78" t="str">
            <v/>
          </cell>
          <cell r="H78" t="str">
            <v/>
          </cell>
          <cell r="I78">
            <v>0</v>
          </cell>
          <cell r="J78">
            <v>0</v>
          </cell>
          <cell r="K78" t="str">
            <v>-</v>
          </cell>
          <cell r="L78" t="str">
            <v/>
          </cell>
          <cell r="M78" t="str">
            <v/>
          </cell>
          <cell r="N78" t="str">
            <v/>
          </cell>
          <cell r="O78">
            <v>0</v>
          </cell>
          <cell r="P78">
            <v>0</v>
          </cell>
          <cell r="Q78" t="str">
            <v>-</v>
          </cell>
          <cell r="R78" t="str">
            <v/>
          </cell>
          <cell r="S78" t="str">
            <v/>
          </cell>
          <cell r="T78" t="str">
            <v/>
          </cell>
          <cell r="U78">
            <v>0</v>
          </cell>
          <cell r="V78">
            <v>0</v>
          </cell>
          <cell r="W78" t="str">
            <v>-</v>
          </cell>
          <cell r="X78" t="str">
            <v/>
          </cell>
          <cell r="Y78" t="str">
            <v/>
          </cell>
          <cell r="Z78" t="str">
            <v/>
          </cell>
          <cell r="AA78">
            <v>0</v>
          </cell>
          <cell r="AB78">
            <v>0</v>
          </cell>
          <cell r="AC78" t="str">
            <v>-</v>
          </cell>
          <cell r="AD78" t="str">
            <v/>
          </cell>
          <cell r="AE78" t="str">
            <v/>
          </cell>
          <cell r="AF78" t="str">
            <v/>
          </cell>
          <cell r="AG78">
            <v>0</v>
          </cell>
          <cell r="AH78">
            <v>0</v>
          </cell>
          <cell r="AI78" t="str">
            <v>-</v>
          </cell>
          <cell r="AJ78" t="str">
            <v/>
          </cell>
          <cell r="AK78" t="str">
            <v/>
          </cell>
          <cell r="AL78" t="str">
            <v/>
          </cell>
          <cell r="AM78">
            <v>0</v>
          </cell>
          <cell r="AN78">
            <v>0</v>
          </cell>
          <cell r="AO78" t="str">
            <v>-</v>
          </cell>
          <cell r="AP78" t="str">
            <v/>
          </cell>
          <cell r="AQ78" t="str">
            <v/>
          </cell>
          <cell r="AR78" t="str">
            <v/>
          </cell>
          <cell r="AS78">
            <v>0</v>
          </cell>
          <cell r="AT78">
            <v>0</v>
          </cell>
          <cell r="AU78" t="str">
            <v>-</v>
          </cell>
          <cell r="AV78" t="str">
            <v/>
          </cell>
          <cell r="AW78" t="str">
            <v/>
          </cell>
          <cell r="AX78" t="str">
            <v/>
          </cell>
          <cell r="AY78">
            <v>0</v>
          </cell>
          <cell r="AZ78">
            <v>0</v>
          </cell>
          <cell r="BA78" t="str">
            <v>-</v>
          </cell>
          <cell r="BB78" t="str">
            <v/>
          </cell>
          <cell r="BC78" t="str">
            <v/>
          </cell>
          <cell r="BD78" t="str">
            <v/>
          </cell>
          <cell r="BE78">
            <v>0</v>
          </cell>
          <cell r="BF78">
            <v>0</v>
          </cell>
          <cell r="BG78" t="str">
            <v>-</v>
          </cell>
          <cell r="BH78" t="str">
            <v/>
          </cell>
          <cell r="BI78" t="str">
            <v/>
          </cell>
          <cell r="BJ78" t="str">
            <v/>
          </cell>
          <cell r="BK78">
            <v>0</v>
          </cell>
          <cell r="BL78">
            <v>0</v>
          </cell>
          <cell r="BM78" t="str">
            <v>-</v>
          </cell>
          <cell r="BN78" t="str">
            <v/>
          </cell>
          <cell r="BO78" t="str">
            <v/>
          </cell>
          <cell r="BP78" t="str">
            <v/>
          </cell>
          <cell r="BQ78">
            <v>0</v>
          </cell>
          <cell r="BR78">
            <v>0</v>
          </cell>
          <cell r="BS78" t="str">
            <v>-</v>
          </cell>
          <cell r="BT78" t="str">
            <v/>
          </cell>
          <cell r="BU78" t="str">
            <v/>
          </cell>
          <cell r="BV78" t="str">
            <v/>
          </cell>
          <cell r="BW78">
            <v>0</v>
          </cell>
          <cell r="BX78">
            <v>0</v>
          </cell>
          <cell r="BY78" t="str">
            <v>-</v>
          </cell>
          <cell r="BZ78" t="str">
            <v/>
          </cell>
          <cell r="CA78" t="str">
            <v/>
          </cell>
          <cell r="CB78" t="str">
            <v/>
          </cell>
          <cell r="CC78">
            <v>0</v>
          </cell>
          <cell r="CD78">
            <v>0</v>
          </cell>
          <cell r="CE78" t="str">
            <v>-</v>
          </cell>
          <cell r="CF78" t="str">
            <v/>
          </cell>
          <cell r="CG78" t="str">
            <v/>
          </cell>
          <cell r="CH78" t="str">
            <v/>
          </cell>
          <cell r="CI78" t="str">
            <v/>
          </cell>
          <cell r="CJ78" t="str">
            <v/>
          </cell>
          <cell r="CK78" t="str">
            <v/>
          </cell>
          <cell r="CL78">
            <v>0</v>
          </cell>
          <cell r="CM78">
            <v>0</v>
          </cell>
          <cell r="CN78">
            <v>0</v>
          </cell>
          <cell r="CO78" t="str">
            <v>N.R</v>
          </cell>
          <cell r="CP78">
            <v>0</v>
          </cell>
          <cell r="CQ78">
            <v>41</v>
          </cell>
          <cell r="CR78">
            <v>87</v>
          </cell>
          <cell r="CS78" t="str">
            <v>NILL</v>
          </cell>
          <cell r="CT78">
            <v>0</v>
          </cell>
          <cell r="CU78">
            <v>35</v>
          </cell>
          <cell r="CV78">
            <v>74</v>
          </cell>
          <cell r="CW78" t="str">
            <v>NILL</v>
          </cell>
          <cell r="CX78">
            <v>0</v>
          </cell>
          <cell r="CY78">
            <v>59</v>
          </cell>
          <cell r="CZ78">
            <v>97</v>
          </cell>
          <cell r="DA78" t="str">
            <v>NILL</v>
          </cell>
          <cell r="DB78">
            <v>0</v>
          </cell>
          <cell r="DC78">
            <v>0</v>
          </cell>
          <cell r="DD78">
            <v>0</v>
          </cell>
          <cell r="DE78" t="str">
            <v>NILL</v>
          </cell>
          <cell r="DF78">
            <v>0</v>
          </cell>
          <cell r="DG78">
            <v>33</v>
          </cell>
          <cell r="DH78">
            <v>87</v>
          </cell>
          <cell r="DI78" t="str">
            <v>NILL</v>
          </cell>
          <cell r="DJ78">
            <v>0</v>
          </cell>
          <cell r="DK78">
            <v>29</v>
          </cell>
          <cell r="DL78">
            <v>88</v>
          </cell>
          <cell r="DM78" t="str">
            <v>NILL</v>
          </cell>
          <cell r="DN78">
            <v>0</v>
          </cell>
          <cell r="DO78">
            <v>35</v>
          </cell>
          <cell r="DP78">
            <v>92</v>
          </cell>
          <cell r="DQ78" t="str">
            <v>NILL</v>
          </cell>
          <cell r="DR78">
            <v>0</v>
          </cell>
          <cell r="DS78">
            <v>0</v>
          </cell>
          <cell r="DT78">
            <v>81</v>
          </cell>
          <cell r="DU78" t="str">
            <v>NILL</v>
          </cell>
          <cell r="DV78">
            <v>0</v>
          </cell>
          <cell r="DW78">
            <v>0</v>
          </cell>
          <cell r="DX78">
            <v>0</v>
          </cell>
          <cell r="DY78" t="str">
            <v>NILL</v>
          </cell>
          <cell r="DZ78">
            <v>0</v>
          </cell>
          <cell r="EA78">
            <v>0</v>
          </cell>
          <cell r="EB78">
            <v>86</v>
          </cell>
          <cell r="EC78" t="str">
            <v>NILL</v>
          </cell>
          <cell r="ED78">
            <v>0</v>
          </cell>
          <cell r="EE78">
            <v>0</v>
          </cell>
          <cell r="EF78">
            <v>68</v>
          </cell>
          <cell r="EG78" t="str">
            <v>NILL</v>
          </cell>
          <cell r="EH78">
            <v>0</v>
          </cell>
          <cell r="EI78">
            <v>0</v>
          </cell>
          <cell r="EJ78">
            <v>89</v>
          </cell>
          <cell r="EK78" t="str">
            <v>NILL</v>
          </cell>
          <cell r="EL78">
            <v>0</v>
          </cell>
          <cell r="EM78">
            <v>0</v>
          </cell>
          <cell r="EN78">
            <v>91</v>
          </cell>
          <cell r="EO78" t="str">
            <v>NILL</v>
          </cell>
          <cell r="EP78" t="str">
            <v/>
          </cell>
          <cell r="EQ78">
            <v>0</v>
          </cell>
          <cell r="ER78">
            <v>0</v>
          </cell>
          <cell r="ES78" t="e">
            <v>#VALUE!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 t="str">
            <v/>
          </cell>
          <cell r="G79" t="str">
            <v/>
          </cell>
          <cell r="H79" t="str">
            <v/>
          </cell>
          <cell r="I79">
            <v>0</v>
          </cell>
          <cell r="J79">
            <v>0</v>
          </cell>
          <cell r="K79" t="str">
            <v>-</v>
          </cell>
          <cell r="L79" t="str">
            <v/>
          </cell>
          <cell r="M79" t="str">
            <v/>
          </cell>
          <cell r="N79" t="str">
            <v/>
          </cell>
          <cell r="O79">
            <v>0</v>
          </cell>
          <cell r="P79">
            <v>0</v>
          </cell>
          <cell r="Q79" t="str">
            <v>-</v>
          </cell>
          <cell r="R79" t="str">
            <v/>
          </cell>
          <cell r="S79" t="str">
            <v/>
          </cell>
          <cell r="T79" t="str">
            <v/>
          </cell>
          <cell r="U79">
            <v>0</v>
          </cell>
          <cell r="V79">
            <v>0</v>
          </cell>
          <cell r="W79" t="str">
            <v>-</v>
          </cell>
          <cell r="X79" t="str">
            <v/>
          </cell>
          <cell r="Y79" t="str">
            <v/>
          </cell>
          <cell r="Z79" t="str">
            <v/>
          </cell>
          <cell r="AA79">
            <v>0</v>
          </cell>
          <cell r="AB79">
            <v>0</v>
          </cell>
          <cell r="AC79" t="str">
            <v>-</v>
          </cell>
          <cell r="AD79" t="str">
            <v/>
          </cell>
          <cell r="AE79" t="str">
            <v/>
          </cell>
          <cell r="AF79" t="str">
            <v/>
          </cell>
          <cell r="AG79">
            <v>0</v>
          </cell>
          <cell r="AH79">
            <v>0</v>
          </cell>
          <cell r="AI79" t="str">
            <v>-</v>
          </cell>
          <cell r="AJ79" t="str">
            <v/>
          </cell>
          <cell r="AK79" t="str">
            <v/>
          </cell>
          <cell r="AL79" t="str">
            <v/>
          </cell>
          <cell r="AM79">
            <v>0</v>
          </cell>
          <cell r="AN79">
            <v>0</v>
          </cell>
          <cell r="AO79" t="str">
            <v>-</v>
          </cell>
          <cell r="AP79" t="str">
            <v/>
          </cell>
          <cell r="AQ79" t="str">
            <v/>
          </cell>
          <cell r="AR79" t="str">
            <v/>
          </cell>
          <cell r="AS79">
            <v>0</v>
          </cell>
          <cell r="AT79">
            <v>0</v>
          </cell>
          <cell r="AU79" t="str">
            <v>-</v>
          </cell>
          <cell r="AV79" t="str">
            <v/>
          </cell>
          <cell r="AW79" t="str">
            <v/>
          </cell>
          <cell r="AX79" t="str">
            <v/>
          </cell>
          <cell r="AY79">
            <v>0</v>
          </cell>
          <cell r="AZ79">
            <v>0</v>
          </cell>
          <cell r="BA79" t="str">
            <v>-</v>
          </cell>
          <cell r="BB79" t="str">
            <v/>
          </cell>
          <cell r="BC79" t="str">
            <v/>
          </cell>
          <cell r="BD79" t="str">
            <v/>
          </cell>
          <cell r="BE79">
            <v>0</v>
          </cell>
          <cell r="BF79">
            <v>0</v>
          </cell>
          <cell r="BG79" t="str">
            <v>-</v>
          </cell>
          <cell r="BH79" t="str">
            <v/>
          </cell>
          <cell r="BI79" t="str">
            <v/>
          </cell>
          <cell r="BJ79" t="str">
            <v/>
          </cell>
          <cell r="BK79">
            <v>0</v>
          </cell>
          <cell r="BL79">
            <v>0</v>
          </cell>
          <cell r="BM79" t="str">
            <v>-</v>
          </cell>
          <cell r="BN79" t="str">
            <v/>
          </cell>
          <cell r="BO79" t="str">
            <v/>
          </cell>
          <cell r="BP79" t="str">
            <v/>
          </cell>
          <cell r="BQ79">
            <v>0</v>
          </cell>
          <cell r="BR79">
            <v>0</v>
          </cell>
          <cell r="BS79" t="str">
            <v>-</v>
          </cell>
          <cell r="BT79" t="str">
            <v/>
          </cell>
          <cell r="BU79" t="str">
            <v/>
          </cell>
          <cell r="BV79" t="str">
            <v/>
          </cell>
          <cell r="BW79">
            <v>0</v>
          </cell>
          <cell r="BX79">
            <v>0</v>
          </cell>
          <cell r="BY79" t="str">
            <v>-</v>
          </cell>
          <cell r="BZ79" t="str">
            <v/>
          </cell>
          <cell r="CA79" t="str">
            <v/>
          </cell>
          <cell r="CB79" t="str">
            <v/>
          </cell>
          <cell r="CC79">
            <v>0</v>
          </cell>
          <cell r="CD79">
            <v>0</v>
          </cell>
          <cell r="CE79" t="str">
            <v>-</v>
          </cell>
          <cell r="CF79" t="str">
            <v/>
          </cell>
          <cell r="CG79" t="str">
            <v/>
          </cell>
          <cell r="CH79" t="str">
            <v/>
          </cell>
          <cell r="CI79" t="str">
            <v/>
          </cell>
          <cell r="CJ79" t="str">
            <v/>
          </cell>
          <cell r="CK79" t="str">
            <v/>
          </cell>
          <cell r="CL79">
            <v>0</v>
          </cell>
          <cell r="CM79">
            <v>0</v>
          </cell>
          <cell r="CN79">
            <v>0</v>
          </cell>
          <cell r="CO79" t="str">
            <v>N.R</v>
          </cell>
          <cell r="CP79">
            <v>0</v>
          </cell>
          <cell r="CQ79">
            <v>41</v>
          </cell>
          <cell r="CR79">
            <v>87</v>
          </cell>
          <cell r="CS79" t="str">
            <v>NILL</v>
          </cell>
          <cell r="CT79">
            <v>0</v>
          </cell>
          <cell r="CU79">
            <v>35</v>
          </cell>
          <cell r="CV79">
            <v>74</v>
          </cell>
          <cell r="CW79" t="str">
            <v>NILL</v>
          </cell>
          <cell r="CX79">
            <v>0</v>
          </cell>
          <cell r="CY79">
            <v>59</v>
          </cell>
          <cell r="CZ79">
            <v>97</v>
          </cell>
          <cell r="DA79" t="str">
            <v>NILL</v>
          </cell>
          <cell r="DB79">
            <v>0</v>
          </cell>
          <cell r="DC79">
            <v>0</v>
          </cell>
          <cell r="DD79">
            <v>0</v>
          </cell>
          <cell r="DE79" t="str">
            <v>NILL</v>
          </cell>
          <cell r="DF79">
            <v>0</v>
          </cell>
          <cell r="DG79">
            <v>33</v>
          </cell>
          <cell r="DH79">
            <v>87</v>
          </cell>
          <cell r="DI79" t="str">
            <v>NILL</v>
          </cell>
          <cell r="DJ79">
            <v>0</v>
          </cell>
          <cell r="DK79">
            <v>29</v>
          </cell>
          <cell r="DL79">
            <v>88</v>
          </cell>
          <cell r="DM79" t="str">
            <v>NILL</v>
          </cell>
          <cell r="DN79">
            <v>0</v>
          </cell>
          <cell r="DO79">
            <v>35</v>
          </cell>
          <cell r="DP79">
            <v>92</v>
          </cell>
          <cell r="DQ79" t="str">
            <v>NILL</v>
          </cell>
          <cell r="DR79">
            <v>0</v>
          </cell>
          <cell r="DS79">
            <v>0</v>
          </cell>
          <cell r="DT79">
            <v>81</v>
          </cell>
          <cell r="DU79" t="str">
            <v>NILL</v>
          </cell>
          <cell r="DV79">
            <v>0</v>
          </cell>
          <cell r="DW79">
            <v>0</v>
          </cell>
          <cell r="DX79">
            <v>0</v>
          </cell>
          <cell r="DY79" t="str">
            <v>NILL</v>
          </cell>
          <cell r="DZ79">
            <v>0</v>
          </cell>
          <cell r="EA79">
            <v>0</v>
          </cell>
          <cell r="EB79">
            <v>86</v>
          </cell>
          <cell r="EC79" t="str">
            <v>NILL</v>
          </cell>
          <cell r="ED79">
            <v>0</v>
          </cell>
          <cell r="EE79">
            <v>0</v>
          </cell>
          <cell r="EF79">
            <v>69</v>
          </cell>
          <cell r="EG79" t="str">
            <v>NILL</v>
          </cell>
          <cell r="EH79">
            <v>0</v>
          </cell>
          <cell r="EI79">
            <v>0</v>
          </cell>
          <cell r="EJ79">
            <v>89</v>
          </cell>
          <cell r="EK79" t="str">
            <v>NILL</v>
          </cell>
          <cell r="EL79">
            <v>0</v>
          </cell>
          <cell r="EM79">
            <v>0</v>
          </cell>
          <cell r="EN79">
            <v>91</v>
          </cell>
          <cell r="EO79" t="str">
            <v>NILL</v>
          </cell>
          <cell r="EP79" t="str">
            <v/>
          </cell>
          <cell r="EQ79">
            <v>0</v>
          </cell>
          <cell r="ER79">
            <v>0</v>
          </cell>
          <cell r="ES79" t="e">
            <v>#VALUE!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 t="str">
            <v/>
          </cell>
          <cell r="G80" t="str">
            <v/>
          </cell>
          <cell r="H80" t="str">
            <v/>
          </cell>
          <cell r="I80">
            <v>0</v>
          </cell>
          <cell r="J80">
            <v>0</v>
          </cell>
          <cell r="K80" t="str">
            <v>-</v>
          </cell>
          <cell r="L80" t="str">
            <v/>
          </cell>
          <cell r="M80" t="str">
            <v/>
          </cell>
          <cell r="N80" t="str">
            <v/>
          </cell>
          <cell r="O80">
            <v>0</v>
          </cell>
          <cell r="P80">
            <v>0</v>
          </cell>
          <cell r="Q80" t="str">
            <v>-</v>
          </cell>
          <cell r="R80" t="str">
            <v/>
          </cell>
          <cell r="S80" t="str">
            <v/>
          </cell>
          <cell r="T80" t="str">
            <v/>
          </cell>
          <cell r="U80">
            <v>0</v>
          </cell>
          <cell r="V80">
            <v>0</v>
          </cell>
          <cell r="W80" t="str">
            <v>-</v>
          </cell>
          <cell r="X80" t="str">
            <v/>
          </cell>
          <cell r="Y80" t="str">
            <v/>
          </cell>
          <cell r="Z80" t="str">
            <v/>
          </cell>
          <cell r="AA80">
            <v>0</v>
          </cell>
          <cell r="AB80">
            <v>0</v>
          </cell>
          <cell r="AC80" t="str">
            <v>-</v>
          </cell>
          <cell r="AD80" t="str">
            <v/>
          </cell>
          <cell r="AE80" t="str">
            <v/>
          </cell>
          <cell r="AF80" t="str">
            <v/>
          </cell>
          <cell r="AG80">
            <v>0</v>
          </cell>
          <cell r="AH80">
            <v>0</v>
          </cell>
          <cell r="AI80" t="str">
            <v>-</v>
          </cell>
          <cell r="AJ80" t="str">
            <v/>
          </cell>
          <cell r="AK80" t="str">
            <v/>
          </cell>
          <cell r="AL80" t="str">
            <v/>
          </cell>
          <cell r="AM80">
            <v>0</v>
          </cell>
          <cell r="AN80">
            <v>0</v>
          </cell>
          <cell r="AO80" t="str">
            <v>-</v>
          </cell>
          <cell r="AP80" t="str">
            <v/>
          </cell>
          <cell r="AQ80" t="str">
            <v/>
          </cell>
          <cell r="AR80" t="str">
            <v/>
          </cell>
          <cell r="AS80">
            <v>0</v>
          </cell>
          <cell r="AT80">
            <v>0</v>
          </cell>
          <cell r="AU80" t="str">
            <v>-</v>
          </cell>
          <cell r="AV80" t="str">
            <v/>
          </cell>
          <cell r="AW80" t="str">
            <v/>
          </cell>
          <cell r="AX80" t="str">
            <v/>
          </cell>
          <cell r="AY80">
            <v>0</v>
          </cell>
          <cell r="AZ80">
            <v>0</v>
          </cell>
          <cell r="BA80" t="str">
            <v>-</v>
          </cell>
          <cell r="BB80" t="str">
            <v/>
          </cell>
          <cell r="BC80" t="str">
            <v/>
          </cell>
          <cell r="BD80" t="str">
            <v/>
          </cell>
          <cell r="BE80">
            <v>0</v>
          </cell>
          <cell r="BF80">
            <v>0</v>
          </cell>
          <cell r="BG80" t="str">
            <v>-</v>
          </cell>
          <cell r="BH80" t="str">
            <v/>
          </cell>
          <cell r="BI80" t="str">
            <v/>
          </cell>
          <cell r="BJ80" t="str">
            <v/>
          </cell>
          <cell r="BK80">
            <v>0</v>
          </cell>
          <cell r="BL80">
            <v>0</v>
          </cell>
          <cell r="BM80" t="str">
            <v>-</v>
          </cell>
          <cell r="BN80" t="str">
            <v/>
          </cell>
          <cell r="BO80" t="str">
            <v/>
          </cell>
          <cell r="BP80" t="str">
            <v/>
          </cell>
          <cell r="BQ80">
            <v>0</v>
          </cell>
          <cell r="BR80">
            <v>0</v>
          </cell>
          <cell r="BS80" t="str">
            <v>-</v>
          </cell>
          <cell r="BT80" t="str">
            <v/>
          </cell>
          <cell r="BU80" t="str">
            <v/>
          </cell>
          <cell r="BV80" t="str">
            <v/>
          </cell>
          <cell r="BW80">
            <v>0</v>
          </cell>
          <cell r="BX80">
            <v>0</v>
          </cell>
          <cell r="BY80" t="str">
            <v>-</v>
          </cell>
          <cell r="BZ80" t="str">
            <v/>
          </cell>
          <cell r="CA80" t="str">
            <v/>
          </cell>
          <cell r="CB80" t="str">
            <v/>
          </cell>
          <cell r="CC80">
            <v>0</v>
          </cell>
          <cell r="CD80">
            <v>0</v>
          </cell>
          <cell r="CE80" t="str">
            <v>-</v>
          </cell>
          <cell r="CF80" t="str">
            <v/>
          </cell>
          <cell r="CG80" t="str">
            <v/>
          </cell>
          <cell r="CH80" t="str">
            <v/>
          </cell>
          <cell r="CI80" t="str">
            <v/>
          </cell>
          <cell r="CJ80" t="str">
            <v/>
          </cell>
          <cell r="CK80" t="str">
            <v/>
          </cell>
          <cell r="CL80">
            <v>0</v>
          </cell>
          <cell r="CM80">
            <v>0</v>
          </cell>
          <cell r="CN80">
            <v>0</v>
          </cell>
          <cell r="CO80" t="str">
            <v>N.R</v>
          </cell>
          <cell r="CP80">
            <v>0</v>
          </cell>
          <cell r="CQ80">
            <v>41</v>
          </cell>
          <cell r="CR80">
            <v>87</v>
          </cell>
          <cell r="CS80" t="str">
            <v>NILL</v>
          </cell>
          <cell r="CT80">
            <v>0</v>
          </cell>
          <cell r="CU80">
            <v>35</v>
          </cell>
          <cell r="CV80">
            <v>74</v>
          </cell>
          <cell r="CW80" t="str">
            <v>NILL</v>
          </cell>
          <cell r="CX80">
            <v>0</v>
          </cell>
          <cell r="CY80">
            <v>59</v>
          </cell>
          <cell r="CZ80">
            <v>97</v>
          </cell>
          <cell r="DA80" t="str">
            <v>NILL</v>
          </cell>
          <cell r="DB80">
            <v>0</v>
          </cell>
          <cell r="DC80">
            <v>0</v>
          </cell>
          <cell r="DD80">
            <v>0</v>
          </cell>
          <cell r="DE80" t="str">
            <v>NILL</v>
          </cell>
          <cell r="DF80">
            <v>0</v>
          </cell>
          <cell r="DG80">
            <v>33</v>
          </cell>
          <cell r="DH80">
            <v>87</v>
          </cell>
          <cell r="DI80" t="str">
            <v>NILL</v>
          </cell>
          <cell r="DJ80">
            <v>0</v>
          </cell>
          <cell r="DK80">
            <v>29</v>
          </cell>
          <cell r="DL80">
            <v>88</v>
          </cell>
          <cell r="DM80" t="str">
            <v>NILL</v>
          </cell>
          <cell r="DN80">
            <v>0</v>
          </cell>
          <cell r="DO80">
            <v>35</v>
          </cell>
          <cell r="DP80">
            <v>92</v>
          </cell>
          <cell r="DQ80" t="str">
            <v>NILL</v>
          </cell>
          <cell r="DR80">
            <v>0</v>
          </cell>
          <cell r="DS80">
            <v>0</v>
          </cell>
          <cell r="DT80">
            <v>81</v>
          </cell>
          <cell r="DU80" t="str">
            <v>NILL</v>
          </cell>
          <cell r="DV80">
            <v>0</v>
          </cell>
          <cell r="DW80">
            <v>0</v>
          </cell>
          <cell r="DX80">
            <v>0</v>
          </cell>
          <cell r="DY80" t="str">
            <v>NILL</v>
          </cell>
          <cell r="DZ80">
            <v>0</v>
          </cell>
          <cell r="EA80">
            <v>0</v>
          </cell>
          <cell r="EB80">
            <v>86</v>
          </cell>
          <cell r="EC80" t="str">
            <v>NILL</v>
          </cell>
          <cell r="ED80">
            <v>0</v>
          </cell>
          <cell r="EE80">
            <v>0</v>
          </cell>
          <cell r="EF80">
            <v>70</v>
          </cell>
          <cell r="EG80" t="str">
            <v>NILL</v>
          </cell>
          <cell r="EH80">
            <v>0</v>
          </cell>
          <cell r="EI80">
            <v>0</v>
          </cell>
          <cell r="EJ80">
            <v>89</v>
          </cell>
          <cell r="EK80" t="str">
            <v>NILL</v>
          </cell>
          <cell r="EL80">
            <v>0</v>
          </cell>
          <cell r="EM80">
            <v>0</v>
          </cell>
          <cell r="EN80">
            <v>91</v>
          </cell>
          <cell r="EO80" t="str">
            <v>NILL</v>
          </cell>
          <cell r="EP80" t="str">
            <v/>
          </cell>
          <cell r="EQ80">
            <v>0</v>
          </cell>
          <cell r="ER80">
            <v>0</v>
          </cell>
          <cell r="ES80" t="e">
            <v>#VALUE!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 t="str">
            <v/>
          </cell>
          <cell r="G81" t="str">
            <v/>
          </cell>
          <cell r="H81" t="str">
            <v/>
          </cell>
          <cell r="I81">
            <v>0</v>
          </cell>
          <cell r="J81">
            <v>0</v>
          </cell>
          <cell r="K81" t="str">
            <v>-</v>
          </cell>
          <cell r="L81" t="str">
            <v/>
          </cell>
          <cell r="M81" t="str">
            <v/>
          </cell>
          <cell r="N81" t="str">
            <v/>
          </cell>
          <cell r="O81">
            <v>0</v>
          </cell>
          <cell r="P81">
            <v>0</v>
          </cell>
          <cell r="Q81" t="str">
            <v>-</v>
          </cell>
          <cell r="R81" t="str">
            <v/>
          </cell>
          <cell r="S81" t="str">
            <v/>
          </cell>
          <cell r="T81" t="str">
            <v/>
          </cell>
          <cell r="U81">
            <v>0</v>
          </cell>
          <cell r="V81">
            <v>0</v>
          </cell>
          <cell r="W81" t="str">
            <v>-</v>
          </cell>
          <cell r="X81" t="str">
            <v/>
          </cell>
          <cell r="Y81" t="str">
            <v/>
          </cell>
          <cell r="Z81" t="str">
            <v/>
          </cell>
          <cell r="AA81">
            <v>0</v>
          </cell>
          <cell r="AB81">
            <v>0</v>
          </cell>
          <cell r="AC81" t="str">
            <v>-</v>
          </cell>
          <cell r="AD81" t="str">
            <v/>
          </cell>
          <cell r="AE81" t="str">
            <v/>
          </cell>
          <cell r="AF81" t="str">
            <v/>
          </cell>
          <cell r="AG81">
            <v>0</v>
          </cell>
          <cell r="AH81">
            <v>0</v>
          </cell>
          <cell r="AI81" t="str">
            <v>-</v>
          </cell>
          <cell r="AJ81" t="str">
            <v/>
          </cell>
          <cell r="AK81" t="str">
            <v/>
          </cell>
          <cell r="AL81" t="str">
            <v/>
          </cell>
          <cell r="AM81">
            <v>0</v>
          </cell>
          <cell r="AN81">
            <v>0</v>
          </cell>
          <cell r="AO81" t="str">
            <v>-</v>
          </cell>
          <cell r="AP81" t="str">
            <v/>
          </cell>
          <cell r="AQ81" t="str">
            <v/>
          </cell>
          <cell r="AR81" t="str">
            <v/>
          </cell>
          <cell r="AS81">
            <v>0</v>
          </cell>
          <cell r="AT81">
            <v>0</v>
          </cell>
          <cell r="AU81" t="str">
            <v>-</v>
          </cell>
          <cell r="AV81" t="str">
            <v/>
          </cell>
          <cell r="AW81" t="str">
            <v/>
          </cell>
          <cell r="AX81" t="str">
            <v/>
          </cell>
          <cell r="AY81">
            <v>0</v>
          </cell>
          <cell r="AZ81">
            <v>0</v>
          </cell>
          <cell r="BA81" t="str">
            <v>-</v>
          </cell>
          <cell r="BB81" t="str">
            <v/>
          </cell>
          <cell r="BC81" t="str">
            <v/>
          </cell>
          <cell r="BD81" t="str">
            <v/>
          </cell>
          <cell r="BE81">
            <v>0</v>
          </cell>
          <cell r="BF81">
            <v>0</v>
          </cell>
          <cell r="BG81" t="str">
            <v>-</v>
          </cell>
          <cell r="BH81" t="str">
            <v/>
          </cell>
          <cell r="BI81" t="str">
            <v/>
          </cell>
          <cell r="BJ81" t="str">
            <v/>
          </cell>
          <cell r="BK81">
            <v>0</v>
          </cell>
          <cell r="BL81">
            <v>0</v>
          </cell>
          <cell r="BM81" t="str">
            <v>-</v>
          </cell>
          <cell r="BN81" t="str">
            <v/>
          </cell>
          <cell r="BO81" t="str">
            <v/>
          </cell>
          <cell r="BP81" t="str">
            <v/>
          </cell>
          <cell r="BQ81">
            <v>0</v>
          </cell>
          <cell r="BR81">
            <v>0</v>
          </cell>
          <cell r="BS81" t="str">
            <v>-</v>
          </cell>
          <cell r="BT81" t="str">
            <v/>
          </cell>
          <cell r="BU81" t="str">
            <v/>
          </cell>
          <cell r="BV81" t="str">
            <v/>
          </cell>
          <cell r="BW81">
            <v>0</v>
          </cell>
          <cell r="BX81">
            <v>0</v>
          </cell>
          <cell r="BY81" t="str">
            <v>-</v>
          </cell>
          <cell r="BZ81" t="str">
            <v/>
          </cell>
          <cell r="CA81" t="str">
            <v/>
          </cell>
          <cell r="CB81" t="str">
            <v/>
          </cell>
          <cell r="CC81">
            <v>0</v>
          </cell>
          <cell r="CD81">
            <v>0</v>
          </cell>
          <cell r="CE81" t="str">
            <v>-</v>
          </cell>
          <cell r="CF81" t="str">
            <v/>
          </cell>
          <cell r="CG81" t="str">
            <v/>
          </cell>
          <cell r="CH81" t="str">
            <v/>
          </cell>
          <cell r="CI81" t="str">
            <v/>
          </cell>
          <cell r="CJ81" t="str">
            <v/>
          </cell>
          <cell r="CK81" t="str">
            <v/>
          </cell>
          <cell r="CL81">
            <v>0</v>
          </cell>
          <cell r="CM81">
            <v>0</v>
          </cell>
          <cell r="CN81">
            <v>0</v>
          </cell>
          <cell r="CO81" t="str">
            <v>N.R</v>
          </cell>
          <cell r="CP81">
            <v>0</v>
          </cell>
          <cell r="CQ81">
            <v>41</v>
          </cell>
          <cell r="CR81">
            <v>87</v>
          </cell>
          <cell r="CS81" t="str">
            <v>NILL</v>
          </cell>
          <cell r="CT81">
            <v>0</v>
          </cell>
          <cell r="CU81">
            <v>35</v>
          </cell>
          <cell r="CV81">
            <v>74</v>
          </cell>
          <cell r="CW81" t="str">
            <v>NILL</v>
          </cell>
          <cell r="CX81">
            <v>0</v>
          </cell>
          <cell r="CY81">
            <v>59</v>
          </cell>
          <cell r="CZ81">
            <v>97</v>
          </cell>
          <cell r="DA81" t="str">
            <v>NILL</v>
          </cell>
          <cell r="DB81">
            <v>0</v>
          </cell>
          <cell r="DC81">
            <v>0</v>
          </cell>
          <cell r="DD81">
            <v>0</v>
          </cell>
          <cell r="DE81" t="str">
            <v>NILL</v>
          </cell>
          <cell r="DF81">
            <v>0</v>
          </cell>
          <cell r="DG81">
            <v>33</v>
          </cell>
          <cell r="DH81">
            <v>87</v>
          </cell>
          <cell r="DI81" t="str">
            <v>NILL</v>
          </cell>
          <cell r="DJ81">
            <v>0</v>
          </cell>
          <cell r="DK81">
            <v>29</v>
          </cell>
          <cell r="DL81">
            <v>88</v>
          </cell>
          <cell r="DM81" t="str">
            <v>NILL</v>
          </cell>
          <cell r="DN81">
            <v>0</v>
          </cell>
          <cell r="DO81">
            <v>35</v>
          </cell>
          <cell r="DP81">
            <v>92</v>
          </cell>
          <cell r="DQ81" t="str">
            <v>NILL</v>
          </cell>
          <cell r="DR81">
            <v>0</v>
          </cell>
          <cell r="DS81">
            <v>0</v>
          </cell>
          <cell r="DT81">
            <v>81</v>
          </cell>
          <cell r="DU81" t="str">
            <v>NILL</v>
          </cell>
          <cell r="DV81">
            <v>0</v>
          </cell>
          <cell r="DW81">
            <v>0</v>
          </cell>
          <cell r="DX81">
            <v>0</v>
          </cell>
          <cell r="DY81" t="str">
            <v>NILL</v>
          </cell>
          <cell r="DZ81">
            <v>0</v>
          </cell>
          <cell r="EA81">
            <v>0</v>
          </cell>
          <cell r="EB81">
            <v>86</v>
          </cell>
          <cell r="EC81" t="str">
            <v>NILL</v>
          </cell>
          <cell r="ED81">
            <v>0</v>
          </cell>
          <cell r="EE81">
            <v>0</v>
          </cell>
          <cell r="EF81">
            <v>71</v>
          </cell>
          <cell r="EG81" t="str">
            <v>NILL</v>
          </cell>
          <cell r="EH81">
            <v>0</v>
          </cell>
          <cell r="EI81">
            <v>0</v>
          </cell>
          <cell r="EJ81">
            <v>89</v>
          </cell>
          <cell r="EK81" t="str">
            <v>NILL</v>
          </cell>
          <cell r="EL81">
            <v>0</v>
          </cell>
          <cell r="EM81">
            <v>0</v>
          </cell>
          <cell r="EN81">
            <v>91</v>
          </cell>
          <cell r="EO81" t="str">
            <v>NILL</v>
          </cell>
          <cell r="EP81" t="str">
            <v/>
          </cell>
          <cell r="EQ81">
            <v>0</v>
          </cell>
          <cell r="ER81">
            <v>0</v>
          </cell>
          <cell r="ES81" t="e">
            <v>#VALUE!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 t="str">
            <v/>
          </cell>
          <cell r="G82" t="str">
            <v/>
          </cell>
          <cell r="H82" t="str">
            <v/>
          </cell>
          <cell r="I82">
            <v>0</v>
          </cell>
          <cell r="J82">
            <v>0</v>
          </cell>
          <cell r="K82" t="str">
            <v>-</v>
          </cell>
          <cell r="L82" t="str">
            <v/>
          </cell>
          <cell r="M82" t="str">
            <v/>
          </cell>
          <cell r="N82" t="str">
            <v/>
          </cell>
          <cell r="O82">
            <v>0</v>
          </cell>
          <cell r="P82">
            <v>0</v>
          </cell>
          <cell r="Q82" t="str">
            <v>-</v>
          </cell>
          <cell r="R82" t="str">
            <v/>
          </cell>
          <cell r="S82" t="str">
            <v/>
          </cell>
          <cell r="T82" t="str">
            <v/>
          </cell>
          <cell r="U82">
            <v>0</v>
          </cell>
          <cell r="V82">
            <v>0</v>
          </cell>
          <cell r="W82" t="str">
            <v>-</v>
          </cell>
          <cell r="X82" t="str">
            <v/>
          </cell>
          <cell r="Y82" t="str">
            <v/>
          </cell>
          <cell r="Z82" t="str">
            <v/>
          </cell>
          <cell r="AA82">
            <v>0</v>
          </cell>
          <cell r="AB82">
            <v>0</v>
          </cell>
          <cell r="AC82" t="str">
            <v>-</v>
          </cell>
          <cell r="AD82" t="str">
            <v/>
          </cell>
          <cell r="AE82" t="str">
            <v/>
          </cell>
          <cell r="AF82" t="str">
            <v/>
          </cell>
          <cell r="AG82">
            <v>0</v>
          </cell>
          <cell r="AH82">
            <v>0</v>
          </cell>
          <cell r="AI82" t="str">
            <v>-</v>
          </cell>
          <cell r="AJ82" t="str">
            <v/>
          </cell>
          <cell r="AK82" t="str">
            <v/>
          </cell>
          <cell r="AL82" t="str">
            <v/>
          </cell>
          <cell r="AM82">
            <v>0</v>
          </cell>
          <cell r="AN82">
            <v>0</v>
          </cell>
          <cell r="AO82" t="str">
            <v>-</v>
          </cell>
          <cell r="AP82" t="str">
            <v/>
          </cell>
          <cell r="AQ82" t="str">
            <v/>
          </cell>
          <cell r="AR82" t="str">
            <v/>
          </cell>
          <cell r="AS82">
            <v>0</v>
          </cell>
          <cell r="AT82">
            <v>0</v>
          </cell>
          <cell r="AU82" t="str">
            <v>-</v>
          </cell>
          <cell r="AV82" t="str">
            <v/>
          </cell>
          <cell r="AW82" t="str">
            <v/>
          </cell>
          <cell r="AX82" t="str">
            <v/>
          </cell>
          <cell r="AY82">
            <v>0</v>
          </cell>
          <cell r="AZ82">
            <v>0</v>
          </cell>
          <cell r="BA82" t="str">
            <v>-</v>
          </cell>
          <cell r="BB82" t="str">
            <v/>
          </cell>
          <cell r="BC82" t="str">
            <v/>
          </cell>
          <cell r="BD82" t="str">
            <v/>
          </cell>
          <cell r="BE82">
            <v>0</v>
          </cell>
          <cell r="BF82">
            <v>0</v>
          </cell>
          <cell r="BG82" t="str">
            <v>-</v>
          </cell>
          <cell r="BH82" t="str">
            <v/>
          </cell>
          <cell r="BI82" t="str">
            <v/>
          </cell>
          <cell r="BJ82" t="str">
            <v/>
          </cell>
          <cell r="BK82">
            <v>0</v>
          </cell>
          <cell r="BL82">
            <v>0</v>
          </cell>
          <cell r="BM82" t="str">
            <v>-</v>
          </cell>
          <cell r="BN82" t="str">
            <v/>
          </cell>
          <cell r="BO82" t="str">
            <v/>
          </cell>
          <cell r="BP82" t="str">
            <v/>
          </cell>
          <cell r="BQ82">
            <v>0</v>
          </cell>
          <cell r="BR82">
            <v>0</v>
          </cell>
          <cell r="BS82" t="str">
            <v>-</v>
          </cell>
          <cell r="BT82" t="str">
            <v/>
          </cell>
          <cell r="BU82" t="str">
            <v/>
          </cell>
          <cell r="BV82" t="str">
            <v/>
          </cell>
          <cell r="BW82">
            <v>0</v>
          </cell>
          <cell r="BX82">
            <v>0</v>
          </cell>
          <cell r="BY82" t="str">
            <v>-</v>
          </cell>
          <cell r="BZ82" t="str">
            <v/>
          </cell>
          <cell r="CA82" t="str">
            <v/>
          </cell>
          <cell r="CB82" t="str">
            <v/>
          </cell>
          <cell r="CC82">
            <v>0</v>
          </cell>
          <cell r="CD82">
            <v>0</v>
          </cell>
          <cell r="CE82" t="str">
            <v>-</v>
          </cell>
          <cell r="CF82" t="str">
            <v/>
          </cell>
          <cell r="CG82" t="str">
            <v/>
          </cell>
          <cell r="CH82" t="str">
            <v/>
          </cell>
          <cell r="CI82" t="str">
            <v/>
          </cell>
          <cell r="CJ82" t="str">
            <v/>
          </cell>
          <cell r="CK82" t="str">
            <v/>
          </cell>
          <cell r="CL82">
            <v>0</v>
          </cell>
          <cell r="CM82">
            <v>0</v>
          </cell>
          <cell r="CN82">
            <v>0</v>
          </cell>
          <cell r="CO82" t="str">
            <v>N.R</v>
          </cell>
          <cell r="CP82">
            <v>0</v>
          </cell>
          <cell r="CQ82">
            <v>41</v>
          </cell>
          <cell r="CR82">
            <v>87</v>
          </cell>
          <cell r="CS82" t="str">
            <v>NILL</v>
          </cell>
          <cell r="CT82">
            <v>0</v>
          </cell>
          <cell r="CU82">
            <v>35</v>
          </cell>
          <cell r="CV82">
            <v>74</v>
          </cell>
          <cell r="CW82" t="str">
            <v>NILL</v>
          </cell>
          <cell r="CX82">
            <v>0</v>
          </cell>
          <cell r="CY82">
            <v>59</v>
          </cell>
          <cell r="CZ82">
            <v>97</v>
          </cell>
          <cell r="DA82" t="str">
            <v>NILL</v>
          </cell>
          <cell r="DB82">
            <v>0</v>
          </cell>
          <cell r="DC82">
            <v>0</v>
          </cell>
          <cell r="DD82">
            <v>0</v>
          </cell>
          <cell r="DE82" t="str">
            <v>NILL</v>
          </cell>
          <cell r="DF82">
            <v>0</v>
          </cell>
          <cell r="DG82">
            <v>33</v>
          </cell>
          <cell r="DH82">
            <v>87</v>
          </cell>
          <cell r="DI82" t="str">
            <v>NILL</v>
          </cell>
          <cell r="DJ82">
            <v>0</v>
          </cell>
          <cell r="DK82">
            <v>29</v>
          </cell>
          <cell r="DL82">
            <v>88</v>
          </cell>
          <cell r="DM82" t="str">
            <v>NILL</v>
          </cell>
          <cell r="DN82">
            <v>0</v>
          </cell>
          <cell r="DO82">
            <v>35</v>
          </cell>
          <cell r="DP82">
            <v>92</v>
          </cell>
          <cell r="DQ82" t="str">
            <v>NILL</v>
          </cell>
          <cell r="DR82">
            <v>0</v>
          </cell>
          <cell r="DS82">
            <v>0</v>
          </cell>
          <cell r="DT82">
            <v>81</v>
          </cell>
          <cell r="DU82" t="str">
            <v>NILL</v>
          </cell>
          <cell r="DV82">
            <v>0</v>
          </cell>
          <cell r="DW82">
            <v>0</v>
          </cell>
          <cell r="DX82">
            <v>0</v>
          </cell>
          <cell r="DY82" t="str">
            <v>NILL</v>
          </cell>
          <cell r="DZ82">
            <v>0</v>
          </cell>
          <cell r="EA82">
            <v>0</v>
          </cell>
          <cell r="EB82">
            <v>86</v>
          </cell>
          <cell r="EC82" t="str">
            <v>NILL</v>
          </cell>
          <cell r="ED82">
            <v>0</v>
          </cell>
          <cell r="EE82">
            <v>0</v>
          </cell>
          <cell r="EF82">
            <v>72</v>
          </cell>
          <cell r="EG82" t="str">
            <v>NILL</v>
          </cell>
          <cell r="EH82">
            <v>0</v>
          </cell>
          <cell r="EI82">
            <v>0</v>
          </cell>
          <cell r="EJ82">
            <v>89</v>
          </cell>
          <cell r="EK82" t="str">
            <v>NILL</v>
          </cell>
          <cell r="EL82">
            <v>0</v>
          </cell>
          <cell r="EM82">
            <v>0</v>
          </cell>
          <cell r="EN82">
            <v>91</v>
          </cell>
          <cell r="EO82" t="str">
            <v>NILL</v>
          </cell>
          <cell r="EP82" t="str">
            <v/>
          </cell>
          <cell r="EQ82">
            <v>0</v>
          </cell>
          <cell r="ER82">
            <v>0</v>
          </cell>
          <cell r="ES82" t="e">
            <v>#VALUE!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/>
          </cell>
          <cell r="W83" t="str">
            <v/>
          </cell>
          <cell r="X83" t="str">
            <v/>
          </cell>
          <cell r="Y83" t="str">
            <v/>
          </cell>
          <cell r="Z83" t="str">
            <v/>
          </cell>
          <cell r="AA83" t="str">
            <v/>
          </cell>
          <cell r="AB83" t="str">
            <v/>
          </cell>
          <cell r="AC83" t="str">
            <v/>
          </cell>
          <cell r="AD83" t="str">
            <v/>
          </cell>
          <cell r="AE83" t="str">
            <v/>
          </cell>
          <cell r="AF83" t="str">
            <v/>
          </cell>
          <cell r="AG83" t="str">
            <v/>
          </cell>
          <cell r="AH83" t="str">
            <v/>
          </cell>
          <cell r="AI83" t="str">
            <v/>
          </cell>
          <cell r="AJ83" t="str">
            <v/>
          </cell>
          <cell r="AK83" t="str">
            <v/>
          </cell>
          <cell r="AL83" t="str">
            <v/>
          </cell>
          <cell r="AM83" t="str">
            <v/>
          </cell>
          <cell r="AN83" t="str">
            <v/>
          </cell>
          <cell r="AO83" t="str">
            <v/>
          </cell>
          <cell r="AP83" t="str">
            <v/>
          </cell>
          <cell r="AQ83" t="str">
            <v/>
          </cell>
          <cell r="AR83" t="str">
            <v/>
          </cell>
          <cell r="AS83" t="str">
            <v/>
          </cell>
          <cell r="AT83" t="str">
            <v/>
          </cell>
          <cell r="AU83" t="str">
            <v/>
          </cell>
          <cell r="AV83" t="str">
            <v/>
          </cell>
          <cell r="AW83" t="str">
            <v/>
          </cell>
          <cell r="AX83" t="str">
            <v/>
          </cell>
          <cell r="AY83" t="str">
            <v/>
          </cell>
          <cell r="AZ83" t="str">
            <v/>
          </cell>
          <cell r="BA83" t="str">
            <v/>
          </cell>
          <cell r="BB83" t="str">
            <v/>
          </cell>
          <cell r="BC83" t="str">
            <v/>
          </cell>
          <cell r="BD83" t="str">
            <v/>
          </cell>
          <cell r="BE83" t="str">
            <v/>
          </cell>
          <cell r="BF83" t="str">
            <v/>
          </cell>
          <cell r="BG83" t="str">
            <v/>
          </cell>
          <cell r="BH83" t="str">
            <v/>
          </cell>
          <cell r="BI83" t="str">
            <v/>
          </cell>
          <cell r="BJ83" t="str">
            <v/>
          </cell>
          <cell r="BK83" t="str">
            <v/>
          </cell>
          <cell r="BL83" t="str">
            <v/>
          </cell>
          <cell r="BM83" t="str">
            <v/>
          </cell>
          <cell r="BN83" t="str">
            <v/>
          </cell>
          <cell r="BO83" t="str">
            <v/>
          </cell>
          <cell r="BP83" t="str">
            <v/>
          </cell>
          <cell r="BQ83" t="str">
            <v/>
          </cell>
          <cell r="BR83" t="str">
            <v/>
          </cell>
          <cell r="BS83" t="str">
            <v/>
          </cell>
          <cell r="BT83" t="str">
            <v/>
          </cell>
          <cell r="BU83" t="str">
            <v/>
          </cell>
          <cell r="BV83" t="str">
            <v/>
          </cell>
          <cell r="BW83" t="str">
            <v/>
          </cell>
          <cell r="BX83" t="str">
            <v/>
          </cell>
          <cell r="BY83" t="str">
            <v/>
          </cell>
          <cell r="BZ83" t="str">
            <v/>
          </cell>
          <cell r="CA83" t="str">
            <v/>
          </cell>
          <cell r="CB83" t="str">
            <v/>
          </cell>
          <cell r="CC83" t="str">
            <v/>
          </cell>
          <cell r="CD83" t="str">
            <v/>
          </cell>
          <cell r="CE83" t="str">
            <v/>
          </cell>
          <cell r="CF83" t="str">
            <v/>
          </cell>
          <cell r="CG83" t="str">
            <v/>
          </cell>
          <cell r="CH83" t="str">
            <v/>
          </cell>
          <cell r="CI83" t="str">
            <v/>
          </cell>
          <cell r="CJ83" t="str">
            <v/>
          </cell>
          <cell r="CK83" t="str">
            <v/>
          </cell>
          <cell r="CL83">
            <v>0</v>
          </cell>
          <cell r="CM83">
            <v>0</v>
          </cell>
          <cell r="CN83">
            <v>0</v>
          </cell>
          <cell r="CO83" t="str">
            <v>N.R</v>
          </cell>
          <cell r="CP83" t="str">
            <v/>
          </cell>
          <cell r="CQ83">
            <v>41</v>
          </cell>
          <cell r="CR83">
            <v>87</v>
          </cell>
          <cell r="CS83" t="e">
            <v>#VALUE!</v>
          </cell>
          <cell r="CT83" t="str">
            <v/>
          </cell>
          <cell r="CU83">
            <v>35</v>
          </cell>
          <cell r="CV83">
            <v>74</v>
          </cell>
          <cell r="CW83" t="e">
            <v>#VALUE!</v>
          </cell>
          <cell r="CX83" t="str">
            <v/>
          </cell>
          <cell r="CY83">
            <v>59</v>
          </cell>
          <cell r="CZ83">
            <v>97</v>
          </cell>
          <cell r="DA83" t="e">
            <v>#VALUE!</v>
          </cell>
          <cell r="DB83" t="str">
            <v/>
          </cell>
          <cell r="DC83">
            <v>0</v>
          </cell>
          <cell r="DD83">
            <v>0</v>
          </cell>
          <cell r="DE83" t="e">
            <v>#VALUE!</v>
          </cell>
          <cell r="DF83" t="str">
            <v/>
          </cell>
          <cell r="DG83">
            <v>33</v>
          </cell>
          <cell r="DH83">
            <v>87</v>
          </cell>
          <cell r="DI83" t="e">
            <v>#VALUE!</v>
          </cell>
          <cell r="DJ83" t="str">
            <v/>
          </cell>
          <cell r="DK83">
            <v>29</v>
          </cell>
          <cell r="DL83">
            <v>88</v>
          </cell>
          <cell r="DM83" t="e">
            <v>#VALUE!</v>
          </cell>
          <cell r="DN83" t="str">
            <v/>
          </cell>
          <cell r="DO83">
            <v>35</v>
          </cell>
          <cell r="DP83">
            <v>92</v>
          </cell>
          <cell r="DQ83" t="e">
            <v>#VALUE!</v>
          </cell>
          <cell r="DR83" t="str">
            <v/>
          </cell>
          <cell r="DS83">
            <v>0</v>
          </cell>
          <cell r="DT83">
            <v>81</v>
          </cell>
          <cell r="DU83" t="e">
            <v>#VALUE!</v>
          </cell>
          <cell r="DV83" t="str">
            <v/>
          </cell>
          <cell r="DW83">
            <v>0</v>
          </cell>
          <cell r="DX83">
            <v>0</v>
          </cell>
          <cell r="DY83" t="e">
            <v>#VALUE!</v>
          </cell>
          <cell r="DZ83" t="str">
            <v/>
          </cell>
          <cell r="EA83">
            <v>0</v>
          </cell>
          <cell r="EB83">
            <v>86</v>
          </cell>
          <cell r="EC83" t="e">
            <v>#VALUE!</v>
          </cell>
          <cell r="ED83" t="str">
            <v/>
          </cell>
          <cell r="EE83">
            <v>0</v>
          </cell>
          <cell r="EF83">
            <v>73</v>
          </cell>
          <cell r="EG83" t="e">
            <v>#VALUE!</v>
          </cell>
          <cell r="EH83" t="str">
            <v/>
          </cell>
          <cell r="EI83">
            <v>0</v>
          </cell>
          <cell r="EJ83">
            <v>89</v>
          </cell>
          <cell r="EK83" t="e">
            <v>#VALUE!</v>
          </cell>
          <cell r="EL83" t="str">
            <v/>
          </cell>
          <cell r="EM83">
            <v>0</v>
          </cell>
          <cell r="EN83">
            <v>91</v>
          </cell>
          <cell r="EO83" t="e">
            <v>#VALUE!</v>
          </cell>
          <cell r="EP83" t="str">
            <v/>
          </cell>
          <cell r="EQ83">
            <v>0</v>
          </cell>
          <cell r="ER83">
            <v>0</v>
          </cell>
          <cell r="ES83" t="e">
            <v>#VALUE!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  <cell r="T84" t="str">
            <v/>
          </cell>
          <cell r="U84" t="str">
            <v/>
          </cell>
          <cell r="V84" t="str">
            <v/>
          </cell>
          <cell r="W84" t="str">
            <v/>
          </cell>
          <cell r="X84" t="str">
            <v/>
          </cell>
          <cell r="Y84" t="str">
            <v/>
          </cell>
          <cell r="Z84" t="str">
            <v/>
          </cell>
          <cell r="AA84" t="str">
            <v/>
          </cell>
          <cell r="AB84" t="str">
            <v/>
          </cell>
          <cell r="AC84" t="str">
            <v/>
          </cell>
          <cell r="AD84" t="str">
            <v/>
          </cell>
          <cell r="AE84" t="str">
            <v/>
          </cell>
          <cell r="AF84" t="str">
            <v/>
          </cell>
          <cell r="AG84" t="str">
            <v/>
          </cell>
          <cell r="AH84" t="str">
            <v/>
          </cell>
          <cell r="AI84" t="str">
            <v/>
          </cell>
          <cell r="AJ84" t="str">
            <v/>
          </cell>
          <cell r="AK84" t="str">
            <v/>
          </cell>
          <cell r="AL84" t="str">
            <v/>
          </cell>
          <cell r="AM84" t="str">
            <v/>
          </cell>
          <cell r="AN84" t="str">
            <v/>
          </cell>
          <cell r="AO84" t="str">
            <v/>
          </cell>
          <cell r="AP84" t="str">
            <v/>
          </cell>
          <cell r="AQ84" t="str">
            <v/>
          </cell>
          <cell r="AR84" t="str">
            <v/>
          </cell>
          <cell r="AS84" t="str">
            <v/>
          </cell>
          <cell r="AT84" t="str">
            <v/>
          </cell>
          <cell r="AU84" t="str">
            <v/>
          </cell>
          <cell r="AV84" t="str">
            <v/>
          </cell>
          <cell r="AW84" t="str">
            <v/>
          </cell>
          <cell r="AX84" t="str">
            <v/>
          </cell>
          <cell r="AY84" t="str">
            <v/>
          </cell>
          <cell r="AZ84" t="str">
            <v/>
          </cell>
          <cell r="BA84" t="str">
            <v/>
          </cell>
          <cell r="BB84" t="str">
            <v/>
          </cell>
          <cell r="BC84" t="str">
            <v/>
          </cell>
          <cell r="BD84" t="str">
            <v/>
          </cell>
          <cell r="BE84" t="str">
            <v/>
          </cell>
          <cell r="BF84" t="str">
            <v/>
          </cell>
          <cell r="BG84" t="str">
            <v/>
          </cell>
          <cell r="BH84" t="str">
            <v/>
          </cell>
          <cell r="BI84" t="str">
            <v/>
          </cell>
          <cell r="BJ84" t="str">
            <v/>
          </cell>
          <cell r="BK84" t="str">
            <v/>
          </cell>
          <cell r="BL84" t="str">
            <v/>
          </cell>
          <cell r="BM84" t="str">
            <v/>
          </cell>
          <cell r="BN84" t="str">
            <v/>
          </cell>
          <cell r="BO84" t="str">
            <v/>
          </cell>
          <cell r="BP84" t="str">
            <v/>
          </cell>
          <cell r="BQ84" t="str">
            <v/>
          </cell>
          <cell r="BR84" t="str">
            <v/>
          </cell>
          <cell r="BS84" t="str">
            <v/>
          </cell>
          <cell r="BT84" t="str">
            <v/>
          </cell>
          <cell r="BU84" t="str">
            <v/>
          </cell>
          <cell r="BV84" t="str">
            <v/>
          </cell>
          <cell r="BW84" t="str">
            <v/>
          </cell>
          <cell r="BX84" t="str">
            <v/>
          </cell>
          <cell r="BY84" t="str">
            <v/>
          </cell>
          <cell r="BZ84" t="str">
            <v/>
          </cell>
          <cell r="CA84" t="str">
            <v/>
          </cell>
          <cell r="CB84" t="str">
            <v/>
          </cell>
          <cell r="CC84" t="str">
            <v/>
          </cell>
          <cell r="CD84" t="str">
            <v/>
          </cell>
          <cell r="CE84" t="str">
            <v/>
          </cell>
          <cell r="CF84" t="str">
            <v/>
          </cell>
          <cell r="CG84" t="str">
            <v/>
          </cell>
          <cell r="CH84" t="str">
            <v/>
          </cell>
          <cell r="CI84" t="str">
            <v/>
          </cell>
          <cell r="CJ84" t="str">
            <v/>
          </cell>
          <cell r="CK84" t="str">
            <v/>
          </cell>
          <cell r="CL84">
            <v>0</v>
          </cell>
          <cell r="CM84">
            <v>0</v>
          </cell>
          <cell r="CN84">
            <v>0</v>
          </cell>
          <cell r="CO84" t="str">
            <v>N.R</v>
          </cell>
          <cell r="CP84" t="str">
            <v/>
          </cell>
          <cell r="CQ84">
            <v>41</v>
          </cell>
          <cell r="CR84">
            <v>87</v>
          </cell>
          <cell r="CS84" t="e">
            <v>#VALUE!</v>
          </cell>
          <cell r="CT84" t="str">
            <v/>
          </cell>
          <cell r="CU84">
            <v>35</v>
          </cell>
          <cell r="CV84">
            <v>74</v>
          </cell>
          <cell r="CW84" t="e">
            <v>#VALUE!</v>
          </cell>
          <cell r="CX84" t="str">
            <v/>
          </cell>
          <cell r="CY84">
            <v>59</v>
          </cell>
          <cell r="CZ84">
            <v>97</v>
          </cell>
          <cell r="DA84" t="e">
            <v>#VALUE!</v>
          </cell>
          <cell r="DB84" t="str">
            <v/>
          </cell>
          <cell r="DC84">
            <v>0</v>
          </cell>
          <cell r="DD84">
            <v>0</v>
          </cell>
          <cell r="DE84" t="e">
            <v>#VALUE!</v>
          </cell>
          <cell r="DF84" t="str">
            <v/>
          </cell>
          <cell r="DG84">
            <v>33</v>
          </cell>
          <cell r="DH84">
            <v>87</v>
          </cell>
          <cell r="DI84" t="e">
            <v>#VALUE!</v>
          </cell>
          <cell r="DJ84" t="str">
            <v/>
          </cell>
          <cell r="DK84">
            <v>29</v>
          </cell>
          <cell r="DL84">
            <v>88</v>
          </cell>
          <cell r="DM84" t="e">
            <v>#VALUE!</v>
          </cell>
          <cell r="DN84" t="str">
            <v/>
          </cell>
          <cell r="DO84">
            <v>35</v>
          </cell>
          <cell r="DP84">
            <v>92</v>
          </cell>
          <cell r="DQ84" t="e">
            <v>#VALUE!</v>
          </cell>
          <cell r="DR84" t="str">
            <v/>
          </cell>
          <cell r="DS84">
            <v>0</v>
          </cell>
          <cell r="DT84">
            <v>81</v>
          </cell>
          <cell r="DU84" t="e">
            <v>#VALUE!</v>
          </cell>
          <cell r="DV84" t="str">
            <v/>
          </cell>
          <cell r="DW84">
            <v>0</v>
          </cell>
          <cell r="DX84">
            <v>0</v>
          </cell>
          <cell r="DY84" t="e">
            <v>#VALUE!</v>
          </cell>
          <cell r="DZ84" t="str">
            <v/>
          </cell>
          <cell r="EA84">
            <v>0</v>
          </cell>
          <cell r="EB84">
            <v>86</v>
          </cell>
          <cell r="EC84" t="e">
            <v>#VALUE!</v>
          </cell>
          <cell r="ED84" t="str">
            <v/>
          </cell>
          <cell r="EE84">
            <v>0</v>
          </cell>
          <cell r="EF84">
            <v>74</v>
          </cell>
          <cell r="EG84" t="e">
            <v>#VALUE!</v>
          </cell>
          <cell r="EH84" t="str">
            <v/>
          </cell>
          <cell r="EI84">
            <v>0</v>
          </cell>
          <cell r="EJ84">
            <v>89</v>
          </cell>
          <cell r="EK84" t="e">
            <v>#VALUE!</v>
          </cell>
          <cell r="EL84" t="str">
            <v/>
          </cell>
          <cell r="EM84">
            <v>0</v>
          </cell>
          <cell r="EN84">
            <v>91</v>
          </cell>
          <cell r="EO84" t="e">
            <v>#VALUE!</v>
          </cell>
          <cell r="EP84" t="str">
            <v/>
          </cell>
          <cell r="EQ84">
            <v>0</v>
          </cell>
          <cell r="ER84">
            <v>0</v>
          </cell>
          <cell r="ES84" t="e">
            <v>#VALUE!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/>
          </cell>
          <cell r="W85" t="str">
            <v/>
          </cell>
          <cell r="X85" t="str">
            <v/>
          </cell>
          <cell r="Y85" t="str">
            <v/>
          </cell>
          <cell r="Z85" t="str">
            <v/>
          </cell>
          <cell r="AA85" t="str">
            <v/>
          </cell>
          <cell r="AB85" t="str">
            <v/>
          </cell>
          <cell r="AC85" t="str">
            <v/>
          </cell>
          <cell r="AD85" t="str">
            <v/>
          </cell>
          <cell r="AE85" t="str">
            <v/>
          </cell>
          <cell r="AF85" t="str">
            <v/>
          </cell>
          <cell r="AG85" t="str">
            <v/>
          </cell>
          <cell r="AH85" t="str">
            <v/>
          </cell>
          <cell r="AI85" t="str">
            <v/>
          </cell>
          <cell r="AJ85" t="str">
            <v/>
          </cell>
          <cell r="AK85" t="str">
            <v/>
          </cell>
          <cell r="AL85" t="str">
            <v/>
          </cell>
          <cell r="AM85" t="str">
            <v/>
          </cell>
          <cell r="AN85" t="str">
            <v/>
          </cell>
          <cell r="AO85" t="str">
            <v/>
          </cell>
          <cell r="AP85" t="str">
            <v/>
          </cell>
          <cell r="AQ85" t="str">
            <v/>
          </cell>
          <cell r="AR85" t="str">
            <v/>
          </cell>
          <cell r="AS85" t="str">
            <v/>
          </cell>
          <cell r="AT85" t="str">
            <v/>
          </cell>
          <cell r="AU85" t="str">
            <v/>
          </cell>
          <cell r="AV85" t="str">
            <v/>
          </cell>
          <cell r="AW85" t="str">
            <v/>
          </cell>
          <cell r="AX85" t="str">
            <v/>
          </cell>
          <cell r="AY85" t="str">
            <v/>
          </cell>
          <cell r="AZ85" t="str">
            <v/>
          </cell>
          <cell r="BA85" t="str">
            <v/>
          </cell>
          <cell r="BB85" t="str">
            <v/>
          </cell>
          <cell r="BC85" t="str">
            <v/>
          </cell>
          <cell r="BD85" t="str">
            <v/>
          </cell>
          <cell r="BE85" t="str">
            <v/>
          </cell>
          <cell r="BF85" t="str">
            <v/>
          </cell>
          <cell r="BG85" t="str">
            <v/>
          </cell>
          <cell r="BH85" t="str">
            <v/>
          </cell>
          <cell r="BI85" t="str">
            <v/>
          </cell>
          <cell r="BJ85" t="str">
            <v/>
          </cell>
          <cell r="BK85" t="str">
            <v/>
          </cell>
          <cell r="BL85" t="str">
            <v/>
          </cell>
          <cell r="BM85" t="str">
            <v/>
          </cell>
          <cell r="BN85" t="str">
            <v/>
          </cell>
          <cell r="BO85" t="str">
            <v/>
          </cell>
          <cell r="BP85" t="str">
            <v/>
          </cell>
          <cell r="BQ85" t="str">
            <v/>
          </cell>
          <cell r="BR85" t="str">
            <v/>
          </cell>
          <cell r="BS85" t="str">
            <v/>
          </cell>
          <cell r="BT85" t="str">
            <v/>
          </cell>
          <cell r="BU85" t="str">
            <v/>
          </cell>
          <cell r="BV85" t="str">
            <v/>
          </cell>
          <cell r="BW85" t="str">
            <v/>
          </cell>
          <cell r="BX85" t="str">
            <v/>
          </cell>
          <cell r="BY85" t="str">
            <v/>
          </cell>
          <cell r="BZ85" t="str">
            <v/>
          </cell>
          <cell r="CA85" t="str">
            <v/>
          </cell>
          <cell r="CB85" t="str">
            <v/>
          </cell>
          <cell r="CC85" t="str">
            <v/>
          </cell>
          <cell r="CD85" t="str">
            <v/>
          </cell>
          <cell r="CE85" t="str">
            <v/>
          </cell>
          <cell r="CF85" t="str">
            <v/>
          </cell>
          <cell r="CG85" t="str">
            <v/>
          </cell>
          <cell r="CH85" t="str">
            <v/>
          </cell>
          <cell r="CI85" t="str">
            <v/>
          </cell>
          <cell r="CJ85" t="str">
            <v/>
          </cell>
          <cell r="CK85" t="str">
            <v/>
          </cell>
          <cell r="CL85">
            <v>0</v>
          </cell>
          <cell r="CM85">
            <v>0</v>
          </cell>
          <cell r="CN85">
            <v>0</v>
          </cell>
          <cell r="CO85" t="str">
            <v>N.R</v>
          </cell>
          <cell r="CP85" t="str">
            <v/>
          </cell>
          <cell r="CQ85">
            <v>41</v>
          </cell>
          <cell r="CR85">
            <v>87</v>
          </cell>
          <cell r="CS85" t="e">
            <v>#VALUE!</v>
          </cell>
          <cell r="CT85" t="str">
            <v/>
          </cell>
          <cell r="CU85">
            <v>35</v>
          </cell>
          <cell r="CV85">
            <v>74</v>
          </cell>
          <cell r="CW85" t="e">
            <v>#VALUE!</v>
          </cell>
          <cell r="CX85" t="str">
            <v/>
          </cell>
          <cell r="CY85">
            <v>59</v>
          </cell>
          <cell r="CZ85">
            <v>97</v>
          </cell>
          <cell r="DA85" t="e">
            <v>#VALUE!</v>
          </cell>
          <cell r="DB85" t="str">
            <v/>
          </cell>
          <cell r="DC85">
            <v>0</v>
          </cell>
          <cell r="DD85">
            <v>0</v>
          </cell>
          <cell r="DE85" t="e">
            <v>#VALUE!</v>
          </cell>
          <cell r="DF85" t="str">
            <v/>
          </cell>
          <cell r="DG85">
            <v>33</v>
          </cell>
          <cell r="DH85">
            <v>87</v>
          </cell>
          <cell r="DI85" t="e">
            <v>#VALUE!</v>
          </cell>
          <cell r="DJ85" t="str">
            <v/>
          </cell>
          <cell r="DK85">
            <v>29</v>
          </cell>
          <cell r="DL85">
            <v>88</v>
          </cell>
          <cell r="DM85" t="e">
            <v>#VALUE!</v>
          </cell>
          <cell r="DN85" t="str">
            <v/>
          </cell>
          <cell r="DO85">
            <v>35</v>
          </cell>
          <cell r="DP85">
            <v>92</v>
          </cell>
          <cell r="DQ85" t="e">
            <v>#VALUE!</v>
          </cell>
          <cell r="DR85" t="str">
            <v/>
          </cell>
          <cell r="DS85">
            <v>0</v>
          </cell>
          <cell r="DT85">
            <v>81</v>
          </cell>
          <cell r="DU85" t="e">
            <v>#VALUE!</v>
          </cell>
          <cell r="DV85" t="str">
            <v/>
          </cell>
          <cell r="DW85">
            <v>0</v>
          </cell>
          <cell r="DX85">
            <v>0</v>
          </cell>
          <cell r="DY85" t="e">
            <v>#VALUE!</v>
          </cell>
          <cell r="DZ85" t="str">
            <v/>
          </cell>
          <cell r="EA85">
            <v>0</v>
          </cell>
          <cell r="EB85">
            <v>86</v>
          </cell>
          <cell r="EC85" t="e">
            <v>#VALUE!</v>
          </cell>
          <cell r="ED85" t="str">
            <v/>
          </cell>
          <cell r="EE85">
            <v>0</v>
          </cell>
          <cell r="EF85">
            <v>75</v>
          </cell>
          <cell r="EG85" t="e">
            <v>#VALUE!</v>
          </cell>
          <cell r="EH85" t="str">
            <v/>
          </cell>
          <cell r="EI85">
            <v>0</v>
          </cell>
          <cell r="EJ85">
            <v>89</v>
          </cell>
          <cell r="EK85" t="e">
            <v>#VALUE!</v>
          </cell>
          <cell r="EL85" t="str">
            <v/>
          </cell>
          <cell r="EM85">
            <v>0</v>
          </cell>
          <cell r="EN85">
            <v>91</v>
          </cell>
          <cell r="EO85" t="e">
            <v>#VALUE!</v>
          </cell>
          <cell r="EP85" t="str">
            <v/>
          </cell>
          <cell r="EQ85">
            <v>0</v>
          </cell>
          <cell r="ER85">
            <v>0</v>
          </cell>
          <cell r="ES85" t="e">
            <v>#VALUE!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  <cell r="T86" t="str">
            <v/>
          </cell>
          <cell r="U86" t="str">
            <v/>
          </cell>
          <cell r="V86" t="str">
            <v/>
          </cell>
          <cell r="W86" t="str">
            <v/>
          </cell>
          <cell r="X86" t="str">
            <v/>
          </cell>
          <cell r="Y86" t="str">
            <v/>
          </cell>
          <cell r="Z86" t="str">
            <v/>
          </cell>
          <cell r="AA86" t="str">
            <v/>
          </cell>
          <cell r="AB86" t="str">
            <v/>
          </cell>
          <cell r="AC86" t="str">
            <v/>
          </cell>
          <cell r="AD86" t="str">
            <v/>
          </cell>
          <cell r="AE86" t="str">
            <v/>
          </cell>
          <cell r="AF86" t="str">
            <v/>
          </cell>
          <cell r="AG86" t="str">
            <v/>
          </cell>
          <cell r="AH86" t="str">
            <v/>
          </cell>
          <cell r="AI86" t="str">
            <v/>
          </cell>
          <cell r="AJ86" t="str">
            <v/>
          </cell>
          <cell r="AK86" t="str">
            <v/>
          </cell>
          <cell r="AL86" t="str">
            <v/>
          </cell>
          <cell r="AM86" t="str">
            <v/>
          </cell>
          <cell r="AN86" t="str">
            <v/>
          </cell>
          <cell r="AO86" t="str">
            <v/>
          </cell>
          <cell r="AP86" t="str">
            <v/>
          </cell>
          <cell r="AQ86" t="str">
            <v/>
          </cell>
          <cell r="AR86" t="str">
            <v/>
          </cell>
          <cell r="AS86" t="str">
            <v/>
          </cell>
          <cell r="AT86" t="str">
            <v/>
          </cell>
          <cell r="AU86" t="str">
            <v/>
          </cell>
          <cell r="AV86" t="str">
            <v/>
          </cell>
          <cell r="AW86" t="str">
            <v/>
          </cell>
          <cell r="AX86" t="str">
            <v/>
          </cell>
          <cell r="AY86" t="str">
            <v/>
          </cell>
          <cell r="AZ86" t="str">
            <v/>
          </cell>
          <cell r="BA86" t="str">
            <v/>
          </cell>
          <cell r="BB86" t="str">
            <v/>
          </cell>
          <cell r="BC86" t="str">
            <v/>
          </cell>
          <cell r="BD86" t="str">
            <v/>
          </cell>
          <cell r="BE86" t="str">
            <v/>
          </cell>
          <cell r="BF86" t="str">
            <v/>
          </cell>
          <cell r="BG86" t="str">
            <v/>
          </cell>
          <cell r="BH86" t="str">
            <v/>
          </cell>
          <cell r="BI86" t="str">
            <v/>
          </cell>
          <cell r="BJ86" t="str">
            <v/>
          </cell>
          <cell r="BK86" t="str">
            <v/>
          </cell>
          <cell r="BL86" t="str">
            <v/>
          </cell>
          <cell r="BM86" t="str">
            <v/>
          </cell>
          <cell r="BN86" t="str">
            <v/>
          </cell>
          <cell r="BO86" t="str">
            <v/>
          </cell>
          <cell r="BP86" t="str">
            <v/>
          </cell>
          <cell r="BQ86" t="str">
            <v/>
          </cell>
          <cell r="BR86" t="str">
            <v/>
          </cell>
          <cell r="BS86" t="str">
            <v/>
          </cell>
          <cell r="BT86" t="str">
            <v/>
          </cell>
          <cell r="BU86" t="str">
            <v/>
          </cell>
          <cell r="BV86" t="str">
            <v/>
          </cell>
          <cell r="BW86" t="str">
            <v/>
          </cell>
          <cell r="BX86" t="str">
            <v/>
          </cell>
          <cell r="BY86" t="str">
            <v/>
          </cell>
          <cell r="BZ86" t="str">
            <v/>
          </cell>
          <cell r="CA86" t="str">
            <v/>
          </cell>
          <cell r="CB86" t="str">
            <v/>
          </cell>
          <cell r="CC86" t="str">
            <v/>
          </cell>
          <cell r="CD86" t="str">
            <v/>
          </cell>
          <cell r="CE86" t="str">
            <v/>
          </cell>
          <cell r="CF86" t="str">
            <v/>
          </cell>
          <cell r="CG86" t="str">
            <v/>
          </cell>
          <cell r="CH86" t="str">
            <v/>
          </cell>
          <cell r="CI86" t="str">
            <v/>
          </cell>
          <cell r="CJ86" t="str">
            <v/>
          </cell>
          <cell r="CK86" t="str">
            <v/>
          </cell>
          <cell r="CL86">
            <v>0</v>
          </cell>
          <cell r="CM86">
            <v>0</v>
          </cell>
          <cell r="CN86">
            <v>0</v>
          </cell>
          <cell r="CO86" t="str">
            <v>N.R</v>
          </cell>
          <cell r="CP86" t="str">
            <v/>
          </cell>
          <cell r="CQ86">
            <v>41</v>
          </cell>
          <cell r="CR86">
            <v>87</v>
          </cell>
          <cell r="CS86" t="e">
            <v>#VALUE!</v>
          </cell>
          <cell r="CT86" t="str">
            <v/>
          </cell>
          <cell r="CU86">
            <v>35</v>
          </cell>
          <cell r="CV86">
            <v>74</v>
          </cell>
          <cell r="CW86" t="e">
            <v>#VALUE!</v>
          </cell>
          <cell r="CX86" t="str">
            <v/>
          </cell>
          <cell r="CY86">
            <v>59</v>
          </cell>
          <cell r="CZ86">
            <v>97</v>
          </cell>
          <cell r="DA86" t="e">
            <v>#VALUE!</v>
          </cell>
          <cell r="DB86" t="str">
            <v/>
          </cell>
          <cell r="DC86">
            <v>0</v>
          </cell>
          <cell r="DD86">
            <v>0</v>
          </cell>
          <cell r="DE86" t="e">
            <v>#VALUE!</v>
          </cell>
          <cell r="DF86" t="str">
            <v/>
          </cell>
          <cell r="DG86">
            <v>33</v>
          </cell>
          <cell r="DH86">
            <v>87</v>
          </cell>
          <cell r="DI86" t="e">
            <v>#VALUE!</v>
          </cell>
          <cell r="DJ86" t="str">
            <v/>
          </cell>
          <cell r="DK86">
            <v>29</v>
          </cell>
          <cell r="DL86">
            <v>88</v>
          </cell>
          <cell r="DM86" t="e">
            <v>#VALUE!</v>
          </cell>
          <cell r="DN86" t="str">
            <v/>
          </cell>
          <cell r="DO86">
            <v>35</v>
          </cell>
          <cell r="DP86">
            <v>92</v>
          </cell>
          <cell r="DQ86" t="e">
            <v>#VALUE!</v>
          </cell>
          <cell r="DR86" t="str">
            <v/>
          </cell>
          <cell r="DS86">
            <v>0</v>
          </cell>
          <cell r="DT86">
            <v>81</v>
          </cell>
          <cell r="DU86" t="e">
            <v>#VALUE!</v>
          </cell>
          <cell r="DV86" t="str">
            <v/>
          </cell>
          <cell r="DW86">
            <v>0</v>
          </cell>
          <cell r="DX86">
            <v>0</v>
          </cell>
          <cell r="DY86" t="e">
            <v>#VALUE!</v>
          </cell>
          <cell r="DZ86" t="str">
            <v/>
          </cell>
          <cell r="EA86">
            <v>0</v>
          </cell>
          <cell r="EB86">
            <v>86</v>
          </cell>
          <cell r="EC86" t="e">
            <v>#VALUE!</v>
          </cell>
          <cell r="ED86" t="str">
            <v/>
          </cell>
          <cell r="EE86">
            <v>0</v>
          </cell>
          <cell r="EF86">
            <v>76</v>
          </cell>
          <cell r="EG86" t="e">
            <v>#VALUE!</v>
          </cell>
          <cell r="EH86" t="str">
            <v/>
          </cell>
          <cell r="EI86">
            <v>0</v>
          </cell>
          <cell r="EJ86">
            <v>89</v>
          </cell>
          <cell r="EK86" t="e">
            <v>#VALUE!</v>
          </cell>
          <cell r="EL86" t="str">
            <v/>
          </cell>
          <cell r="EM86">
            <v>0</v>
          </cell>
          <cell r="EN86">
            <v>91</v>
          </cell>
          <cell r="EO86" t="e">
            <v>#VALUE!</v>
          </cell>
          <cell r="EP86" t="str">
            <v/>
          </cell>
          <cell r="EQ86">
            <v>0</v>
          </cell>
          <cell r="ER86">
            <v>0</v>
          </cell>
          <cell r="ES86" t="e">
            <v>#VALUE!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 t="str">
            <v/>
          </cell>
          <cell r="Z87" t="str">
            <v/>
          </cell>
          <cell r="AA87" t="str">
            <v/>
          </cell>
          <cell r="AB87" t="str">
            <v/>
          </cell>
          <cell r="AC87" t="str">
            <v/>
          </cell>
          <cell r="AD87" t="str">
            <v/>
          </cell>
          <cell r="AE87" t="str">
            <v/>
          </cell>
          <cell r="AF87" t="str">
            <v/>
          </cell>
          <cell r="AG87" t="str">
            <v/>
          </cell>
          <cell r="AH87" t="str">
            <v/>
          </cell>
          <cell r="AI87" t="str">
            <v/>
          </cell>
          <cell r="AJ87" t="str">
            <v/>
          </cell>
          <cell r="AK87" t="str">
            <v/>
          </cell>
          <cell r="AL87" t="str">
            <v/>
          </cell>
          <cell r="AM87" t="str">
            <v/>
          </cell>
          <cell r="AN87" t="str">
            <v/>
          </cell>
          <cell r="AO87" t="str">
            <v/>
          </cell>
          <cell r="AP87" t="str">
            <v/>
          </cell>
          <cell r="AQ87" t="str">
            <v/>
          </cell>
          <cell r="AR87" t="str">
            <v/>
          </cell>
          <cell r="AS87" t="str">
            <v/>
          </cell>
          <cell r="AT87" t="str">
            <v/>
          </cell>
          <cell r="AU87" t="str">
            <v/>
          </cell>
          <cell r="AV87" t="str">
            <v/>
          </cell>
          <cell r="AW87" t="str">
            <v/>
          </cell>
          <cell r="AX87" t="str">
            <v/>
          </cell>
          <cell r="AY87" t="str">
            <v/>
          </cell>
          <cell r="AZ87" t="str">
            <v/>
          </cell>
          <cell r="BA87" t="str">
            <v/>
          </cell>
          <cell r="BB87" t="str">
            <v/>
          </cell>
          <cell r="BC87" t="str">
            <v/>
          </cell>
          <cell r="BD87" t="str">
            <v/>
          </cell>
          <cell r="BE87" t="str">
            <v/>
          </cell>
          <cell r="BF87" t="str">
            <v/>
          </cell>
          <cell r="BG87" t="str">
            <v/>
          </cell>
          <cell r="BH87" t="str">
            <v/>
          </cell>
          <cell r="BI87" t="str">
            <v/>
          </cell>
          <cell r="BJ87" t="str">
            <v/>
          </cell>
          <cell r="BK87" t="str">
            <v/>
          </cell>
          <cell r="BL87" t="str">
            <v/>
          </cell>
          <cell r="BM87" t="str">
            <v/>
          </cell>
          <cell r="BN87" t="str">
            <v/>
          </cell>
          <cell r="BO87" t="str">
            <v/>
          </cell>
          <cell r="BP87" t="str">
            <v/>
          </cell>
          <cell r="BQ87" t="str">
            <v/>
          </cell>
          <cell r="BR87" t="str">
            <v/>
          </cell>
          <cell r="BS87" t="str">
            <v/>
          </cell>
          <cell r="BT87" t="str">
            <v/>
          </cell>
          <cell r="BU87" t="str">
            <v/>
          </cell>
          <cell r="BV87" t="str">
            <v/>
          </cell>
          <cell r="BW87" t="str">
            <v/>
          </cell>
          <cell r="BX87" t="str">
            <v/>
          </cell>
          <cell r="BY87" t="str">
            <v/>
          </cell>
          <cell r="BZ87" t="str">
            <v/>
          </cell>
          <cell r="CA87" t="str">
            <v/>
          </cell>
          <cell r="CB87" t="str">
            <v/>
          </cell>
          <cell r="CC87" t="str">
            <v/>
          </cell>
          <cell r="CD87" t="str">
            <v/>
          </cell>
          <cell r="CE87" t="str">
            <v/>
          </cell>
          <cell r="CF87" t="str">
            <v/>
          </cell>
          <cell r="CG87" t="str">
            <v/>
          </cell>
          <cell r="CH87" t="str">
            <v/>
          </cell>
          <cell r="CI87" t="str">
            <v/>
          </cell>
          <cell r="CJ87" t="str">
            <v/>
          </cell>
          <cell r="CK87" t="str">
            <v/>
          </cell>
          <cell r="CL87">
            <v>0</v>
          </cell>
          <cell r="CM87">
            <v>0</v>
          </cell>
          <cell r="CN87">
            <v>0</v>
          </cell>
          <cell r="CO87" t="str">
            <v>N.R</v>
          </cell>
          <cell r="CP87" t="str">
            <v/>
          </cell>
          <cell r="CQ87">
            <v>41</v>
          </cell>
          <cell r="CR87">
            <v>87</v>
          </cell>
          <cell r="CS87" t="e">
            <v>#VALUE!</v>
          </cell>
          <cell r="CT87" t="str">
            <v/>
          </cell>
          <cell r="CU87">
            <v>35</v>
          </cell>
          <cell r="CV87">
            <v>74</v>
          </cell>
          <cell r="CW87" t="e">
            <v>#VALUE!</v>
          </cell>
          <cell r="CX87" t="str">
            <v/>
          </cell>
          <cell r="CY87">
            <v>59</v>
          </cell>
          <cell r="CZ87">
            <v>97</v>
          </cell>
          <cell r="DA87" t="e">
            <v>#VALUE!</v>
          </cell>
          <cell r="DB87" t="str">
            <v/>
          </cell>
          <cell r="DC87">
            <v>0</v>
          </cell>
          <cell r="DD87">
            <v>0</v>
          </cell>
          <cell r="DE87" t="e">
            <v>#VALUE!</v>
          </cell>
          <cell r="DF87" t="str">
            <v/>
          </cell>
          <cell r="DG87">
            <v>33</v>
          </cell>
          <cell r="DH87">
            <v>87</v>
          </cell>
          <cell r="DI87" t="e">
            <v>#VALUE!</v>
          </cell>
          <cell r="DJ87" t="str">
            <v/>
          </cell>
          <cell r="DK87">
            <v>29</v>
          </cell>
          <cell r="DL87">
            <v>88</v>
          </cell>
          <cell r="DM87" t="e">
            <v>#VALUE!</v>
          </cell>
          <cell r="DN87" t="str">
            <v/>
          </cell>
          <cell r="DO87">
            <v>35</v>
          </cell>
          <cell r="DP87">
            <v>92</v>
          </cell>
          <cell r="DQ87" t="e">
            <v>#VALUE!</v>
          </cell>
          <cell r="DR87" t="str">
            <v/>
          </cell>
          <cell r="DS87">
            <v>0</v>
          </cell>
          <cell r="DT87">
            <v>81</v>
          </cell>
          <cell r="DU87" t="e">
            <v>#VALUE!</v>
          </cell>
          <cell r="DV87" t="str">
            <v/>
          </cell>
          <cell r="DW87">
            <v>0</v>
          </cell>
          <cell r="DX87">
            <v>0</v>
          </cell>
          <cell r="DY87" t="e">
            <v>#VALUE!</v>
          </cell>
          <cell r="DZ87" t="str">
            <v/>
          </cell>
          <cell r="EA87">
            <v>0</v>
          </cell>
          <cell r="EB87">
            <v>86</v>
          </cell>
          <cell r="EC87" t="e">
            <v>#VALUE!</v>
          </cell>
          <cell r="ED87" t="str">
            <v/>
          </cell>
          <cell r="EE87">
            <v>0</v>
          </cell>
          <cell r="EF87">
            <v>77</v>
          </cell>
          <cell r="EG87" t="e">
            <v>#VALUE!</v>
          </cell>
          <cell r="EH87" t="str">
            <v/>
          </cell>
          <cell r="EI87">
            <v>0</v>
          </cell>
          <cell r="EJ87">
            <v>89</v>
          </cell>
          <cell r="EK87" t="e">
            <v>#VALUE!</v>
          </cell>
          <cell r="EL87" t="str">
            <v/>
          </cell>
          <cell r="EM87">
            <v>0</v>
          </cell>
          <cell r="EN87">
            <v>91</v>
          </cell>
          <cell r="EO87" t="e">
            <v>#VALUE!</v>
          </cell>
          <cell r="EP87" t="str">
            <v/>
          </cell>
          <cell r="EQ87">
            <v>0</v>
          </cell>
          <cell r="ER87">
            <v>0</v>
          </cell>
          <cell r="ES87" t="e">
            <v>#VALUE!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  <cell r="AB88" t="str">
            <v/>
          </cell>
          <cell r="AC88" t="str">
            <v/>
          </cell>
          <cell r="AD88" t="str">
            <v/>
          </cell>
          <cell r="AE88" t="str">
            <v/>
          </cell>
          <cell r="AF88" t="str">
            <v/>
          </cell>
          <cell r="AG88" t="str">
            <v/>
          </cell>
          <cell r="AH88" t="str">
            <v/>
          </cell>
          <cell r="AI88" t="str">
            <v/>
          </cell>
          <cell r="AJ88" t="str">
            <v/>
          </cell>
          <cell r="AK88" t="str">
            <v/>
          </cell>
          <cell r="AL88" t="str">
            <v/>
          </cell>
          <cell r="AM88" t="str">
            <v/>
          </cell>
          <cell r="AN88" t="str">
            <v/>
          </cell>
          <cell r="AO88" t="str">
            <v/>
          </cell>
          <cell r="AP88" t="str">
            <v/>
          </cell>
          <cell r="AQ88" t="str">
            <v/>
          </cell>
          <cell r="AR88" t="str">
            <v/>
          </cell>
          <cell r="AS88" t="str">
            <v/>
          </cell>
          <cell r="AT88" t="str">
            <v/>
          </cell>
          <cell r="AU88" t="str">
            <v/>
          </cell>
          <cell r="AV88" t="str">
            <v/>
          </cell>
          <cell r="AW88" t="str">
            <v/>
          </cell>
          <cell r="AX88" t="str">
            <v/>
          </cell>
          <cell r="AY88" t="str">
            <v/>
          </cell>
          <cell r="AZ88" t="str">
            <v/>
          </cell>
          <cell r="BA88" t="str">
            <v/>
          </cell>
          <cell r="BB88" t="str">
            <v/>
          </cell>
          <cell r="BC88" t="str">
            <v/>
          </cell>
          <cell r="BD88" t="str">
            <v/>
          </cell>
          <cell r="BE88" t="str">
            <v/>
          </cell>
          <cell r="BF88" t="str">
            <v/>
          </cell>
          <cell r="BG88" t="str">
            <v/>
          </cell>
          <cell r="BH88" t="str">
            <v/>
          </cell>
          <cell r="BI88" t="str">
            <v/>
          </cell>
          <cell r="BJ88" t="str">
            <v/>
          </cell>
          <cell r="BK88" t="str">
            <v/>
          </cell>
          <cell r="BL88" t="str">
            <v/>
          </cell>
          <cell r="BM88" t="str">
            <v/>
          </cell>
          <cell r="BN88" t="str">
            <v/>
          </cell>
          <cell r="BO88" t="str">
            <v/>
          </cell>
          <cell r="BP88" t="str">
            <v/>
          </cell>
          <cell r="BQ88" t="str">
            <v/>
          </cell>
          <cell r="BR88" t="str">
            <v/>
          </cell>
          <cell r="BS88" t="str">
            <v/>
          </cell>
          <cell r="BT88" t="str">
            <v/>
          </cell>
          <cell r="BU88" t="str">
            <v/>
          </cell>
          <cell r="BV88" t="str">
            <v/>
          </cell>
          <cell r="BW88" t="str">
            <v/>
          </cell>
          <cell r="BX88" t="str">
            <v/>
          </cell>
          <cell r="BY88" t="str">
            <v/>
          </cell>
          <cell r="BZ88" t="str">
            <v/>
          </cell>
          <cell r="CA88" t="str">
            <v/>
          </cell>
          <cell r="CB88" t="str">
            <v/>
          </cell>
          <cell r="CC88" t="str">
            <v/>
          </cell>
          <cell r="CD88" t="str">
            <v/>
          </cell>
          <cell r="CE88" t="str">
            <v/>
          </cell>
          <cell r="CF88" t="str">
            <v/>
          </cell>
          <cell r="CG88" t="str">
            <v/>
          </cell>
          <cell r="CH88" t="str">
            <v/>
          </cell>
          <cell r="CI88" t="str">
            <v/>
          </cell>
          <cell r="CJ88" t="str">
            <v/>
          </cell>
          <cell r="CK88" t="str">
            <v/>
          </cell>
          <cell r="CL88">
            <v>0</v>
          </cell>
          <cell r="CM88">
            <v>0</v>
          </cell>
          <cell r="CN88">
            <v>0</v>
          </cell>
          <cell r="CO88" t="str">
            <v>N.R</v>
          </cell>
          <cell r="CP88" t="str">
            <v/>
          </cell>
          <cell r="CQ88">
            <v>41</v>
          </cell>
          <cell r="CR88">
            <v>87</v>
          </cell>
          <cell r="CS88" t="e">
            <v>#VALUE!</v>
          </cell>
          <cell r="CT88" t="str">
            <v/>
          </cell>
          <cell r="CU88">
            <v>35</v>
          </cell>
          <cell r="CV88">
            <v>74</v>
          </cell>
          <cell r="CW88" t="e">
            <v>#VALUE!</v>
          </cell>
          <cell r="CX88" t="str">
            <v/>
          </cell>
          <cell r="CY88">
            <v>59</v>
          </cell>
          <cell r="CZ88">
            <v>97</v>
          </cell>
          <cell r="DA88" t="e">
            <v>#VALUE!</v>
          </cell>
          <cell r="DB88" t="str">
            <v/>
          </cell>
          <cell r="DC88">
            <v>0</v>
          </cell>
          <cell r="DD88">
            <v>0</v>
          </cell>
          <cell r="DE88" t="e">
            <v>#VALUE!</v>
          </cell>
          <cell r="DF88" t="str">
            <v/>
          </cell>
          <cell r="DG88">
            <v>33</v>
          </cell>
          <cell r="DH88">
            <v>87</v>
          </cell>
          <cell r="DI88" t="e">
            <v>#VALUE!</v>
          </cell>
          <cell r="DJ88" t="str">
            <v/>
          </cell>
          <cell r="DK88">
            <v>29</v>
          </cell>
          <cell r="DL88">
            <v>88</v>
          </cell>
          <cell r="DM88" t="e">
            <v>#VALUE!</v>
          </cell>
          <cell r="DN88" t="str">
            <v/>
          </cell>
          <cell r="DO88">
            <v>35</v>
          </cell>
          <cell r="DP88">
            <v>92</v>
          </cell>
          <cell r="DQ88" t="e">
            <v>#VALUE!</v>
          </cell>
          <cell r="DR88" t="str">
            <v/>
          </cell>
          <cell r="DS88">
            <v>0</v>
          </cell>
          <cell r="DT88">
            <v>81</v>
          </cell>
          <cell r="DU88" t="e">
            <v>#VALUE!</v>
          </cell>
          <cell r="DV88" t="str">
            <v/>
          </cell>
          <cell r="DW88">
            <v>0</v>
          </cell>
          <cell r="DX88">
            <v>0</v>
          </cell>
          <cell r="DY88" t="e">
            <v>#VALUE!</v>
          </cell>
          <cell r="DZ88" t="str">
            <v/>
          </cell>
          <cell r="EA88">
            <v>0</v>
          </cell>
          <cell r="EB88">
            <v>86</v>
          </cell>
          <cell r="EC88" t="e">
            <v>#VALUE!</v>
          </cell>
          <cell r="ED88" t="str">
            <v/>
          </cell>
          <cell r="EE88">
            <v>0</v>
          </cell>
          <cell r="EF88">
            <v>78</v>
          </cell>
          <cell r="EG88" t="e">
            <v>#VALUE!</v>
          </cell>
          <cell r="EH88" t="str">
            <v/>
          </cell>
          <cell r="EI88">
            <v>0</v>
          </cell>
          <cell r="EJ88">
            <v>89</v>
          </cell>
          <cell r="EK88" t="e">
            <v>#VALUE!</v>
          </cell>
          <cell r="EL88" t="str">
            <v/>
          </cell>
          <cell r="EM88">
            <v>0</v>
          </cell>
          <cell r="EN88">
            <v>91</v>
          </cell>
          <cell r="EO88" t="e">
            <v>#VALUE!</v>
          </cell>
          <cell r="EP88" t="str">
            <v/>
          </cell>
          <cell r="EQ88">
            <v>0</v>
          </cell>
          <cell r="ER88">
            <v>0</v>
          </cell>
          <cell r="ES88" t="e">
            <v>#VALUE!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/>
          </cell>
          <cell r="W89" t="str">
            <v/>
          </cell>
          <cell r="X89" t="str">
            <v/>
          </cell>
          <cell r="Y89" t="str">
            <v/>
          </cell>
          <cell r="Z89" t="str">
            <v/>
          </cell>
          <cell r="AA89" t="str">
            <v/>
          </cell>
          <cell r="AB89" t="str">
            <v/>
          </cell>
          <cell r="AC89" t="str">
            <v/>
          </cell>
          <cell r="AD89" t="str">
            <v/>
          </cell>
          <cell r="AE89" t="str">
            <v/>
          </cell>
          <cell r="AF89" t="str">
            <v/>
          </cell>
          <cell r="AG89" t="str">
            <v/>
          </cell>
          <cell r="AH89" t="str">
            <v/>
          </cell>
          <cell r="AI89" t="str">
            <v/>
          </cell>
          <cell r="AJ89" t="str">
            <v/>
          </cell>
          <cell r="AK89" t="str">
            <v/>
          </cell>
          <cell r="AL89" t="str">
            <v/>
          </cell>
          <cell r="AM89" t="str">
            <v/>
          </cell>
          <cell r="AN89" t="str">
            <v/>
          </cell>
          <cell r="AO89" t="str">
            <v/>
          </cell>
          <cell r="AP89" t="str">
            <v/>
          </cell>
          <cell r="AQ89" t="str">
            <v/>
          </cell>
          <cell r="AR89" t="str">
            <v/>
          </cell>
          <cell r="AS89" t="str">
            <v/>
          </cell>
          <cell r="AT89" t="str">
            <v/>
          </cell>
          <cell r="AU89" t="str">
            <v/>
          </cell>
          <cell r="AV89" t="str">
            <v/>
          </cell>
          <cell r="AW89" t="str">
            <v/>
          </cell>
          <cell r="AX89" t="str">
            <v/>
          </cell>
          <cell r="AY89" t="str">
            <v/>
          </cell>
          <cell r="AZ89" t="str">
            <v/>
          </cell>
          <cell r="BA89" t="str">
            <v/>
          </cell>
          <cell r="BB89" t="str">
            <v/>
          </cell>
          <cell r="BC89" t="str">
            <v/>
          </cell>
          <cell r="BD89" t="str">
            <v/>
          </cell>
          <cell r="BE89" t="str">
            <v/>
          </cell>
          <cell r="BF89" t="str">
            <v/>
          </cell>
          <cell r="BG89" t="str">
            <v/>
          </cell>
          <cell r="BH89" t="str">
            <v/>
          </cell>
          <cell r="BI89" t="str">
            <v/>
          </cell>
          <cell r="BJ89" t="str">
            <v/>
          </cell>
          <cell r="BK89" t="str">
            <v/>
          </cell>
          <cell r="BL89" t="str">
            <v/>
          </cell>
          <cell r="BM89" t="str">
            <v/>
          </cell>
          <cell r="BN89" t="str">
            <v/>
          </cell>
          <cell r="BO89" t="str">
            <v/>
          </cell>
          <cell r="BP89" t="str">
            <v/>
          </cell>
          <cell r="BQ89" t="str">
            <v/>
          </cell>
          <cell r="BR89" t="str">
            <v/>
          </cell>
          <cell r="BS89" t="str">
            <v/>
          </cell>
          <cell r="BT89" t="str">
            <v/>
          </cell>
          <cell r="BU89" t="str">
            <v/>
          </cell>
          <cell r="BV89" t="str">
            <v/>
          </cell>
          <cell r="BW89" t="str">
            <v/>
          </cell>
          <cell r="BX89" t="str">
            <v/>
          </cell>
          <cell r="BY89" t="str">
            <v/>
          </cell>
          <cell r="BZ89" t="str">
            <v/>
          </cell>
          <cell r="CA89" t="str">
            <v/>
          </cell>
          <cell r="CB89" t="str">
            <v/>
          </cell>
          <cell r="CC89" t="str">
            <v/>
          </cell>
          <cell r="CD89" t="str">
            <v/>
          </cell>
          <cell r="CE89" t="str">
            <v/>
          </cell>
          <cell r="CF89" t="str">
            <v/>
          </cell>
          <cell r="CG89" t="str">
            <v/>
          </cell>
          <cell r="CH89" t="str">
            <v/>
          </cell>
          <cell r="CI89" t="str">
            <v/>
          </cell>
          <cell r="CJ89" t="str">
            <v/>
          </cell>
          <cell r="CK89" t="str">
            <v/>
          </cell>
          <cell r="CL89">
            <v>0</v>
          </cell>
          <cell r="CM89">
            <v>0</v>
          </cell>
          <cell r="CN89">
            <v>0</v>
          </cell>
          <cell r="CO89" t="str">
            <v>N.R</v>
          </cell>
          <cell r="CP89" t="str">
            <v/>
          </cell>
          <cell r="CQ89">
            <v>41</v>
          </cell>
          <cell r="CR89">
            <v>87</v>
          </cell>
          <cell r="CS89" t="e">
            <v>#VALUE!</v>
          </cell>
          <cell r="CT89" t="str">
            <v/>
          </cell>
          <cell r="CU89">
            <v>35</v>
          </cell>
          <cell r="CV89">
            <v>74</v>
          </cell>
          <cell r="CW89" t="e">
            <v>#VALUE!</v>
          </cell>
          <cell r="CX89" t="str">
            <v/>
          </cell>
          <cell r="CY89">
            <v>59</v>
          </cell>
          <cell r="CZ89">
            <v>97</v>
          </cell>
          <cell r="DA89" t="e">
            <v>#VALUE!</v>
          </cell>
          <cell r="DB89" t="str">
            <v/>
          </cell>
          <cell r="DC89">
            <v>0</v>
          </cell>
          <cell r="DD89">
            <v>0</v>
          </cell>
          <cell r="DE89" t="e">
            <v>#VALUE!</v>
          </cell>
          <cell r="DF89" t="str">
            <v/>
          </cell>
          <cell r="DG89">
            <v>33</v>
          </cell>
          <cell r="DH89">
            <v>87</v>
          </cell>
          <cell r="DI89" t="e">
            <v>#VALUE!</v>
          </cell>
          <cell r="DJ89" t="str">
            <v/>
          </cell>
          <cell r="DK89">
            <v>29</v>
          </cell>
          <cell r="DL89">
            <v>88</v>
          </cell>
          <cell r="DM89" t="e">
            <v>#VALUE!</v>
          </cell>
          <cell r="DN89" t="str">
            <v/>
          </cell>
          <cell r="DO89">
            <v>35</v>
          </cell>
          <cell r="DP89">
            <v>92</v>
          </cell>
          <cell r="DQ89" t="e">
            <v>#VALUE!</v>
          </cell>
          <cell r="DR89" t="str">
            <v/>
          </cell>
          <cell r="DS89">
            <v>0</v>
          </cell>
          <cell r="DT89">
            <v>81</v>
          </cell>
          <cell r="DU89" t="e">
            <v>#VALUE!</v>
          </cell>
          <cell r="DV89" t="str">
            <v/>
          </cell>
          <cell r="DW89">
            <v>0</v>
          </cell>
          <cell r="DX89">
            <v>0</v>
          </cell>
          <cell r="DY89" t="e">
            <v>#VALUE!</v>
          </cell>
          <cell r="DZ89" t="str">
            <v/>
          </cell>
          <cell r="EA89">
            <v>0</v>
          </cell>
          <cell r="EB89">
            <v>86</v>
          </cell>
          <cell r="EC89" t="e">
            <v>#VALUE!</v>
          </cell>
          <cell r="ED89" t="str">
            <v/>
          </cell>
          <cell r="EE89">
            <v>0</v>
          </cell>
          <cell r="EF89">
            <v>79</v>
          </cell>
          <cell r="EG89" t="e">
            <v>#VALUE!</v>
          </cell>
          <cell r="EH89" t="str">
            <v/>
          </cell>
          <cell r="EI89">
            <v>0</v>
          </cell>
          <cell r="EJ89">
            <v>89</v>
          </cell>
          <cell r="EK89" t="e">
            <v>#VALUE!</v>
          </cell>
          <cell r="EL89" t="str">
            <v/>
          </cell>
          <cell r="EM89">
            <v>0</v>
          </cell>
          <cell r="EN89">
            <v>91</v>
          </cell>
          <cell r="EO89" t="e">
            <v>#VALUE!</v>
          </cell>
          <cell r="EP89" t="str">
            <v/>
          </cell>
          <cell r="EQ89">
            <v>0</v>
          </cell>
          <cell r="ER89">
            <v>0</v>
          </cell>
          <cell r="ES89" t="e">
            <v>#VALUE!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  <cell r="AB90" t="str">
            <v/>
          </cell>
          <cell r="AC90" t="str">
            <v/>
          </cell>
          <cell r="AD90" t="str">
            <v/>
          </cell>
          <cell r="AE90" t="str">
            <v/>
          </cell>
          <cell r="AF90" t="str">
            <v/>
          </cell>
          <cell r="AG90" t="str">
            <v/>
          </cell>
          <cell r="AH90" t="str">
            <v/>
          </cell>
          <cell r="AI90" t="str">
            <v/>
          </cell>
          <cell r="AJ90" t="str">
            <v/>
          </cell>
          <cell r="AK90" t="str">
            <v/>
          </cell>
          <cell r="AL90" t="str">
            <v/>
          </cell>
          <cell r="AM90" t="str">
            <v/>
          </cell>
          <cell r="AN90" t="str">
            <v/>
          </cell>
          <cell r="AO90" t="str">
            <v/>
          </cell>
          <cell r="AP90" t="str">
            <v/>
          </cell>
          <cell r="AQ90" t="str">
            <v/>
          </cell>
          <cell r="AR90" t="str">
            <v/>
          </cell>
          <cell r="AS90" t="str">
            <v/>
          </cell>
          <cell r="AT90" t="str">
            <v/>
          </cell>
          <cell r="AU90" t="str">
            <v/>
          </cell>
          <cell r="AV90" t="str">
            <v/>
          </cell>
          <cell r="AW90" t="str">
            <v/>
          </cell>
          <cell r="AX90" t="str">
            <v/>
          </cell>
          <cell r="AY90" t="str">
            <v/>
          </cell>
          <cell r="AZ90" t="str">
            <v/>
          </cell>
          <cell r="BA90" t="str">
            <v/>
          </cell>
          <cell r="BB90" t="str">
            <v/>
          </cell>
          <cell r="BC90" t="str">
            <v/>
          </cell>
          <cell r="BD90" t="str">
            <v/>
          </cell>
          <cell r="BE90" t="str">
            <v/>
          </cell>
          <cell r="BF90" t="str">
            <v/>
          </cell>
          <cell r="BG90" t="str">
            <v/>
          </cell>
          <cell r="BH90" t="str">
            <v/>
          </cell>
          <cell r="BI90" t="str">
            <v/>
          </cell>
          <cell r="BJ90" t="str">
            <v/>
          </cell>
          <cell r="BK90" t="str">
            <v/>
          </cell>
          <cell r="BL90" t="str">
            <v/>
          </cell>
          <cell r="BM90" t="str">
            <v/>
          </cell>
          <cell r="BN90" t="str">
            <v/>
          </cell>
          <cell r="BO90" t="str">
            <v/>
          </cell>
          <cell r="BP90" t="str">
            <v/>
          </cell>
          <cell r="BQ90" t="str">
            <v/>
          </cell>
          <cell r="BR90" t="str">
            <v/>
          </cell>
          <cell r="BS90" t="str">
            <v/>
          </cell>
          <cell r="BT90" t="str">
            <v/>
          </cell>
          <cell r="BU90" t="str">
            <v/>
          </cell>
          <cell r="BV90" t="str">
            <v/>
          </cell>
          <cell r="BW90" t="str">
            <v/>
          </cell>
          <cell r="BX90" t="str">
            <v/>
          </cell>
          <cell r="BY90" t="str">
            <v/>
          </cell>
          <cell r="BZ90" t="str">
            <v/>
          </cell>
          <cell r="CA90" t="str">
            <v/>
          </cell>
          <cell r="CB90" t="str">
            <v/>
          </cell>
          <cell r="CC90" t="str">
            <v/>
          </cell>
          <cell r="CD90" t="str">
            <v/>
          </cell>
          <cell r="CE90" t="str">
            <v/>
          </cell>
          <cell r="CF90" t="str">
            <v/>
          </cell>
          <cell r="CG90" t="str">
            <v/>
          </cell>
          <cell r="CH90" t="str">
            <v/>
          </cell>
          <cell r="CI90" t="str">
            <v/>
          </cell>
          <cell r="CJ90" t="str">
            <v/>
          </cell>
          <cell r="CK90" t="str">
            <v/>
          </cell>
          <cell r="CL90">
            <v>0</v>
          </cell>
          <cell r="CM90">
            <v>0</v>
          </cell>
          <cell r="CN90">
            <v>0</v>
          </cell>
          <cell r="CO90" t="str">
            <v>N.R</v>
          </cell>
          <cell r="CP90" t="str">
            <v/>
          </cell>
          <cell r="CQ90">
            <v>41</v>
          </cell>
          <cell r="CR90">
            <v>87</v>
          </cell>
          <cell r="CS90" t="e">
            <v>#VALUE!</v>
          </cell>
          <cell r="CT90" t="str">
            <v/>
          </cell>
          <cell r="CU90">
            <v>35</v>
          </cell>
          <cell r="CV90">
            <v>74</v>
          </cell>
          <cell r="CW90" t="e">
            <v>#VALUE!</v>
          </cell>
          <cell r="CX90" t="str">
            <v/>
          </cell>
          <cell r="CY90">
            <v>59</v>
          </cell>
          <cell r="CZ90">
            <v>97</v>
          </cell>
          <cell r="DA90" t="e">
            <v>#VALUE!</v>
          </cell>
          <cell r="DB90" t="str">
            <v/>
          </cell>
          <cell r="DC90">
            <v>0</v>
          </cell>
          <cell r="DD90">
            <v>0</v>
          </cell>
          <cell r="DE90" t="e">
            <v>#VALUE!</v>
          </cell>
          <cell r="DF90" t="str">
            <v/>
          </cell>
          <cell r="DG90">
            <v>33</v>
          </cell>
          <cell r="DH90">
            <v>87</v>
          </cell>
          <cell r="DI90" t="e">
            <v>#VALUE!</v>
          </cell>
          <cell r="DJ90" t="str">
            <v/>
          </cell>
          <cell r="DK90">
            <v>29</v>
          </cell>
          <cell r="DL90">
            <v>88</v>
          </cell>
          <cell r="DM90" t="e">
            <v>#VALUE!</v>
          </cell>
          <cell r="DN90" t="str">
            <v/>
          </cell>
          <cell r="DO90">
            <v>35</v>
          </cell>
          <cell r="DP90">
            <v>92</v>
          </cell>
          <cell r="DQ90" t="e">
            <v>#VALUE!</v>
          </cell>
          <cell r="DR90" t="str">
            <v/>
          </cell>
          <cell r="DS90">
            <v>0</v>
          </cell>
          <cell r="DT90">
            <v>81</v>
          </cell>
          <cell r="DU90" t="e">
            <v>#VALUE!</v>
          </cell>
          <cell r="DV90" t="str">
            <v/>
          </cell>
          <cell r="DW90">
            <v>0</v>
          </cell>
          <cell r="DX90">
            <v>0</v>
          </cell>
          <cell r="DY90" t="e">
            <v>#VALUE!</v>
          </cell>
          <cell r="DZ90" t="str">
            <v/>
          </cell>
          <cell r="EA90">
            <v>0</v>
          </cell>
          <cell r="EB90">
            <v>86</v>
          </cell>
          <cell r="EC90" t="e">
            <v>#VALUE!</v>
          </cell>
          <cell r="ED90" t="str">
            <v/>
          </cell>
          <cell r="EE90">
            <v>0</v>
          </cell>
          <cell r="EF90">
            <v>80</v>
          </cell>
          <cell r="EG90" t="e">
            <v>#VALUE!</v>
          </cell>
          <cell r="EH90" t="str">
            <v/>
          </cell>
          <cell r="EI90">
            <v>0</v>
          </cell>
          <cell r="EJ90">
            <v>89</v>
          </cell>
          <cell r="EK90" t="e">
            <v>#VALUE!</v>
          </cell>
          <cell r="EL90" t="str">
            <v/>
          </cell>
          <cell r="EM90">
            <v>0</v>
          </cell>
          <cell r="EN90">
            <v>91</v>
          </cell>
          <cell r="EO90" t="e">
            <v>#VALUE!</v>
          </cell>
          <cell r="EP90" t="str">
            <v/>
          </cell>
          <cell r="EQ90">
            <v>0</v>
          </cell>
          <cell r="ER90">
            <v>0</v>
          </cell>
          <cell r="ES90" t="e">
            <v>#VALUE!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/>
          </cell>
          <cell r="W91" t="str">
            <v/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  <cell r="AB91" t="str">
            <v/>
          </cell>
          <cell r="AC91" t="str">
            <v/>
          </cell>
          <cell r="AD91" t="str">
            <v/>
          </cell>
          <cell r="AE91" t="str">
            <v/>
          </cell>
          <cell r="AF91" t="str">
            <v/>
          </cell>
          <cell r="AG91" t="str">
            <v/>
          </cell>
          <cell r="AH91" t="str">
            <v/>
          </cell>
          <cell r="AI91" t="str">
            <v/>
          </cell>
          <cell r="AJ91" t="str">
            <v/>
          </cell>
          <cell r="AK91" t="str">
            <v/>
          </cell>
          <cell r="AL91" t="str">
            <v/>
          </cell>
          <cell r="AM91" t="str">
            <v/>
          </cell>
          <cell r="AN91" t="str">
            <v/>
          </cell>
          <cell r="AO91" t="str">
            <v/>
          </cell>
          <cell r="AP91" t="str">
            <v/>
          </cell>
          <cell r="AQ91" t="str">
            <v/>
          </cell>
          <cell r="AR91" t="str">
            <v/>
          </cell>
          <cell r="AS91" t="str">
            <v/>
          </cell>
          <cell r="AT91" t="str">
            <v/>
          </cell>
          <cell r="AU91" t="str">
            <v/>
          </cell>
          <cell r="AV91" t="str">
            <v/>
          </cell>
          <cell r="AW91" t="str">
            <v/>
          </cell>
          <cell r="AX91" t="str">
            <v/>
          </cell>
          <cell r="AY91" t="str">
            <v/>
          </cell>
          <cell r="AZ91" t="str">
            <v/>
          </cell>
          <cell r="BA91" t="str">
            <v/>
          </cell>
          <cell r="BB91" t="str">
            <v/>
          </cell>
          <cell r="BC91" t="str">
            <v/>
          </cell>
          <cell r="BD91" t="str">
            <v/>
          </cell>
          <cell r="BE91" t="str">
            <v/>
          </cell>
          <cell r="BF91" t="str">
            <v/>
          </cell>
          <cell r="BG91" t="str">
            <v/>
          </cell>
          <cell r="BH91" t="str">
            <v/>
          </cell>
          <cell r="BI91" t="str">
            <v/>
          </cell>
          <cell r="BJ91" t="str">
            <v/>
          </cell>
          <cell r="BK91" t="str">
            <v/>
          </cell>
          <cell r="BL91" t="str">
            <v/>
          </cell>
          <cell r="BM91" t="str">
            <v/>
          </cell>
          <cell r="BN91" t="str">
            <v/>
          </cell>
          <cell r="BO91" t="str">
            <v/>
          </cell>
          <cell r="BP91" t="str">
            <v/>
          </cell>
          <cell r="BQ91" t="str">
            <v/>
          </cell>
          <cell r="BR91" t="str">
            <v/>
          </cell>
          <cell r="BS91" t="str">
            <v/>
          </cell>
          <cell r="BT91" t="str">
            <v/>
          </cell>
          <cell r="BU91" t="str">
            <v/>
          </cell>
          <cell r="BV91" t="str">
            <v/>
          </cell>
          <cell r="BW91" t="str">
            <v/>
          </cell>
          <cell r="BX91" t="str">
            <v/>
          </cell>
          <cell r="BY91" t="str">
            <v/>
          </cell>
          <cell r="BZ91" t="str">
            <v/>
          </cell>
          <cell r="CA91" t="str">
            <v/>
          </cell>
          <cell r="CB91" t="str">
            <v/>
          </cell>
          <cell r="CC91" t="str">
            <v/>
          </cell>
          <cell r="CD91" t="str">
            <v/>
          </cell>
          <cell r="CE91" t="str">
            <v/>
          </cell>
          <cell r="CF91" t="str">
            <v/>
          </cell>
          <cell r="CG91" t="str">
            <v/>
          </cell>
          <cell r="CH91" t="str">
            <v/>
          </cell>
          <cell r="CI91" t="str">
            <v/>
          </cell>
          <cell r="CJ91" t="str">
            <v/>
          </cell>
          <cell r="CK91" t="str">
            <v/>
          </cell>
          <cell r="CL91">
            <v>0</v>
          </cell>
          <cell r="CM91">
            <v>0</v>
          </cell>
          <cell r="CN91">
            <v>0</v>
          </cell>
          <cell r="CO91" t="str">
            <v>N.R</v>
          </cell>
          <cell r="CP91" t="str">
            <v/>
          </cell>
          <cell r="CQ91">
            <v>41</v>
          </cell>
          <cell r="CR91">
            <v>87</v>
          </cell>
          <cell r="CS91" t="e">
            <v>#VALUE!</v>
          </cell>
          <cell r="CT91" t="str">
            <v/>
          </cell>
          <cell r="CU91">
            <v>35</v>
          </cell>
          <cell r="CV91">
            <v>74</v>
          </cell>
          <cell r="CW91" t="e">
            <v>#VALUE!</v>
          </cell>
          <cell r="CX91" t="str">
            <v/>
          </cell>
          <cell r="CY91">
            <v>59</v>
          </cell>
          <cell r="CZ91">
            <v>97</v>
          </cell>
          <cell r="DA91" t="e">
            <v>#VALUE!</v>
          </cell>
          <cell r="DB91" t="str">
            <v/>
          </cell>
          <cell r="DC91">
            <v>0</v>
          </cell>
          <cell r="DD91">
            <v>0</v>
          </cell>
          <cell r="DE91" t="e">
            <v>#VALUE!</v>
          </cell>
          <cell r="DF91" t="str">
            <v/>
          </cell>
          <cell r="DG91">
            <v>33</v>
          </cell>
          <cell r="DH91">
            <v>87</v>
          </cell>
          <cell r="DI91" t="e">
            <v>#VALUE!</v>
          </cell>
          <cell r="DJ91" t="str">
            <v/>
          </cell>
          <cell r="DK91">
            <v>29</v>
          </cell>
          <cell r="DL91">
            <v>88</v>
          </cell>
          <cell r="DM91" t="e">
            <v>#VALUE!</v>
          </cell>
          <cell r="DN91" t="str">
            <v/>
          </cell>
          <cell r="DO91">
            <v>35</v>
          </cell>
          <cell r="DP91">
            <v>92</v>
          </cell>
          <cell r="DQ91" t="e">
            <v>#VALUE!</v>
          </cell>
          <cell r="DR91" t="str">
            <v/>
          </cell>
          <cell r="DS91">
            <v>0</v>
          </cell>
          <cell r="DT91">
            <v>81</v>
          </cell>
          <cell r="DU91" t="e">
            <v>#VALUE!</v>
          </cell>
          <cell r="DV91" t="str">
            <v/>
          </cell>
          <cell r="DW91">
            <v>0</v>
          </cell>
          <cell r="DX91">
            <v>0</v>
          </cell>
          <cell r="DY91" t="e">
            <v>#VALUE!</v>
          </cell>
          <cell r="DZ91" t="str">
            <v/>
          </cell>
          <cell r="EA91">
            <v>0</v>
          </cell>
          <cell r="EB91">
            <v>86</v>
          </cell>
          <cell r="EC91" t="e">
            <v>#VALUE!</v>
          </cell>
          <cell r="ED91" t="str">
            <v/>
          </cell>
          <cell r="EE91">
            <v>0</v>
          </cell>
          <cell r="EF91">
            <v>81</v>
          </cell>
          <cell r="EG91" t="e">
            <v>#VALUE!</v>
          </cell>
          <cell r="EH91" t="str">
            <v/>
          </cell>
          <cell r="EI91">
            <v>0</v>
          </cell>
          <cell r="EJ91">
            <v>89</v>
          </cell>
          <cell r="EK91" t="e">
            <v>#VALUE!</v>
          </cell>
          <cell r="EL91" t="str">
            <v/>
          </cell>
          <cell r="EM91">
            <v>0</v>
          </cell>
          <cell r="EN91">
            <v>91</v>
          </cell>
          <cell r="EO91" t="e">
            <v>#VALUE!</v>
          </cell>
          <cell r="EP91" t="str">
            <v/>
          </cell>
          <cell r="EQ91">
            <v>0</v>
          </cell>
          <cell r="ER91">
            <v>0</v>
          </cell>
          <cell r="ES91" t="e">
            <v>#VALUE!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/>
          </cell>
          <cell r="AC92" t="str">
            <v/>
          </cell>
          <cell r="AD92" t="str">
            <v/>
          </cell>
          <cell r="AE92" t="str">
            <v/>
          </cell>
          <cell r="AF92" t="str">
            <v/>
          </cell>
          <cell r="AG92" t="str">
            <v/>
          </cell>
          <cell r="AH92" t="str">
            <v/>
          </cell>
          <cell r="AI92" t="str">
            <v/>
          </cell>
          <cell r="AJ92" t="str">
            <v/>
          </cell>
          <cell r="AK92" t="str">
            <v/>
          </cell>
          <cell r="AL92" t="str">
            <v/>
          </cell>
          <cell r="AM92" t="str">
            <v/>
          </cell>
          <cell r="AN92" t="str">
            <v/>
          </cell>
          <cell r="AO92" t="str">
            <v/>
          </cell>
          <cell r="AP92" t="str">
            <v/>
          </cell>
          <cell r="AQ92" t="str">
            <v/>
          </cell>
          <cell r="AR92" t="str">
            <v/>
          </cell>
          <cell r="AS92" t="str">
            <v/>
          </cell>
          <cell r="AT92" t="str">
            <v/>
          </cell>
          <cell r="AU92" t="str">
            <v/>
          </cell>
          <cell r="AV92" t="str">
            <v/>
          </cell>
          <cell r="AW92" t="str">
            <v/>
          </cell>
          <cell r="AX92" t="str">
            <v/>
          </cell>
          <cell r="AY92" t="str">
            <v/>
          </cell>
          <cell r="AZ92" t="str">
            <v/>
          </cell>
          <cell r="BA92" t="str">
            <v/>
          </cell>
          <cell r="BB92" t="str">
            <v/>
          </cell>
          <cell r="BC92" t="str">
            <v/>
          </cell>
          <cell r="BD92" t="str">
            <v/>
          </cell>
          <cell r="BE92" t="str">
            <v/>
          </cell>
          <cell r="BF92" t="str">
            <v/>
          </cell>
          <cell r="BG92" t="str">
            <v/>
          </cell>
          <cell r="BH92" t="str">
            <v/>
          </cell>
          <cell r="BI92" t="str">
            <v/>
          </cell>
          <cell r="BJ92" t="str">
            <v/>
          </cell>
          <cell r="BK92" t="str">
            <v/>
          </cell>
          <cell r="BL92" t="str">
            <v/>
          </cell>
          <cell r="BM92" t="str">
            <v/>
          </cell>
          <cell r="BN92" t="str">
            <v/>
          </cell>
          <cell r="BO92" t="str">
            <v/>
          </cell>
          <cell r="BP92" t="str">
            <v/>
          </cell>
          <cell r="BQ92" t="str">
            <v/>
          </cell>
          <cell r="BR92" t="str">
            <v/>
          </cell>
          <cell r="BS92" t="str">
            <v/>
          </cell>
          <cell r="BT92" t="str">
            <v/>
          </cell>
          <cell r="BU92" t="str">
            <v/>
          </cell>
          <cell r="BV92" t="str">
            <v/>
          </cell>
          <cell r="BW92" t="str">
            <v/>
          </cell>
          <cell r="BX92" t="str">
            <v/>
          </cell>
          <cell r="BY92" t="str">
            <v/>
          </cell>
          <cell r="BZ92" t="str">
            <v/>
          </cell>
          <cell r="CA92" t="str">
            <v/>
          </cell>
          <cell r="CB92" t="str">
            <v/>
          </cell>
          <cell r="CC92" t="str">
            <v/>
          </cell>
          <cell r="CD92" t="str">
            <v/>
          </cell>
          <cell r="CE92" t="str">
            <v/>
          </cell>
          <cell r="CF92" t="str">
            <v/>
          </cell>
          <cell r="CG92" t="str">
            <v/>
          </cell>
          <cell r="CH92" t="str">
            <v/>
          </cell>
          <cell r="CI92" t="str">
            <v/>
          </cell>
          <cell r="CJ92" t="str">
            <v/>
          </cell>
          <cell r="CK92" t="str">
            <v/>
          </cell>
          <cell r="CL92">
            <v>0</v>
          </cell>
          <cell r="CM92">
            <v>0</v>
          </cell>
          <cell r="CN92">
            <v>0</v>
          </cell>
          <cell r="CO92" t="str">
            <v>N.R</v>
          </cell>
          <cell r="CP92" t="str">
            <v/>
          </cell>
          <cell r="CQ92">
            <v>41</v>
          </cell>
          <cell r="CR92">
            <v>87</v>
          </cell>
          <cell r="CS92" t="e">
            <v>#VALUE!</v>
          </cell>
          <cell r="CT92" t="str">
            <v/>
          </cell>
          <cell r="CU92">
            <v>35</v>
          </cell>
          <cell r="CV92">
            <v>74</v>
          </cell>
          <cell r="CW92" t="e">
            <v>#VALUE!</v>
          </cell>
          <cell r="CX92" t="str">
            <v/>
          </cell>
          <cell r="CY92">
            <v>59</v>
          </cell>
          <cell r="CZ92">
            <v>97</v>
          </cell>
          <cell r="DA92" t="e">
            <v>#VALUE!</v>
          </cell>
          <cell r="DB92" t="str">
            <v/>
          </cell>
          <cell r="DC92">
            <v>0</v>
          </cell>
          <cell r="DD92">
            <v>0</v>
          </cell>
          <cell r="DE92" t="e">
            <v>#VALUE!</v>
          </cell>
          <cell r="DF92" t="str">
            <v/>
          </cell>
          <cell r="DG92">
            <v>33</v>
          </cell>
          <cell r="DH92">
            <v>87</v>
          </cell>
          <cell r="DI92" t="e">
            <v>#VALUE!</v>
          </cell>
          <cell r="DJ92" t="str">
            <v/>
          </cell>
          <cell r="DK92">
            <v>29</v>
          </cell>
          <cell r="DL92">
            <v>88</v>
          </cell>
          <cell r="DM92" t="e">
            <v>#VALUE!</v>
          </cell>
          <cell r="DN92" t="str">
            <v/>
          </cell>
          <cell r="DO92">
            <v>35</v>
          </cell>
          <cell r="DP92">
            <v>92</v>
          </cell>
          <cell r="DQ92" t="e">
            <v>#VALUE!</v>
          </cell>
          <cell r="DR92" t="str">
            <v/>
          </cell>
          <cell r="DS92">
            <v>0</v>
          </cell>
          <cell r="DT92">
            <v>81</v>
          </cell>
          <cell r="DU92" t="e">
            <v>#VALUE!</v>
          </cell>
          <cell r="DV92" t="str">
            <v/>
          </cell>
          <cell r="DW92">
            <v>0</v>
          </cell>
          <cell r="DX92">
            <v>0</v>
          </cell>
          <cell r="DY92" t="e">
            <v>#VALUE!</v>
          </cell>
          <cell r="DZ92" t="str">
            <v/>
          </cell>
          <cell r="EA92">
            <v>0</v>
          </cell>
          <cell r="EB92">
            <v>86</v>
          </cell>
          <cell r="EC92" t="e">
            <v>#VALUE!</v>
          </cell>
          <cell r="ED92" t="str">
            <v/>
          </cell>
          <cell r="EE92">
            <v>0</v>
          </cell>
          <cell r="EF92">
            <v>82</v>
          </cell>
          <cell r="EG92" t="e">
            <v>#VALUE!</v>
          </cell>
          <cell r="EH92" t="str">
            <v/>
          </cell>
          <cell r="EI92">
            <v>0</v>
          </cell>
          <cell r="EJ92">
            <v>89</v>
          </cell>
          <cell r="EK92" t="e">
            <v>#VALUE!</v>
          </cell>
          <cell r="EL92" t="str">
            <v/>
          </cell>
          <cell r="EM92">
            <v>0</v>
          </cell>
          <cell r="EN92">
            <v>91</v>
          </cell>
          <cell r="EO92" t="e">
            <v>#VALUE!</v>
          </cell>
          <cell r="EP92" t="str">
            <v/>
          </cell>
          <cell r="EQ92">
            <v>0</v>
          </cell>
          <cell r="ER92">
            <v>0</v>
          </cell>
          <cell r="ES92" t="e">
            <v>#VALUE!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/>
          </cell>
          <cell r="W93" t="str">
            <v/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  <cell r="AB93" t="str">
            <v/>
          </cell>
          <cell r="AC93" t="str">
            <v/>
          </cell>
          <cell r="AD93" t="str">
            <v/>
          </cell>
          <cell r="AE93" t="str">
            <v/>
          </cell>
          <cell r="AF93" t="str">
            <v/>
          </cell>
          <cell r="AG93" t="str">
            <v/>
          </cell>
          <cell r="AH93" t="str">
            <v/>
          </cell>
          <cell r="AI93" t="str">
            <v/>
          </cell>
          <cell r="AJ93" t="str">
            <v/>
          </cell>
          <cell r="AK93" t="str">
            <v/>
          </cell>
          <cell r="AL93" t="str">
            <v/>
          </cell>
          <cell r="AM93" t="str">
            <v/>
          </cell>
          <cell r="AN93" t="str">
            <v/>
          </cell>
          <cell r="AO93" t="str">
            <v/>
          </cell>
          <cell r="AP93" t="str">
            <v/>
          </cell>
          <cell r="AQ93" t="str">
            <v/>
          </cell>
          <cell r="AR93" t="str">
            <v/>
          </cell>
          <cell r="AS93" t="str">
            <v/>
          </cell>
          <cell r="AT93" t="str">
            <v/>
          </cell>
          <cell r="AU93" t="str">
            <v/>
          </cell>
          <cell r="AV93" t="str">
            <v/>
          </cell>
          <cell r="AW93" t="str">
            <v/>
          </cell>
          <cell r="AX93" t="str">
            <v/>
          </cell>
          <cell r="AY93" t="str">
            <v/>
          </cell>
          <cell r="AZ93" t="str">
            <v/>
          </cell>
          <cell r="BA93" t="str">
            <v/>
          </cell>
          <cell r="BB93" t="str">
            <v/>
          </cell>
          <cell r="BC93" t="str">
            <v/>
          </cell>
          <cell r="BD93" t="str">
            <v/>
          </cell>
          <cell r="BE93" t="str">
            <v/>
          </cell>
          <cell r="BF93" t="str">
            <v/>
          </cell>
          <cell r="BG93" t="str">
            <v/>
          </cell>
          <cell r="BH93" t="str">
            <v/>
          </cell>
          <cell r="BI93" t="str">
            <v/>
          </cell>
          <cell r="BJ93" t="str">
            <v/>
          </cell>
          <cell r="BK93" t="str">
            <v/>
          </cell>
          <cell r="BL93" t="str">
            <v/>
          </cell>
          <cell r="BM93" t="str">
            <v/>
          </cell>
          <cell r="BN93" t="str">
            <v/>
          </cell>
          <cell r="BO93" t="str">
            <v/>
          </cell>
          <cell r="BP93" t="str">
            <v/>
          </cell>
          <cell r="BQ93" t="str">
            <v/>
          </cell>
          <cell r="BR93" t="str">
            <v/>
          </cell>
          <cell r="BS93" t="str">
            <v/>
          </cell>
          <cell r="BT93" t="str">
            <v/>
          </cell>
          <cell r="BU93" t="str">
            <v/>
          </cell>
          <cell r="BV93" t="str">
            <v/>
          </cell>
          <cell r="BW93" t="str">
            <v/>
          </cell>
          <cell r="BX93" t="str">
            <v/>
          </cell>
          <cell r="BY93" t="str">
            <v/>
          </cell>
          <cell r="BZ93" t="str">
            <v/>
          </cell>
          <cell r="CA93" t="str">
            <v/>
          </cell>
          <cell r="CB93" t="str">
            <v/>
          </cell>
          <cell r="CC93" t="str">
            <v/>
          </cell>
          <cell r="CD93" t="str">
            <v/>
          </cell>
          <cell r="CE93" t="str">
            <v/>
          </cell>
          <cell r="CF93" t="str">
            <v/>
          </cell>
          <cell r="CG93" t="str">
            <v/>
          </cell>
          <cell r="CH93" t="str">
            <v/>
          </cell>
          <cell r="CI93" t="str">
            <v/>
          </cell>
          <cell r="CJ93" t="str">
            <v/>
          </cell>
          <cell r="CK93" t="str">
            <v/>
          </cell>
          <cell r="CL93">
            <v>0</v>
          </cell>
          <cell r="CM93">
            <v>0</v>
          </cell>
          <cell r="CN93">
            <v>0</v>
          </cell>
          <cell r="CO93" t="str">
            <v>N.R</v>
          </cell>
          <cell r="CP93" t="str">
            <v/>
          </cell>
          <cell r="CQ93">
            <v>41</v>
          </cell>
          <cell r="CR93">
            <v>87</v>
          </cell>
          <cell r="CS93" t="e">
            <v>#VALUE!</v>
          </cell>
          <cell r="CT93" t="str">
            <v/>
          </cell>
          <cell r="CU93">
            <v>35</v>
          </cell>
          <cell r="CV93">
            <v>74</v>
          </cell>
          <cell r="CW93" t="e">
            <v>#VALUE!</v>
          </cell>
          <cell r="CX93" t="str">
            <v/>
          </cell>
          <cell r="CY93">
            <v>59</v>
          </cell>
          <cell r="CZ93">
            <v>97</v>
          </cell>
          <cell r="DA93" t="e">
            <v>#VALUE!</v>
          </cell>
          <cell r="DB93" t="str">
            <v/>
          </cell>
          <cell r="DC93">
            <v>0</v>
          </cell>
          <cell r="DD93">
            <v>0</v>
          </cell>
          <cell r="DE93" t="e">
            <v>#VALUE!</v>
          </cell>
          <cell r="DF93" t="str">
            <v/>
          </cell>
          <cell r="DG93">
            <v>33</v>
          </cell>
          <cell r="DH93">
            <v>87</v>
          </cell>
          <cell r="DI93" t="e">
            <v>#VALUE!</v>
          </cell>
          <cell r="DJ93" t="str">
            <v/>
          </cell>
          <cell r="DK93">
            <v>29</v>
          </cell>
          <cell r="DL93">
            <v>88</v>
          </cell>
          <cell r="DM93" t="e">
            <v>#VALUE!</v>
          </cell>
          <cell r="DN93" t="str">
            <v/>
          </cell>
          <cell r="DO93">
            <v>35</v>
          </cell>
          <cell r="DP93">
            <v>92</v>
          </cell>
          <cell r="DQ93" t="e">
            <v>#VALUE!</v>
          </cell>
          <cell r="DR93" t="str">
            <v/>
          </cell>
          <cell r="DS93">
            <v>0</v>
          </cell>
          <cell r="DT93">
            <v>81</v>
          </cell>
          <cell r="DU93" t="e">
            <v>#VALUE!</v>
          </cell>
          <cell r="DV93" t="str">
            <v/>
          </cell>
          <cell r="DW93">
            <v>0</v>
          </cell>
          <cell r="DX93">
            <v>0</v>
          </cell>
          <cell r="DY93" t="e">
            <v>#VALUE!</v>
          </cell>
          <cell r="DZ93" t="str">
            <v/>
          </cell>
          <cell r="EA93">
            <v>0</v>
          </cell>
          <cell r="EB93">
            <v>86</v>
          </cell>
          <cell r="EC93" t="e">
            <v>#VALUE!</v>
          </cell>
          <cell r="ED93" t="str">
            <v/>
          </cell>
          <cell r="EE93">
            <v>0</v>
          </cell>
          <cell r="EF93">
            <v>83</v>
          </cell>
          <cell r="EG93" t="e">
            <v>#VALUE!</v>
          </cell>
          <cell r="EH93" t="str">
            <v/>
          </cell>
          <cell r="EI93">
            <v>0</v>
          </cell>
          <cell r="EJ93">
            <v>89</v>
          </cell>
          <cell r="EK93" t="e">
            <v>#VALUE!</v>
          </cell>
          <cell r="EL93" t="str">
            <v/>
          </cell>
          <cell r="EM93">
            <v>0</v>
          </cell>
          <cell r="EN93">
            <v>91</v>
          </cell>
          <cell r="EO93" t="e">
            <v>#VALUE!</v>
          </cell>
          <cell r="EP93" t="str">
            <v/>
          </cell>
          <cell r="EQ93">
            <v>0</v>
          </cell>
          <cell r="ER93">
            <v>0</v>
          </cell>
          <cell r="ES93" t="e">
            <v>#VALUE!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  <cell r="V94" t="str">
            <v/>
          </cell>
          <cell r="W94" t="str">
            <v/>
          </cell>
          <cell r="X94" t="str">
            <v/>
          </cell>
          <cell r="Y94" t="str">
            <v/>
          </cell>
          <cell r="Z94" t="str">
            <v/>
          </cell>
          <cell r="AA94" t="str">
            <v/>
          </cell>
          <cell r="AB94" t="str">
            <v/>
          </cell>
          <cell r="AC94" t="str">
            <v/>
          </cell>
          <cell r="AD94" t="str">
            <v/>
          </cell>
          <cell r="AE94" t="str">
            <v/>
          </cell>
          <cell r="AF94" t="str">
            <v/>
          </cell>
          <cell r="AG94" t="str">
            <v/>
          </cell>
          <cell r="AH94" t="str">
            <v/>
          </cell>
          <cell r="AI94" t="str">
            <v/>
          </cell>
          <cell r="AJ94" t="str">
            <v/>
          </cell>
          <cell r="AK94" t="str">
            <v/>
          </cell>
          <cell r="AL94" t="str">
            <v/>
          </cell>
          <cell r="AM94" t="str">
            <v/>
          </cell>
          <cell r="AN94" t="str">
            <v/>
          </cell>
          <cell r="AO94" t="str">
            <v/>
          </cell>
          <cell r="AP94" t="str">
            <v/>
          </cell>
          <cell r="AQ94" t="str">
            <v/>
          </cell>
          <cell r="AR94" t="str">
            <v/>
          </cell>
          <cell r="AS94" t="str">
            <v/>
          </cell>
          <cell r="AT94" t="str">
            <v/>
          </cell>
          <cell r="AU94" t="str">
            <v/>
          </cell>
          <cell r="AV94" t="str">
            <v/>
          </cell>
          <cell r="AW94" t="str">
            <v/>
          </cell>
          <cell r="AX94" t="str">
            <v/>
          </cell>
          <cell r="AY94" t="str">
            <v/>
          </cell>
          <cell r="AZ94" t="str">
            <v/>
          </cell>
          <cell r="BA94" t="str">
            <v/>
          </cell>
          <cell r="BB94" t="str">
            <v/>
          </cell>
          <cell r="BC94" t="str">
            <v/>
          </cell>
          <cell r="BD94" t="str">
            <v/>
          </cell>
          <cell r="BE94" t="str">
            <v/>
          </cell>
          <cell r="BF94" t="str">
            <v/>
          </cell>
          <cell r="BG94" t="str">
            <v/>
          </cell>
          <cell r="BH94" t="str">
            <v/>
          </cell>
          <cell r="BI94" t="str">
            <v/>
          </cell>
          <cell r="BJ94" t="str">
            <v/>
          </cell>
          <cell r="BK94" t="str">
            <v/>
          </cell>
          <cell r="BL94" t="str">
            <v/>
          </cell>
          <cell r="BM94" t="str">
            <v/>
          </cell>
          <cell r="BN94" t="str">
            <v/>
          </cell>
          <cell r="BO94" t="str">
            <v/>
          </cell>
          <cell r="BP94" t="str">
            <v/>
          </cell>
          <cell r="BQ94" t="str">
            <v/>
          </cell>
          <cell r="BR94" t="str">
            <v/>
          </cell>
          <cell r="BS94" t="str">
            <v/>
          </cell>
          <cell r="BT94" t="str">
            <v/>
          </cell>
          <cell r="BU94" t="str">
            <v/>
          </cell>
          <cell r="BV94" t="str">
            <v/>
          </cell>
          <cell r="BW94" t="str">
            <v/>
          </cell>
          <cell r="BX94" t="str">
            <v/>
          </cell>
          <cell r="BY94" t="str">
            <v/>
          </cell>
          <cell r="BZ94" t="str">
            <v/>
          </cell>
          <cell r="CA94" t="str">
            <v/>
          </cell>
          <cell r="CB94" t="str">
            <v/>
          </cell>
          <cell r="CC94" t="str">
            <v/>
          </cell>
          <cell r="CD94" t="str">
            <v/>
          </cell>
          <cell r="CE94" t="str">
            <v/>
          </cell>
          <cell r="CF94" t="str">
            <v/>
          </cell>
          <cell r="CG94" t="str">
            <v/>
          </cell>
          <cell r="CH94" t="str">
            <v/>
          </cell>
          <cell r="CI94" t="str">
            <v/>
          </cell>
          <cell r="CJ94" t="str">
            <v/>
          </cell>
          <cell r="CK94" t="str">
            <v/>
          </cell>
          <cell r="CL94">
            <v>0</v>
          </cell>
          <cell r="CM94">
            <v>0</v>
          </cell>
          <cell r="CN94">
            <v>0</v>
          </cell>
          <cell r="CO94" t="str">
            <v>N.R</v>
          </cell>
          <cell r="CP94" t="str">
            <v/>
          </cell>
          <cell r="CQ94">
            <v>41</v>
          </cell>
          <cell r="CR94">
            <v>87</v>
          </cell>
          <cell r="CS94" t="e">
            <v>#VALUE!</v>
          </cell>
          <cell r="CT94" t="str">
            <v/>
          </cell>
          <cell r="CU94">
            <v>35</v>
          </cell>
          <cell r="CV94">
            <v>74</v>
          </cell>
          <cell r="CW94" t="e">
            <v>#VALUE!</v>
          </cell>
          <cell r="CX94" t="str">
            <v/>
          </cell>
          <cell r="CY94">
            <v>59</v>
          </cell>
          <cell r="CZ94">
            <v>97</v>
          </cell>
          <cell r="DA94" t="e">
            <v>#VALUE!</v>
          </cell>
          <cell r="DB94" t="str">
            <v/>
          </cell>
          <cell r="DC94">
            <v>0</v>
          </cell>
          <cell r="DD94">
            <v>0</v>
          </cell>
          <cell r="DE94" t="e">
            <v>#VALUE!</v>
          </cell>
          <cell r="DF94" t="str">
            <v/>
          </cell>
          <cell r="DG94">
            <v>33</v>
          </cell>
          <cell r="DH94">
            <v>87</v>
          </cell>
          <cell r="DI94" t="e">
            <v>#VALUE!</v>
          </cell>
          <cell r="DJ94" t="str">
            <v/>
          </cell>
          <cell r="DK94">
            <v>29</v>
          </cell>
          <cell r="DL94">
            <v>88</v>
          </cell>
          <cell r="DM94" t="e">
            <v>#VALUE!</v>
          </cell>
          <cell r="DN94" t="str">
            <v/>
          </cell>
          <cell r="DO94">
            <v>35</v>
          </cell>
          <cell r="DP94">
            <v>92</v>
          </cell>
          <cell r="DQ94" t="e">
            <v>#VALUE!</v>
          </cell>
          <cell r="DR94" t="str">
            <v/>
          </cell>
          <cell r="DS94">
            <v>0</v>
          </cell>
          <cell r="DT94">
            <v>81</v>
          </cell>
          <cell r="DU94" t="e">
            <v>#VALUE!</v>
          </cell>
          <cell r="DV94" t="str">
            <v/>
          </cell>
          <cell r="DW94">
            <v>0</v>
          </cell>
          <cell r="DX94">
            <v>0</v>
          </cell>
          <cell r="DY94" t="e">
            <v>#VALUE!</v>
          </cell>
          <cell r="DZ94" t="str">
            <v/>
          </cell>
          <cell r="EA94">
            <v>0</v>
          </cell>
          <cell r="EB94">
            <v>86</v>
          </cell>
          <cell r="EC94" t="e">
            <v>#VALUE!</v>
          </cell>
          <cell r="ED94" t="str">
            <v/>
          </cell>
          <cell r="EE94">
            <v>0</v>
          </cell>
          <cell r="EF94">
            <v>84</v>
          </cell>
          <cell r="EG94" t="e">
            <v>#VALUE!</v>
          </cell>
          <cell r="EH94" t="str">
            <v/>
          </cell>
          <cell r="EI94">
            <v>0</v>
          </cell>
          <cell r="EJ94">
            <v>89</v>
          </cell>
          <cell r="EK94" t="e">
            <v>#VALUE!</v>
          </cell>
          <cell r="EL94" t="str">
            <v/>
          </cell>
          <cell r="EM94">
            <v>0</v>
          </cell>
          <cell r="EN94">
            <v>91</v>
          </cell>
          <cell r="EO94" t="e">
            <v>#VALUE!</v>
          </cell>
          <cell r="EP94" t="str">
            <v/>
          </cell>
          <cell r="EQ94">
            <v>0</v>
          </cell>
          <cell r="ER94">
            <v>0</v>
          </cell>
          <cell r="ES94" t="e">
            <v>#VALUE!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/>
          </cell>
          <cell r="W95" t="str">
            <v/>
          </cell>
          <cell r="X95" t="str">
            <v/>
          </cell>
          <cell r="Y95" t="str">
            <v/>
          </cell>
          <cell r="Z95" t="str">
            <v/>
          </cell>
          <cell r="AA95" t="str">
            <v/>
          </cell>
          <cell r="AB95" t="str">
            <v/>
          </cell>
          <cell r="AC95" t="str">
            <v/>
          </cell>
          <cell r="AD95" t="str">
            <v/>
          </cell>
          <cell r="AE95" t="str">
            <v/>
          </cell>
          <cell r="AF95" t="str">
            <v/>
          </cell>
          <cell r="AG95" t="str">
            <v/>
          </cell>
          <cell r="AH95" t="str">
            <v/>
          </cell>
          <cell r="AI95" t="str">
            <v/>
          </cell>
          <cell r="AJ95" t="str">
            <v/>
          </cell>
          <cell r="AK95" t="str">
            <v/>
          </cell>
          <cell r="AL95" t="str">
            <v/>
          </cell>
          <cell r="AM95" t="str">
            <v/>
          </cell>
          <cell r="AN95" t="str">
            <v/>
          </cell>
          <cell r="AO95" t="str">
            <v/>
          </cell>
          <cell r="AP95" t="str">
            <v/>
          </cell>
          <cell r="AQ95" t="str">
            <v/>
          </cell>
          <cell r="AR95" t="str">
            <v/>
          </cell>
          <cell r="AS95" t="str">
            <v/>
          </cell>
          <cell r="AT95" t="str">
            <v/>
          </cell>
          <cell r="AU95" t="str">
            <v/>
          </cell>
          <cell r="AV95" t="str">
            <v/>
          </cell>
          <cell r="AW95" t="str">
            <v/>
          </cell>
          <cell r="AX95" t="str">
            <v/>
          </cell>
          <cell r="AY95" t="str">
            <v/>
          </cell>
          <cell r="AZ95" t="str">
            <v/>
          </cell>
          <cell r="BA95" t="str">
            <v/>
          </cell>
          <cell r="BB95" t="str">
            <v/>
          </cell>
          <cell r="BC95" t="str">
            <v/>
          </cell>
          <cell r="BD95" t="str">
            <v/>
          </cell>
          <cell r="BE95" t="str">
            <v/>
          </cell>
          <cell r="BF95" t="str">
            <v/>
          </cell>
          <cell r="BG95" t="str">
            <v/>
          </cell>
          <cell r="BH95" t="str">
            <v/>
          </cell>
          <cell r="BI95" t="str">
            <v/>
          </cell>
          <cell r="BJ95" t="str">
            <v/>
          </cell>
          <cell r="BK95" t="str">
            <v/>
          </cell>
          <cell r="BL95" t="str">
            <v/>
          </cell>
          <cell r="BM95" t="str">
            <v/>
          </cell>
          <cell r="BN95" t="str">
            <v/>
          </cell>
          <cell r="BO95" t="str">
            <v/>
          </cell>
          <cell r="BP95" t="str">
            <v/>
          </cell>
          <cell r="BQ95" t="str">
            <v/>
          </cell>
          <cell r="BR95" t="str">
            <v/>
          </cell>
          <cell r="BS95" t="str">
            <v/>
          </cell>
          <cell r="BT95" t="str">
            <v/>
          </cell>
          <cell r="BU95" t="str">
            <v/>
          </cell>
          <cell r="BV95" t="str">
            <v/>
          </cell>
          <cell r="BW95" t="str">
            <v/>
          </cell>
          <cell r="BX95" t="str">
            <v/>
          </cell>
          <cell r="BY95" t="str">
            <v/>
          </cell>
          <cell r="BZ95" t="str">
            <v/>
          </cell>
          <cell r="CA95" t="str">
            <v/>
          </cell>
          <cell r="CB95" t="str">
            <v/>
          </cell>
          <cell r="CC95" t="str">
            <v/>
          </cell>
          <cell r="CD95" t="str">
            <v/>
          </cell>
          <cell r="CE95" t="str">
            <v/>
          </cell>
          <cell r="CF95" t="str">
            <v/>
          </cell>
          <cell r="CG95" t="str">
            <v/>
          </cell>
          <cell r="CH95" t="str">
            <v/>
          </cell>
          <cell r="CI95" t="str">
            <v/>
          </cell>
          <cell r="CJ95" t="str">
            <v/>
          </cell>
          <cell r="CK95" t="str">
            <v/>
          </cell>
          <cell r="CL95">
            <v>0</v>
          </cell>
          <cell r="CM95">
            <v>0</v>
          </cell>
          <cell r="CN95">
            <v>0</v>
          </cell>
          <cell r="CO95" t="str">
            <v>N.R</v>
          </cell>
          <cell r="CP95" t="str">
            <v/>
          </cell>
          <cell r="CQ95">
            <v>41</v>
          </cell>
          <cell r="CR95">
            <v>87</v>
          </cell>
          <cell r="CS95" t="e">
            <v>#VALUE!</v>
          </cell>
          <cell r="CT95" t="str">
            <v/>
          </cell>
          <cell r="CU95">
            <v>35</v>
          </cell>
          <cell r="CV95">
            <v>74</v>
          </cell>
          <cell r="CW95" t="e">
            <v>#VALUE!</v>
          </cell>
          <cell r="CX95" t="str">
            <v/>
          </cell>
          <cell r="CY95">
            <v>59</v>
          </cell>
          <cell r="CZ95">
            <v>97</v>
          </cell>
          <cell r="DA95" t="e">
            <v>#VALUE!</v>
          </cell>
          <cell r="DB95" t="str">
            <v/>
          </cell>
          <cell r="DC95">
            <v>0</v>
          </cell>
          <cell r="DD95">
            <v>0</v>
          </cell>
          <cell r="DE95" t="e">
            <v>#VALUE!</v>
          </cell>
          <cell r="DF95" t="str">
            <v/>
          </cell>
          <cell r="DG95">
            <v>33</v>
          </cell>
          <cell r="DH95">
            <v>87</v>
          </cell>
          <cell r="DI95" t="e">
            <v>#VALUE!</v>
          </cell>
          <cell r="DJ95" t="str">
            <v/>
          </cell>
          <cell r="DK95">
            <v>29</v>
          </cell>
          <cell r="DL95">
            <v>88</v>
          </cell>
          <cell r="DM95" t="e">
            <v>#VALUE!</v>
          </cell>
          <cell r="DN95" t="str">
            <v/>
          </cell>
          <cell r="DO95">
            <v>35</v>
          </cell>
          <cell r="DP95">
            <v>92</v>
          </cell>
          <cell r="DQ95" t="e">
            <v>#VALUE!</v>
          </cell>
          <cell r="DR95" t="str">
            <v/>
          </cell>
          <cell r="DS95">
            <v>0</v>
          </cell>
          <cell r="DT95">
            <v>81</v>
          </cell>
          <cell r="DU95" t="e">
            <v>#VALUE!</v>
          </cell>
          <cell r="DV95" t="str">
            <v/>
          </cell>
          <cell r="DW95">
            <v>0</v>
          </cell>
          <cell r="DX95">
            <v>0</v>
          </cell>
          <cell r="DY95" t="e">
            <v>#VALUE!</v>
          </cell>
          <cell r="DZ95" t="str">
            <v/>
          </cell>
          <cell r="EA95">
            <v>0</v>
          </cell>
          <cell r="EB95">
            <v>86</v>
          </cell>
          <cell r="EC95" t="e">
            <v>#VALUE!</v>
          </cell>
          <cell r="ED95" t="str">
            <v/>
          </cell>
          <cell r="EE95">
            <v>0</v>
          </cell>
          <cell r="EF95">
            <v>85</v>
          </cell>
          <cell r="EG95" t="e">
            <v>#VALUE!</v>
          </cell>
          <cell r="EH95" t="str">
            <v/>
          </cell>
          <cell r="EI95">
            <v>0</v>
          </cell>
          <cell r="EJ95">
            <v>89</v>
          </cell>
          <cell r="EK95" t="e">
            <v>#VALUE!</v>
          </cell>
          <cell r="EL95" t="str">
            <v/>
          </cell>
          <cell r="EM95">
            <v>0</v>
          </cell>
          <cell r="EN95">
            <v>91</v>
          </cell>
          <cell r="EO95" t="e">
            <v>#VALUE!</v>
          </cell>
          <cell r="EP95" t="str">
            <v/>
          </cell>
          <cell r="EQ95">
            <v>0</v>
          </cell>
          <cell r="ER95">
            <v>0</v>
          </cell>
          <cell r="ES95" t="e">
            <v>#VALUE!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 t="str">
            <v/>
          </cell>
          <cell r="U96" t="str">
            <v/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  <cell r="AB96" t="str">
            <v/>
          </cell>
          <cell r="AC96" t="str">
            <v/>
          </cell>
          <cell r="AD96" t="str">
            <v/>
          </cell>
          <cell r="AE96" t="str">
            <v/>
          </cell>
          <cell r="AF96" t="str">
            <v/>
          </cell>
          <cell r="AG96" t="str">
            <v/>
          </cell>
          <cell r="AH96" t="str">
            <v/>
          </cell>
          <cell r="AI96" t="str">
            <v/>
          </cell>
          <cell r="AJ96" t="str">
            <v/>
          </cell>
          <cell r="AK96" t="str">
            <v/>
          </cell>
          <cell r="AL96" t="str">
            <v/>
          </cell>
          <cell r="AM96" t="str">
            <v/>
          </cell>
          <cell r="AN96" t="str">
            <v/>
          </cell>
          <cell r="AO96" t="str">
            <v/>
          </cell>
          <cell r="AP96" t="str">
            <v/>
          </cell>
          <cell r="AQ96" t="str">
            <v/>
          </cell>
          <cell r="AR96" t="str">
            <v/>
          </cell>
          <cell r="AS96" t="str">
            <v/>
          </cell>
          <cell r="AT96" t="str">
            <v/>
          </cell>
          <cell r="AU96" t="str">
            <v/>
          </cell>
          <cell r="AV96" t="str">
            <v/>
          </cell>
          <cell r="AW96" t="str">
            <v/>
          </cell>
          <cell r="AX96" t="str">
            <v/>
          </cell>
          <cell r="AY96" t="str">
            <v/>
          </cell>
          <cell r="AZ96" t="str">
            <v/>
          </cell>
          <cell r="BA96" t="str">
            <v/>
          </cell>
          <cell r="BB96" t="str">
            <v/>
          </cell>
          <cell r="BC96" t="str">
            <v/>
          </cell>
          <cell r="BD96" t="str">
            <v/>
          </cell>
          <cell r="BE96" t="str">
            <v/>
          </cell>
          <cell r="BF96" t="str">
            <v/>
          </cell>
          <cell r="BG96" t="str">
            <v/>
          </cell>
          <cell r="BH96" t="str">
            <v/>
          </cell>
          <cell r="BI96" t="str">
            <v/>
          </cell>
          <cell r="BJ96" t="str">
            <v/>
          </cell>
          <cell r="BK96" t="str">
            <v/>
          </cell>
          <cell r="BL96" t="str">
            <v/>
          </cell>
          <cell r="BM96" t="str">
            <v/>
          </cell>
          <cell r="BN96" t="str">
            <v/>
          </cell>
          <cell r="BO96" t="str">
            <v/>
          </cell>
          <cell r="BP96" t="str">
            <v/>
          </cell>
          <cell r="BQ96" t="str">
            <v/>
          </cell>
          <cell r="BR96" t="str">
            <v/>
          </cell>
          <cell r="BS96" t="str">
            <v/>
          </cell>
          <cell r="BT96" t="str">
            <v/>
          </cell>
          <cell r="BU96" t="str">
            <v/>
          </cell>
          <cell r="BV96" t="str">
            <v/>
          </cell>
          <cell r="BW96" t="str">
            <v/>
          </cell>
          <cell r="BX96" t="str">
            <v/>
          </cell>
          <cell r="BY96" t="str">
            <v/>
          </cell>
          <cell r="BZ96" t="str">
            <v/>
          </cell>
          <cell r="CA96" t="str">
            <v/>
          </cell>
          <cell r="CB96" t="str">
            <v/>
          </cell>
          <cell r="CC96" t="str">
            <v/>
          </cell>
          <cell r="CD96" t="str">
            <v/>
          </cell>
          <cell r="CE96" t="str">
            <v/>
          </cell>
          <cell r="CF96" t="str">
            <v/>
          </cell>
          <cell r="CG96" t="str">
            <v/>
          </cell>
          <cell r="CH96" t="str">
            <v/>
          </cell>
          <cell r="CI96" t="str">
            <v/>
          </cell>
          <cell r="CJ96" t="str">
            <v/>
          </cell>
          <cell r="CK96" t="str">
            <v/>
          </cell>
          <cell r="CL96">
            <v>0</v>
          </cell>
          <cell r="CM96">
            <v>0</v>
          </cell>
          <cell r="CN96">
            <v>0</v>
          </cell>
          <cell r="CO96" t="str">
            <v>N.R</v>
          </cell>
          <cell r="CP96" t="str">
            <v/>
          </cell>
          <cell r="CQ96">
            <v>41</v>
          </cell>
          <cell r="CR96">
            <v>87</v>
          </cell>
          <cell r="CS96" t="e">
            <v>#VALUE!</v>
          </cell>
          <cell r="CT96" t="str">
            <v/>
          </cell>
          <cell r="CU96">
            <v>35</v>
          </cell>
          <cell r="CV96">
            <v>74</v>
          </cell>
          <cell r="CW96" t="e">
            <v>#VALUE!</v>
          </cell>
          <cell r="CX96" t="str">
            <v/>
          </cell>
          <cell r="CY96">
            <v>59</v>
          </cell>
          <cell r="CZ96">
            <v>97</v>
          </cell>
          <cell r="DA96" t="e">
            <v>#VALUE!</v>
          </cell>
          <cell r="DB96" t="str">
            <v/>
          </cell>
          <cell r="DC96">
            <v>0</v>
          </cell>
          <cell r="DD96">
            <v>0</v>
          </cell>
          <cell r="DE96" t="e">
            <v>#VALUE!</v>
          </cell>
          <cell r="DF96" t="str">
            <v/>
          </cell>
          <cell r="DG96">
            <v>33</v>
          </cell>
          <cell r="DH96">
            <v>87</v>
          </cell>
          <cell r="DI96" t="e">
            <v>#VALUE!</v>
          </cell>
          <cell r="DJ96" t="str">
            <v/>
          </cell>
          <cell r="DK96">
            <v>29</v>
          </cell>
          <cell r="DL96">
            <v>88</v>
          </cell>
          <cell r="DM96" t="e">
            <v>#VALUE!</v>
          </cell>
          <cell r="DN96" t="str">
            <v/>
          </cell>
          <cell r="DO96">
            <v>35</v>
          </cell>
          <cell r="DP96">
            <v>92</v>
          </cell>
          <cell r="DQ96" t="e">
            <v>#VALUE!</v>
          </cell>
          <cell r="DR96" t="str">
            <v/>
          </cell>
          <cell r="DS96">
            <v>0</v>
          </cell>
          <cell r="DT96">
            <v>81</v>
          </cell>
          <cell r="DU96" t="e">
            <v>#VALUE!</v>
          </cell>
          <cell r="DV96" t="str">
            <v/>
          </cell>
          <cell r="DW96">
            <v>0</v>
          </cell>
          <cell r="DX96">
            <v>0</v>
          </cell>
          <cell r="DY96" t="e">
            <v>#VALUE!</v>
          </cell>
          <cell r="DZ96" t="str">
            <v/>
          </cell>
          <cell r="EA96">
            <v>0</v>
          </cell>
          <cell r="EB96">
            <v>86</v>
          </cell>
          <cell r="EC96" t="e">
            <v>#VALUE!</v>
          </cell>
          <cell r="ED96" t="str">
            <v/>
          </cell>
          <cell r="EE96">
            <v>0</v>
          </cell>
          <cell r="EF96">
            <v>86</v>
          </cell>
          <cell r="EG96" t="e">
            <v>#VALUE!</v>
          </cell>
          <cell r="EH96" t="str">
            <v/>
          </cell>
          <cell r="EI96">
            <v>0</v>
          </cell>
          <cell r="EJ96">
            <v>89</v>
          </cell>
          <cell r="EK96" t="e">
            <v>#VALUE!</v>
          </cell>
          <cell r="EL96" t="str">
            <v/>
          </cell>
          <cell r="EM96">
            <v>0</v>
          </cell>
          <cell r="EN96">
            <v>91</v>
          </cell>
          <cell r="EO96" t="e">
            <v>#VALUE!</v>
          </cell>
          <cell r="EP96" t="str">
            <v/>
          </cell>
          <cell r="EQ96">
            <v>0</v>
          </cell>
          <cell r="ER96">
            <v>0</v>
          </cell>
          <cell r="ES96" t="e">
            <v>#VALUE!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  <cell r="AB97" t="str">
            <v/>
          </cell>
          <cell r="AC97" t="str">
            <v/>
          </cell>
          <cell r="AD97" t="str">
            <v/>
          </cell>
          <cell r="AE97" t="str">
            <v/>
          </cell>
          <cell r="AF97" t="str">
            <v/>
          </cell>
          <cell r="AG97" t="str">
            <v/>
          </cell>
          <cell r="AH97" t="str">
            <v/>
          </cell>
          <cell r="AI97" t="str">
            <v/>
          </cell>
          <cell r="AJ97" t="str">
            <v/>
          </cell>
          <cell r="AK97" t="str">
            <v/>
          </cell>
          <cell r="AL97" t="str">
            <v/>
          </cell>
          <cell r="AM97" t="str">
            <v/>
          </cell>
          <cell r="AN97" t="str">
            <v/>
          </cell>
          <cell r="AO97" t="str">
            <v/>
          </cell>
          <cell r="AP97" t="str">
            <v/>
          </cell>
          <cell r="AQ97" t="str">
            <v/>
          </cell>
          <cell r="AR97" t="str">
            <v/>
          </cell>
          <cell r="AS97" t="str">
            <v/>
          </cell>
          <cell r="AT97" t="str">
            <v/>
          </cell>
          <cell r="AU97" t="str">
            <v/>
          </cell>
          <cell r="AV97" t="str">
            <v/>
          </cell>
          <cell r="AW97" t="str">
            <v/>
          </cell>
          <cell r="AX97" t="str">
            <v/>
          </cell>
          <cell r="AY97" t="str">
            <v/>
          </cell>
          <cell r="AZ97" t="str">
            <v/>
          </cell>
          <cell r="BA97" t="str">
            <v/>
          </cell>
          <cell r="BB97" t="str">
            <v/>
          </cell>
          <cell r="BC97" t="str">
            <v/>
          </cell>
          <cell r="BD97" t="str">
            <v/>
          </cell>
          <cell r="BE97" t="str">
            <v/>
          </cell>
          <cell r="BF97" t="str">
            <v/>
          </cell>
          <cell r="BG97" t="str">
            <v/>
          </cell>
          <cell r="BH97" t="str">
            <v/>
          </cell>
          <cell r="BI97" t="str">
            <v/>
          </cell>
          <cell r="BJ97" t="str">
            <v/>
          </cell>
          <cell r="BK97" t="str">
            <v/>
          </cell>
          <cell r="BL97" t="str">
            <v/>
          </cell>
          <cell r="BM97" t="str">
            <v/>
          </cell>
          <cell r="BN97" t="str">
            <v/>
          </cell>
          <cell r="BO97" t="str">
            <v/>
          </cell>
          <cell r="BP97" t="str">
            <v/>
          </cell>
          <cell r="BQ97" t="str">
            <v/>
          </cell>
          <cell r="BR97" t="str">
            <v/>
          </cell>
          <cell r="BS97" t="str">
            <v/>
          </cell>
          <cell r="BT97" t="str">
            <v/>
          </cell>
          <cell r="BU97" t="str">
            <v/>
          </cell>
          <cell r="BV97" t="str">
            <v/>
          </cell>
          <cell r="BW97" t="str">
            <v/>
          </cell>
          <cell r="BX97" t="str">
            <v/>
          </cell>
          <cell r="BY97" t="str">
            <v/>
          </cell>
          <cell r="BZ97" t="str">
            <v/>
          </cell>
          <cell r="CA97" t="str">
            <v/>
          </cell>
          <cell r="CB97" t="str">
            <v/>
          </cell>
          <cell r="CC97" t="str">
            <v/>
          </cell>
          <cell r="CD97" t="str">
            <v/>
          </cell>
          <cell r="CE97" t="str">
            <v/>
          </cell>
          <cell r="CF97" t="str">
            <v/>
          </cell>
          <cell r="CG97" t="str">
            <v/>
          </cell>
          <cell r="CH97" t="str">
            <v/>
          </cell>
          <cell r="CI97" t="str">
            <v/>
          </cell>
          <cell r="CJ97" t="str">
            <v/>
          </cell>
          <cell r="CK97" t="str">
            <v/>
          </cell>
          <cell r="CL97">
            <v>0</v>
          </cell>
          <cell r="CM97">
            <v>0</v>
          </cell>
          <cell r="CN97">
            <v>0</v>
          </cell>
          <cell r="CO97" t="str">
            <v>N.R</v>
          </cell>
          <cell r="CP97" t="str">
            <v/>
          </cell>
          <cell r="CQ97">
            <v>41</v>
          </cell>
          <cell r="CR97">
            <v>87</v>
          </cell>
          <cell r="CS97" t="e">
            <v>#VALUE!</v>
          </cell>
          <cell r="CT97" t="str">
            <v/>
          </cell>
          <cell r="CU97">
            <v>35</v>
          </cell>
          <cell r="CV97">
            <v>74</v>
          </cell>
          <cell r="CW97" t="e">
            <v>#VALUE!</v>
          </cell>
          <cell r="CX97" t="str">
            <v/>
          </cell>
          <cell r="CY97">
            <v>59</v>
          </cell>
          <cell r="CZ97">
            <v>97</v>
          </cell>
          <cell r="DA97" t="e">
            <v>#VALUE!</v>
          </cell>
          <cell r="DB97" t="str">
            <v/>
          </cell>
          <cell r="DC97">
            <v>0</v>
          </cell>
          <cell r="DD97">
            <v>0</v>
          </cell>
          <cell r="DE97" t="e">
            <v>#VALUE!</v>
          </cell>
          <cell r="DF97" t="str">
            <v/>
          </cell>
          <cell r="DG97">
            <v>33</v>
          </cell>
          <cell r="DH97">
            <v>87</v>
          </cell>
          <cell r="DI97" t="e">
            <v>#VALUE!</v>
          </cell>
          <cell r="DJ97" t="str">
            <v/>
          </cell>
          <cell r="DK97">
            <v>29</v>
          </cell>
          <cell r="DL97">
            <v>88</v>
          </cell>
          <cell r="DM97" t="e">
            <v>#VALUE!</v>
          </cell>
          <cell r="DN97" t="str">
            <v/>
          </cell>
          <cell r="DO97">
            <v>35</v>
          </cell>
          <cell r="DP97">
            <v>92</v>
          </cell>
          <cell r="DQ97" t="e">
            <v>#VALUE!</v>
          </cell>
          <cell r="DR97" t="str">
            <v/>
          </cell>
          <cell r="DS97">
            <v>0</v>
          </cell>
          <cell r="DT97">
            <v>81</v>
          </cell>
          <cell r="DU97" t="e">
            <v>#VALUE!</v>
          </cell>
          <cell r="DV97" t="str">
            <v/>
          </cell>
          <cell r="DW97">
            <v>0</v>
          </cell>
          <cell r="DX97">
            <v>0</v>
          </cell>
          <cell r="DY97" t="e">
            <v>#VALUE!</v>
          </cell>
          <cell r="DZ97" t="str">
            <v/>
          </cell>
          <cell r="EA97">
            <v>0</v>
          </cell>
          <cell r="EB97">
            <v>86</v>
          </cell>
          <cell r="EC97" t="e">
            <v>#VALUE!</v>
          </cell>
          <cell r="ED97" t="str">
            <v/>
          </cell>
          <cell r="EE97">
            <v>0</v>
          </cell>
          <cell r="EF97">
            <v>87</v>
          </cell>
          <cell r="EG97" t="e">
            <v>#VALUE!</v>
          </cell>
          <cell r="EH97" t="str">
            <v/>
          </cell>
          <cell r="EI97">
            <v>0</v>
          </cell>
          <cell r="EJ97">
            <v>89</v>
          </cell>
          <cell r="EK97" t="e">
            <v>#VALUE!</v>
          </cell>
          <cell r="EL97" t="str">
            <v/>
          </cell>
          <cell r="EM97">
            <v>0</v>
          </cell>
          <cell r="EN97">
            <v>91</v>
          </cell>
          <cell r="EO97" t="e">
            <v>#VALUE!</v>
          </cell>
          <cell r="EP97" t="str">
            <v/>
          </cell>
          <cell r="EQ97">
            <v>0</v>
          </cell>
          <cell r="ER97">
            <v>0</v>
          </cell>
          <cell r="ES97" t="e">
            <v>#VALUE!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  <cell r="W98" t="str">
            <v/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  <cell r="AF98" t="str">
            <v/>
          </cell>
          <cell r="AG98" t="str">
            <v/>
          </cell>
          <cell r="AH98" t="str">
            <v/>
          </cell>
          <cell r="AI98" t="str">
            <v/>
          </cell>
          <cell r="AJ98" t="str">
            <v/>
          </cell>
          <cell r="AK98" t="str">
            <v/>
          </cell>
          <cell r="AL98" t="str">
            <v/>
          </cell>
          <cell r="AM98" t="str">
            <v/>
          </cell>
          <cell r="AN98" t="str">
            <v/>
          </cell>
          <cell r="AO98" t="str">
            <v/>
          </cell>
          <cell r="AP98" t="str">
            <v/>
          </cell>
          <cell r="AQ98" t="str">
            <v/>
          </cell>
          <cell r="AR98" t="str">
            <v/>
          </cell>
          <cell r="AS98" t="str">
            <v/>
          </cell>
          <cell r="AT98" t="str">
            <v/>
          </cell>
          <cell r="AU98" t="str">
            <v/>
          </cell>
          <cell r="AV98" t="str">
            <v/>
          </cell>
          <cell r="AW98" t="str">
            <v/>
          </cell>
          <cell r="AX98" t="str">
            <v/>
          </cell>
          <cell r="AY98" t="str">
            <v/>
          </cell>
          <cell r="AZ98" t="str">
            <v/>
          </cell>
          <cell r="BA98" t="str">
            <v/>
          </cell>
          <cell r="BB98" t="str">
            <v/>
          </cell>
          <cell r="BC98" t="str">
            <v/>
          </cell>
          <cell r="BD98" t="str">
            <v/>
          </cell>
          <cell r="BE98" t="str">
            <v/>
          </cell>
          <cell r="BF98" t="str">
            <v/>
          </cell>
          <cell r="BG98" t="str">
            <v/>
          </cell>
          <cell r="BH98" t="str">
            <v/>
          </cell>
          <cell r="BI98" t="str">
            <v/>
          </cell>
          <cell r="BJ98" t="str">
            <v/>
          </cell>
          <cell r="BK98" t="str">
            <v/>
          </cell>
          <cell r="BL98" t="str">
            <v/>
          </cell>
          <cell r="BM98" t="str">
            <v/>
          </cell>
          <cell r="BN98" t="str">
            <v/>
          </cell>
          <cell r="BO98" t="str">
            <v/>
          </cell>
          <cell r="BP98" t="str">
            <v/>
          </cell>
          <cell r="BQ98" t="str">
            <v/>
          </cell>
          <cell r="BR98" t="str">
            <v/>
          </cell>
          <cell r="BS98" t="str">
            <v/>
          </cell>
          <cell r="BT98" t="str">
            <v/>
          </cell>
          <cell r="BU98" t="str">
            <v/>
          </cell>
          <cell r="BV98" t="str">
            <v/>
          </cell>
          <cell r="BW98" t="str">
            <v/>
          </cell>
          <cell r="BX98" t="str">
            <v/>
          </cell>
          <cell r="BY98" t="str">
            <v/>
          </cell>
          <cell r="BZ98" t="str">
            <v/>
          </cell>
          <cell r="CA98" t="str">
            <v/>
          </cell>
          <cell r="CB98" t="str">
            <v/>
          </cell>
          <cell r="CC98" t="str">
            <v/>
          </cell>
          <cell r="CD98" t="str">
            <v/>
          </cell>
          <cell r="CE98" t="str">
            <v/>
          </cell>
          <cell r="CF98" t="str">
            <v/>
          </cell>
          <cell r="CG98" t="str">
            <v/>
          </cell>
          <cell r="CH98" t="str">
            <v/>
          </cell>
          <cell r="CI98" t="str">
            <v/>
          </cell>
          <cell r="CJ98" t="str">
            <v/>
          </cell>
          <cell r="CK98" t="str">
            <v/>
          </cell>
          <cell r="CL98">
            <v>0</v>
          </cell>
          <cell r="CM98">
            <v>0</v>
          </cell>
          <cell r="CN98">
            <v>0</v>
          </cell>
          <cell r="CO98" t="str">
            <v>N.R</v>
          </cell>
          <cell r="CP98" t="str">
            <v/>
          </cell>
          <cell r="CQ98">
            <v>41</v>
          </cell>
          <cell r="CR98">
            <v>87</v>
          </cell>
          <cell r="CS98" t="e">
            <v>#VALUE!</v>
          </cell>
          <cell r="CT98" t="str">
            <v/>
          </cell>
          <cell r="CU98">
            <v>35</v>
          </cell>
          <cell r="CV98">
            <v>74</v>
          </cell>
          <cell r="CW98" t="e">
            <v>#VALUE!</v>
          </cell>
          <cell r="CX98" t="str">
            <v/>
          </cell>
          <cell r="CY98">
            <v>59</v>
          </cell>
          <cell r="CZ98">
            <v>97</v>
          </cell>
          <cell r="DA98" t="e">
            <v>#VALUE!</v>
          </cell>
          <cell r="DB98" t="str">
            <v/>
          </cell>
          <cell r="DC98">
            <v>0</v>
          </cell>
          <cell r="DD98">
            <v>0</v>
          </cell>
          <cell r="DE98" t="e">
            <v>#VALUE!</v>
          </cell>
          <cell r="DF98" t="str">
            <v/>
          </cell>
          <cell r="DG98">
            <v>33</v>
          </cell>
          <cell r="DH98">
            <v>87</v>
          </cell>
          <cell r="DI98" t="e">
            <v>#VALUE!</v>
          </cell>
          <cell r="DJ98" t="str">
            <v/>
          </cell>
          <cell r="DK98">
            <v>29</v>
          </cell>
          <cell r="DL98">
            <v>88</v>
          </cell>
          <cell r="DM98" t="e">
            <v>#VALUE!</v>
          </cell>
          <cell r="DN98" t="str">
            <v/>
          </cell>
          <cell r="DO98">
            <v>35</v>
          </cell>
          <cell r="DP98">
            <v>92</v>
          </cell>
          <cell r="DQ98" t="e">
            <v>#VALUE!</v>
          </cell>
          <cell r="DR98" t="str">
            <v/>
          </cell>
          <cell r="DS98">
            <v>0</v>
          </cell>
          <cell r="DT98">
            <v>81</v>
          </cell>
          <cell r="DU98" t="e">
            <v>#VALUE!</v>
          </cell>
          <cell r="DV98" t="str">
            <v/>
          </cell>
          <cell r="DW98">
            <v>0</v>
          </cell>
          <cell r="DX98">
            <v>0</v>
          </cell>
          <cell r="DY98" t="e">
            <v>#VALUE!</v>
          </cell>
          <cell r="DZ98" t="str">
            <v/>
          </cell>
          <cell r="EA98">
            <v>0</v>
          </cell>
          <cell r="EB98">
            <v>86</v>
          </cell>
          <cell r="EC98" t="e">
            <v>#VALUE!</v>
          </cell>
          <cell r="ED98" t="str">
            <v/>
          </cell>
          <cell r="EE98">
            <v>0</v>
          </cell>
          <cell r="EF98">
            <v>88</v>
          </cell>
          <cell r="EG98" t="e">
            <v>#VALUE!</v>
          </cell>
          <cell r="EH98" t="str">
            <v/>
          </cell>
          <cell r="EI98">
            <v>0</v>
          </cell>
          <cell r="EJ98">
            <v>89</v>
          </cell>
          <cell r="EK98" t="e">
            <v>#VALUE!</v>
          </cell>
          <cell r="EL98" t="str">
            <v/>
          </cell>
          <cell r="EM98">
            <v>0</v>
          </cell>
          <cell r="EN98">
            <v>91</v>
          </cell>
          <cell r="EO98" t="e">
            <v>#VALUE!</v>
          </cell>
          <cell r="EP98" t="str">
            <v/>
          </cell>
          <cell r="EQ98">
            <v>0</v>
          </cell>
          <cell r="ER98">
            <v>0</v>
          </cell>
          <cell r="ES98" t="e">
            <v>#VALUE!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  <cell r="V99" t="str">
            <v/>
          </cell>
          <cell r="W99" t="str">
            <v/>
          </cell>
          <cell r="X99" t="str">
            <v/>
          </cell>
          <cell r="Y99" t="str">
            <v/>
          </cell>
          <cell r="Z99" t="str">
            <v/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  <cell r="AF99" t="str">
            <v/>
          </cell>
          <cell r="AG99" t="str">
            <v/>
          </cell>
          <cell r="AH99" t="str">
            <v/>
          </cell>
          <cell r="AI99" t="str">
            <v/>
          </cell>
          <cell r="AJ99" t="str">
            <v/>
          </cell>
          <cell r="AK99" t="str">
            <v/>
          </cell>
          <cell r="AL99" t="str">
            <v/>
          </cell>
          <cell r="AM99" t="str">
            <v/>
          </cell>
          <cell r="AN99" t="str">
            <v/>
          </cell>
          <cell r="AO99" t="str">
            <v/>
          </cell>
          <cell r="AP99" t="str">
            <v/>
          </cell>
          <cell r="AQ99" t="str">
            <v/>
          </cell>
          <cell r="AR99" t="str">
            <v/>
          </cell>
          <cell r="AS99" t="str">
            <v/>
          </cell>
          <cell r="AT99" t="str">
            <v/>
          </cell>
          <cell r="AU99" t="str">
            <v/>
          </cell>
          <cell r="AV99" t="str">
            <v/>
          </cell>
          <cell r="AW99" t="str">
            <v/>
          </cell>
          <cell r="AX99" t="str">
            <v/>
          </cell>
          <cell r="AY99" t="str">
            <v/>
          </cell>
          <cell r="AZ99" t="str">
            <v/>
          </cell>
          <cell r="BA99" t="str">
            <v/>
          </cell>
          <cell r="BB99" t="str">
            <v/>
          </cell>
          <cell r="BC99" t="str">
            <v/>
          </cell>
          <cell r="BD99" t="str">
            <v/>
          </cell>
          <cell r="BE99" t="str">
            <v/>
          </cell>
          <cell r="BF99" t="str">
            <v/>
          </cell>
          <cell r="BG99" t="str">
            <v/>
          </cell>
          <cell r="BH99" t="str">
            <v/>
          </cell>
          <cell r="BI99" t="str">
            <v/>
          </cell>
          <cell r="BJ99" t="str">
            <v/>
          </cell>
          <cell r="BK99" t="str">
            <v/>
          </cell>
          <cell r="BL99" t="str">
            <v/>
          </cell>
          <cell r="BM99" t="str">
            <v/>
          </cell>
          <cell r="BN99" t="str">
            <v/>
          </cell>
          <cell r="BO99" t="str">
            <v/>
          </cell>
          <cell r="BP99" t="str">
            <v/>
          </cell>
          <cell r="BQ99" t="str">
            <v/>
          </cell>
          <cell r="BR99" t="str">
            <v/>
          </cell>
          <cell r="BS99" t="str">
            <v/>
          </cell>
          <cell r="BT99" t="str">
            <v/>
          </cell>
          <cell r="BU99" t="str">
            <v/>
          </cell>
          <cell r="BV99" t="str">
            <v/>
          </cell>
          <cell r="BW99" t="str">
            <v/>
          </cell>
          <cell r="BX99" t="str">
            <v/>
          </cell>
          <cell r="BY99" t="str">
            <v/>
          </cell>
          <cell r="BZ99" t="str">
            <v/>
          </cell>
          <cell r="CA99" t="str">
            <v/>
          </cell>
          <cell r="CB99" t="str">
            <v/>
          </cell>
          <cell r="CC99" t="str">
            <v/>
          </cell>
          <cell r="CD99" t="str">
            <v/>
          </cell>
          <cell r="CE99" t="str">
            <v/>
          </cell>
          <cell r="CF99" t="str">
            <v/>
          </cell>
          <cell r="CG99" t="str">
            <v/>
          </cell>
          <cell r="CH99" t="str">
            <v/>
          </cell>
          <cell r="CI99" t="str">
            <v/>
          </cell>
          <cell r="CJ99" t="str">
            <v/>
          </cell>
          <cell r="CK99" t="str">
            <v/>
          </cell>
          <cell r="CL99">
            <v>0</v>
          </cell>
          <cell r="CM99">
            <v>0</v>
          </cell>
          <cell r="CN99">
            <v>0</v>
          </cell>
          <cell r="CO99" t="str">
            <v>N.R</v>
          </cell>
          <cell r="CP99" t="str">
            <v/>
          </cell>
          <cell r="CQ99">
            <v>41</v>
          </cell>
          <cell r="CR99">
            <v>87</v>
          </cell>
          <cell r="CS99" t="e">
            <v>#VALUE!</v>
          </cell>
          <cell r="CT99" t="str">
            <v/>
          </cell>
          <cell r="CU99">
            <v>35</v>
          </cell>
          <cell r="CV99">
            <v>74</v>
          </cell>
          <cell r="CW99" t="e">
            <v>#VALUE!</v>
          </cell>
          <cell r="CX99" t="str">
            <v/>
          </cell>
          <cell r="CY99">
            <v>59</v>
          </cell>
          <cell r="CZ99">
            <v>97</v>
          </cell>
          <cell r="DA99" t="e">
            <v>#VALUE!</v>
          </cell>
          <cell r="DB99" t="str">
            <v/>
          </cell>
          <cell r="DC99">
            <v>0</v>
          </cell>
          <cell r="DD99">
            <v>0</v>
          </cell>
          <cell r="DE99" t="e">
            <v>#VALUE!</v>
          </cell>
          <cell r="DF99" t="str">
            <v/>
          </cell>
          <cell r="DG99">
            <v>33</v>
          </cell>
          <cell r="DH99">
            <v>87</v>
          </cell>
          <cell r="DI99" t="e">
            <v>#VALUE!</v>
          </cell>
          <cell r="DJ99" t="str">
            <v/>
          </cell>
          <cell r="DK99">
            <v>29</v>
          </cell>
          <cell r="DL99">
            <v>88</v>
          </cell>
          <cell r="DM99" t="e">
            <v>#VALUE!</v>
          </cell>
          <cell r="DN99" t="str">
            <v/>
          </cell>
          <cell r="DO99">
            <v>35</v>
          </cell>
          <cell r="DP99">
            <v>92</v>
          </cell>
          <cell r="DQ99" t="e">
            <v>#VALUE!</v>
          </cell>
          <cell r="DR99" t="str">
            <v/>
          </cell>
          <cell r="DS99">
            <v>0</v>
          </cell>
          <cell r="DT99">
            <v>81</v>
          </cell>
          <cell r="DU99" t="e">
            <v>#VALUE!</v>
          </cell>
          <cell r="DV99" t="str">
            <v/>
          </cell>
          <cell r="DW99">
            <v>0</v>
          </cell>
          <cell r="DX99">
            <v>0</v>
          </cell>
          <cell r="DY99" t="e">
            <v>#VALUE!</v>
          </cell>
          <cell r="DZ99" t="str">
            <v/>
          </cell>
          <cell r="EA99">
            <v>0</v>
          </cell>
          <cell r="EB99">
            <v>86</v>
          </cell>
          <cell r="EC99" t="e">
            <v>#VALUE!</v>
          </cell>
          <cell r="ED99" t="str">
            <v/>
          </cell>
          <cell r="EE99">
            <v>0</v>
          </cell>
          <cell r="EF99">
            <v>89</v>
          </cell>
          <cell r="EG99" t="e">
            <v>#VALUE!</v>
          </cell>
          <cell r="EH99" t="str">
            <v/>
          </cell>
          <cell r="EI99">
            <v>0</v>
          </cell>
          <cell r="EJ99">
            <v>89</v>
          </cell>
          <cell r="EK99" t="e">
            <v>#VALUE!</v>
          </cell>
          <cell r="EL99" t="str">
            <v/>
          </cell>
          <cell r="EM99">
            <v>0</v>
          </cell>
          <cell r="EN99">
            <v>91</v>
          </cell>
          <cell r="EO99" t="e">
            <v>#VALUE!</v>
          </cell>
          <cell r="EP99" t="str">
            <v/>
          </cell>
          <cell r="EQ99">
            <v>0</v>
          </cell>
          <cell r="ER99">
            <v>0</v>
          </cell>
          <cell r="ES99" t="e">
            <v>#VALUE!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  <cell r="Q100" t="str">
            <v/>
          </cell>
          <cell r="R100" t="str">
            <v/>
          </cell>
          <cell r="S100" t="str">
            <v/>
          </cell>
          <cell r="T100" t="str">
            <v/>
          </cell>
          <cell r="U100" t="str">
            <v/>
          </cell>
          <cell r="V100" t="str">
            <v/>
          </cell>
          <cell r="W100" t="str">
            <v/>
          </cell>
          <cell r="X100" t="str">
            <v/>
          </cell>
          <cell r="Y100" t="str">
            <v/>
          </cell>
          <cell r="Z100" t="str">
            <v/>
          </cell>
          <cell r="AA100" t="str">
            <v/>
          </cell>
          <cell r="AB100" t="str">
            <v/>
          </cell>
          <cell r="AC100" t="str">
            <v/>
          </cell>
          <cell r="AD100" t="str">
            <v/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 t="str">
            <v/>
          </cell>
          <cell r="AL100" t="str">
            <v/>
          </cell>
          <cell r="AM100" t="str">
            <v/>
          </cell>
          <cell r="AN100" t="str">
            <v/>
          </cell>
          <cell r="AO100" t="str">
            <v/>
          </cell>
          <cell r="AP100" t="str">
            <v/>
          </cell>
          <cell r="AQ100" t="str">
            <v/>
          </cell>
          <cell r="AR100" t="str">
            <v/>
          </cell>
          <cell r="AS100" t="str">
            <v/>
          </cell>
          <cell r="AT100" t="str">
            <v/>
          </cell>
          <cell r="AU100" t="str">
            <v/>
          </cell>
          <cell r="AV100" t="str">
            <v/>
          </cell>
          <cell r="AW100" t="str">
            <v/>
          </cell>
          <cell r="AX100" t="str">
            <v/>
          </cell>
          <cell r="AY100" t="str">
            <v/>
          </cell>
          <cell r="AZ100" t="str">
            <v/>
          </cell>
          <cell r="BA100" t="str">
            <v/>
          </cell>
          <cell r="BB100" t="str">
            <v/>
          </cell>
          <cell r="BC100" t="str">
            <v/>
          </cell>
          <cell r="BD100" t="str">
            <v/>
          </cell>
          <cell r="BE100" t="str">
            <v/>
          </cell>
          <cell r="BF100" t="str">
            <v/>
          </cell>
          <cell r="BG100" t="str">
            <v/>
          </cell>
          <cell r="BH100" t="str">
            <v/>
          </cell>
          <cell r="BI100" t="str">
            <v/>
          </cell>
          <cell r="BJ100" t="str">
            <v/>
          </cell>
          <cell r="BK100" t="str">
            <v/>
          </cell>
          <cell r="BL100" t="str">
            <v/>
          </cell>
          <cell r="BM100" t="str">
            <v/>
          </cell>
          <cell r="BN100" t="str">
            <v/>
          </cell>
          <cell r="BO100" t="str">
            <v/>
          </cell>
          <cell r="BP100" t="str">
            <v/>
          </cell>
          <cell r="BQ100" t="str">
            <v/>
          </cell>
          <cell r="BR100" t="str">
            <v/>
          </cell>
          <cell r="BS100" t="str">
            <v/>
          </cell>
          <cell r="BT100" t="str">
            <v/>
          </cell>
          <cell r="BU100" t="str">
            <v/>
          </cell>
          <cell r="BV100" t="str">
            <v/>
          </cell>
          <cell r="BW100" t="str">
            <v/>
          </cell>
          <cell r="BX100" t="str">
            <v/>
          </cell>
          <cell r="BY100" t="str">
            <v/>
          </cell>
          <cell r="BZ100" t="str">
            <v/>
          </cell>
          <cell r="CA100" t="str">
            <v/>
          </cell>
          <cell r="CB100" t="str">
            <v/>
          </cell>
          <cell r="CC100" t="str">
            <v/>
          </cell>
          <cell r="CD100" t="str">
            <v/>
          </cell>
          <cell r="CE100" t="str">
            <v/>
          </cell>
          <cell r="CF100" t="str">
            <v/>
          </cell>
          <cell r="CG100" t="str">
            <v/>
          </cell>
          <cell r="CH100" t="str">
            <v/>
          </cell>
          <cell r="CI100" t="str">
            <v/>
          </cell>
          <cell r="CJ100" t="str">
            <v/>
          </cell>
          <cell r="CK100" t="str">
            <v/>
          </cell>
          <cell r="CL100">
            <v>0</v>
          </cell>
          <cell r="CM100">
            <v>0</v>
          </cell>
          <cell r="CN100">
            <v>0</v>
          </cell>
          <cell r="CO100" t="str">
            <v>N.R</v>
          </cell>
          <cell r="CP100" t="str">
            <v/>
          </cell>
          <cell r="CQ100">
            <v>41</v>
          </cell>
          <cell r="CR100">
            <v>87</v>
          </cell>
          <cell r="CS100" t="e">
            <v>#VALUE!</v>
          </cell>
          <cell r="CT100" t="str">
            <v/>
          </cell>
          <cell r="CU100">
            <v>35</v>
          </cell>
          <cell r="CV100">
            <v>74</v>
          </cell>
          <cell r="CW100" t="e">
            <v>#VALUE!</v>
          </cell>
          <cell r="CX100" t="str">
            <v/>
          </cell>
          <cell r="CY100">
            <v>59</v>
          </cell>
          <cell r="CZ100">
            <v>97</v>
          </cell>
          <cell r="DA100" t="e">
            <v>#VALUE!</v>
          </cell>
          <cell r="DB100" t="str">
            <v/>
          </cell>
          <cell r="DC100">
            <v>0</v>
          </cell>
          <cell r="DD100">
            <v>0</v>
          </cell>
          <cell r="DE100" t="e">
            <v>#VALUE!</v>
          </cell>
          <cell r="DF100" t="str">
            <v/>
          </cell>
          <cell r="DG100">
            <v>33</v>
          </cell>
          <cell r="DH100">
            <v>87</v>
          </cell>
          <cell r="DI100" t="e">
            <v>#VALUE!</v>
          </cell>
          <cell r="DJ100" t="str">
            <v/>
          </cell>
          <cell r="DK100">
            <v>29</v>
          </cell>
          <cell r="DL100">
            <v>88</v>
          </cell>
          <cell r="DM100" t="e">
            <v>#VALUE!</v>
          </cell>
          <cell r="DN100" t="str">
            <v/>
          </cell>
          <cell r="DO100">
            <v>35</v>
          </cell>
          <cell r="DP100">
            <v>92</v>
          </cell>
          <cell r="DQ100" t="e">
            <v>#VALUE!</v>
          </cell>
          <cell r="DR100" t="str">
            <v/>
          </cell>
          <cell r="DS100">
            <v>0</v>
          </cell>
          <cell r="DT100">
            <v>81</v>
          </cell>
          <cell r="DU100" t="e">
            <v>#VALUE!</v>
          </cell>
          <cell r="DV100" t="str">
            <v/>
          </cell>
          <cell r="DW100">
            <v>0</v>
          </cell>
          <cell r="DX100">
            <v>0</v>
          </cell>
          <cell r="DY100" t="e">
            <v>#VALUE!</v>
          </cell>
          <cell r="DZ100" t="str">
            <v/>
          </cell>
          <cell r="EA100">
            <v>0</v>
          </cell>
          <cell r="EB100">
            <v>86</v>
          </cell>
          <cell r="EC100" t="e">
            <v>#VALUE!</v>
          </cell>
          <cell r="ED100" t="str">
            <v/>
          </cell>
          <cell r="EE100">
            <v>0</v>
          </cell>
          <cell r="EF100">
            <v>90</v>
          </cell>
          <cell r="EG100" t="e">
            <v>#VALUE!</v>
          </cell>
          <cell r="EH100" t="str">
            <v/>
          </cell>
          <cell r="EI100">
            <v>0</v>
          </cell>
          <cell r="EJ100">
            <v>89</v>
          </cell>
          <cell r="EK100" t="e">
            <v>#VALUE!</v>
          </cell>
          <cell r="EL100" t="str">
            <v/>
          </cell>
          <cell r="EM100">
            <v>0</v>
          </cell>
          <cell r="EN100">
            <v>91</v>
          </cell>
          <cell r="EO100" t="e">
            <v>#VALUE!</v>
          </cell>
          <cell r="EP100" t="str">
            <v/>
          </cell>
          <cell r="EQ100">
            <v>0</v>
          </cell>
          <cell r="ER100">
            <v>0</v>
          </cell>
          <cell r="ES100" t="e">
            <v>#VALUE!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  <cell r="Q101" t="str">
            <v/>
          </cell>
          <cell r="R101" t="str">
            <v/>
          </cell>
          <cell r="S101" t="str">
            <v/>
          </cell>
          <cell r="T101" t="str">
            <v/>
          </cell>
          <cell r="U101" t="str">
            <v/>
          </cell>
          <cell r="V101" t="str">
            <v/>
          </cell>
          <cell r="W101" t="str">
            <v/>
          </cell>
          <cell r="X101" t="str">
            <v/>
          </cell>
          <cell r="Y101" t="str">
            <v/>
          </cell>
          <cell r="Z101" t="str">
            <v/>
          </cell>
          <cell r="AA101" t="str">
            <v/>
          </cell>
          <cell r="AB101" t="str">
            <v/>
          </cell>
          <cell r="AC101" t="str">
            <v/>
          </cell>
          <cell r="AD101" t="str">
            <v/>
          </cell>
          <cell r="AE101" t="str">
            <v/>
          </cell>
          <cell r="AF101" t="str">
            <v/>
          </cell>
          <cell r="AG101" t="str">
            <v/>
          </cell>
          <cell r="AH101" t="str">
            <v/>
          </cell>
          <cell r="AI101" t="str">
            <v/>
          </cell>
          <cell r="AJ101" t="str">
            <v/>
          </cell>
          <cell r="AK101" t="str">
            <v/>
          </cell>
          <cell r="AL101" t="str">
            <v/>
          </cell>
          <cell r="AM101" t="str">
            <v/>
          </cell>
          <cell r="AN101" t="str">
            <v/>
          </cell>
          <cell r="AO101" t="str">
            <v/>
          </cell>
          <cell r="AP101" t="str">
            <v/>
          </cell>
          <cell r="AQ101" t="str">
            <v/>
          </cell>
          <cell r="AR101" t="str">
            <v/>
          </cell>
          <cell r="AS101" t="str">
            <v/>
          </cell>
          <cell r="AT101" t="str">
            <v/>
          </cell>
          <cell r="AU101" t="str">
            <v/>
          </cell>
          <cell r="AV101" t="str">
            <v/>
          </cell>
          <cell r="AW101" t="str">
            <v/>
          </cell>
          <cell r="AX101" t="str">
            <v/>
          </cell>
          <cell r="AY101" t="str">
            <v/>
          </cell>
          <cell r="AZ101" t="str">
            <v/>
          </cell>
          <cell r="BA101" t="str">
            <v/>
          </cell>
          <cell r="BB101" t="str">
            <v/>
          </cell>
          <cell r="BC101" t="str">
            <v/>
          </cell>
          <cell r="BD101" t="str">
            <v/>
          </cell>
          <cell r="BE101" t="str">
            <v/>
          </cell>
          <cell r="BF101" t="str">
            <v/>
          </cell>
          <cell r="BG101" t="str">
            <v/>
          </cell>
          <cell r="BH101" t="str">
            <v/>
          </cell>
          <cell r="BI101" t="str">
            <v/>
          </cell>
          <cell r="BJ101" t="str">
            <v/>
          </cell>
          <cell r="BK101" t="str">
            <v/>
          </cell>
          <cell r="BL101" t="str">
            <v/>
          </cell>
          <cell r="BM101" t="str">
            <v/>
          </cell>
          <cell r="BN101" t="str">
            <v/>
          </cell>
          <cell r="BO101" t="str">
            <v/>
          </cell>
          <cell r="BP101" t="str">
            <v/>
          </cell>
          <cell r="BQ101" t="str">
            <v/>
          </cell>
          <cell r="BR101" t="str">
            <v/>
          </cell>
          <cell r="BS101" t="str">
            <v/>
          </cell>
          <cell r="BT101" t="str">
            <v/>
          </cell>
          <cell r="BU101" t="str">
            <v/>
          </cell>
          <cell r="BV101" t="str">
            <v/>
          </cell>
          <cell r="BW101" t="str">
            <v/>
          </cell>
          <cell r="BX101" t="str">
            <v/>
          </cell>
          <cell r="BY101" t="str">
            <v/>
          </cell>
          <cell r="BZ101" t="str">
            <v/>
          </cell>
          <cell r="CA101" t="str">
            <v/>
          </cell>
          <cell r="CB101" t="str">
            <v/>
          </cell>
          <cell r="CC101" t="str">
            <v/>
          </cell>
          <cell r="CD101" t="str">
            <v/>
          </cell>
          <cell r="CE101" t="str">
            <v/>
          </cell>
          <cell r="CF101" t="str">
            <v/>
          </cell>
          <cell r="CG101" t="str">
            <v/>
          </cell>
          <cell r="CH101" t="str">
            <v/>
          </cell>
          <cell r="CI101" t="str">
            <v/>
          </cell>
          <cell r="CJ101" t="str">
            <v/>
          </cell>
          <cell r="CK101" t="str">
            <v/>
          </cell>
          <cell r="CL101">
            <v>0</v>
          </cell>
          <cell r="CM101">
            <v>0</v>
          </cell>
          <cell r="CN101">
            <v>0</v>
          </cell>
          <cell r="CO101" t="str">
            <v>N.R</v>
          </cell>
          <cell r="CP101" t="str">
            <v/>
          </cell>
          <cell r="CQ101">
            <v>41</v>
          </cell>
          <cell r="CR101">
            <v>87</v>
          </cell>
          <cell r="CS101" t="e">
            <v>#VALUE!</v>
          </cell>
          <cell r="CT101" t="str">
            <v/>
          </cell>
          <cell r="CU101">
            <v>35</v>
          </cell>
          <cell r="CV101">
            <v>74</v>
          </cell>
          <cell r="CW101" t="e">
            <v>#VALUE!</v>
          </cell>
          <cell r="CX101" t="str">
            <v/>
          </cell>
          <cell r="CY101">
            <v>59</v>
          </cell>
          <cell r="CZ101">
            <v>97</v>
          </cell>
          <cell r="DA101" t="e">
            <v>#VALUE!</v>
          </cell>
          <cell r="DB101" t="str">
            <v/>
          </cell>
          <cell r="DC101">
            <v>0</v>
          </cell>
          <cell r="DD101">
            <v>0</v>
          </cell>
          <cell r="DE101" t="e">
            <v>#VALUE!</v>
          </cell>
          <cell r="DF101" t="str">
            <v/>
          </cell>
          <cell r="DG101">
            <v>33</v>
          </cell>
          <cell r="DH101">
            <v>87</v>
          </cell>
          <cell r="DI101" t="e">
            <v>#VALUE!</v>
          </cell>
          <cell r="DJ101" t="str">
            <v/>
          </cell>
          <cell r="DK101">
            <v>29</v>
          </cell>
          <cell r="DL101">
            <v>88</v>
          </cell>
          <cell r="DM101" t="e">
            <v>#VALUE!</v>
          </cell>
          <cell r="DN101" t="str">
            <v/>
          </cell>
          <cell r="DO101">
            <v>35</v>
          </cell>
          <cell r="DP101">
            <v>92</v>
          </cell>
          <cell r="DQ101" t="e">
            <v>#VALUE!</v>
          </cell>
          <cell r="DR101" t="str">
            <v/>
          </cell>
          <cell r="DS101">
            <v>0</v>
          </cell>
          <cell r="DT101">
            <v>81</v>
          </cell>
          <cell r="DU101" t="e">
            <v>#VALUE!</v>
          </cell>
          <cell r="DV101" t="str">
            <v/>
          </cell>
          <cell r="DW101">
            <v>0</v>
          </cell>
          <cell r="DX101">
            <v>0</v>
          </cell>
          <cell r="DY101" t="e">
            <v>#VALUE!</v>
          </cell>
          <cell r="DZ101" t="str">
            <v/>
          </cell>
          <cell r="EA101">
            <v>0</v>
          </cell>
          <cell r="EB101">
            <v>86</v>
          </cell>
          <cell r="EC101" t="e">
            <v>#VALUE!</v>
          </cell>
          <cell r="ED101" t="str">
            <v/>
          </cell>
          <cell r="EE101">
            <v>0</v>
          </cell>
          <cell r="EF101">
            <v>91</v>
          </cell>
          <cell r="EG101" t="e">
            <v>#VALUE!</v>
          </cell>
          <cell r="EH101" t="str">
            <v/>
          </cell>
          <cell r="EI101">
            <v>0</v>
          </cell>
          <cell r="EJ101">
            <v>89</v>
          </cell>
          <cell r="EK101" t="e">
            <v>#VALUE!</v>
          </cell>
          <cell r="EL101" t="str">
            <v/>
          </cell>
          <cell r="EM101">
            <v>0</v>
          </cell>
          <cell r="EN101">
            <v>91</v>
          </cell>
          <cell r="EO101" t="e">
            <v>#VALUE!</v>
          </cell>
          <cell r="EP101" t="str">
            <v/>
          </cell>
          <cell r="EQ101">
            <v>0</v>
          </cell>
          <cell r="ER101">
            <v>0</v>
          </cell>
          <cell r="ES101" t="e">
            <v>#VALUE!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 t="str">
            <v/>
          </cell>
          <cell r="P102" t="str">
            <v/>
          </cell>
          <cell r="Q102" t="str">
            <v/>
          </cell>
          <cell r="R102" t="str">
            <v/>
          </cell>
          <cell r="S102" t="str">
            <v/>
          </cell>
          <cell r="T102" t="str">
            <v/>
          </cell>
          <cell r="U102" t="str">
            <v/>
          </cell>
          <cell r="V102" t="str">
            <v/>
          </cell>
          <cell r="W102" t="str">
            <v/>
          </cell>
          <cell r="X102" t="str">
            <v/>
          </cell>
          <cell r="Y102" t="str">
            <v/>
          </cell>
          <cell r="Z102" t="str">
            <v/>
          </cell>
          <cell r="AA102" t="str">
            <v/>
          </cell>
          <cell r="AB102" t="str">
            <v/>
          </cell>
          <cell r="AC102" t="str">
            <v/>
          </cell>
          <cell r="AD102" t="str">
            <v/>
          </cell>
          <cell r="AE102" t="str">
            <v/>
          </cell>
          <cell r="AF102" t="str">
            <v/>
          </cell>
          <cell r="AG102" t="str">
            <v/>
          </cell>
          <cell r="AH102" t="str">
            <v/>
          </cell>
          <cell r="AI102" t="str">
            <v/>
          </cell>
          <cell r="AJ102" t="str">
            <v/>
          </cell>
          <cell r="AK102" t="str">
            <v/>
          </cell>
          <cell r="AL102" t="str">
            <v/>
          </cell>
          <cell r="AM102" t="str">
            <v/>
          </cell>
          <cell r="AN102" t="str">
            <v/>
          </cell>
          <cell r="AO102" t="str">
            <v/>
          </cell>
          <cell r="AP102" t="str">
            <v/>
          </cell>
          <cell r="AQ102" t="str">
            <v/>
          </cell>
          <cell r="AR102" t="str">
            <v/>
          </cell>
          <cell r="AS102" t="str">
            <v/>
          </cell>
          <cell r="AT102" t="str">
            <v/>
          </cell>
          <cell r="AU102" t="str">
            <v/>
          </cell>
          <cell r="AV102" t="str">
            <v/>
          </cell>
          <cell r="AW102" t="str">
            <v/>
          </cell>
          <cell r="AX102" t="str">
            <v/>
          </cell>
          <cell r="AY102" t="str">
            <v/>
          </cell>
          <cell r="AZ102" t="str">
            <v/>
          </cell>
          <cell r="BA102" t="str">
            <v/>
          </cell>
          <cell r="BB102" t="str">
            <v/>
          </cell>
          <cell r="BC102" t="str">
            <v/>
          </cell>
          <cell r="BD102" t="str">
            <v/>
          </cell>
          <cell r="BE102" t="str">
            <v/>
          </cell>
          <cell r="BF102" t="str">
            <v/>
          </cell>
          <cell r="BG102" t="str">
            <v/>
          </cell>
          <cell r="BH102" t="str">
            <v/>
          </cell>
          <cell r="BI102" t="str">
            <v/>
          </cell>
          <cell r="BJ102" t="str">
            <v/>
          </cell>
          <cell r="BK102" t="str">
            <v/>
          </cell>
          <cell r="BL102" t="str">
            <v/>
          </cell>
          <cell r="BM102" t="str">
            <v/>
          </cell>
          <cell r="BN102" t="str">
            <v/>
          </cell>
          <cell r="BO102" t="str">
            <v/>
          </cell>
          <cell r="BP102" t="str">
            <v/>
          </cell>
          <cell r="BQ102" t="str">
            <v/>
          </cell>
          <cell r="BR102" t="str">
            <v/>
          </cell>
          <cell r="BS102" t="str">
            <v/>
          </cell>
          <cell r="BT102" t="str">
            <v/>
          </cell>
          <cell r="BU102" t="str">
            <v/>
          </cell>
          <cell r="BV102" t="str">
            <v/>
          </cell>
          <cell r="BW102" t="str">
            <v/>
          </cell>
          <cell r="BX102" t="str">
            <v/>
          </cell>
          <cell r="BY102" t="str">
            <v/>
          </cell>
          <cell r="BZ102" t="str">
            <v/>
          </cell>
          <cell r="CA102" t="str">
            <v/>
          </cell>
          <cell r="CB102" t="str">
            <v/>
          </cell>
          <cell r="CC102" t="str">
            <v/>
          </cell>
          <cell r="CD102" t="str">
            <v/>
          </cell>
          <cell r="CE102" t="str">
            <v/>
          </cell>
          <cell r="CF102" t="str">
            <v/>
          </cell>
          <cell r="CG102" t="str">
            <v/>
          </cell>
          <cell r="CH102" t="str">
            <v/>
          </cell>
          <cell r="CI102" t="str">
            <v/>
          </cell>
          <cell r="CJ102" t="str">
            <v/>
          </cell>
          <cell r="CK102" t="str">
            <v/>
          </cell>
          <cell r="CL102">
            <v>0</v>
          </cell>
          <cell r="CM102">
            <v>0</v>
          </cell>
          <cell r="CN102">
            <v>0</v>
          </cell>
          <cell r="CO102" t="str">
            <v>N.R</v>
          </cell>
          <cell r="CP102" t="str">
            <v/>
          </cell>
          <cell r="CQ102">
            <v>41</v>
          </cell>
          <cell r="CR102">
            <v>87</v>
          </cell>
          <cell r="CS102" t="e">
            <v>#VALUE!</v>
          </cell>
          <cell r="CT102" t="str">
            <v/>
          </cell>
          <cell r="CU102">
            <v>35</v>
          </cell>
          <cell r="CV102">
            <v>74</v>
          </cell>
          <cell r="CW102" t="e">
            <v>#VALUE!</v>
          </cell>
          <cell r="CX102" t="str">
            <v/>
          </cell>
          <cell r="CY102">
            <v>59</v>
          </cell>
          <cell r="CZ102">
            <v>97</v>
          </cell>
          <cell r="DA102" t="e">
            <v>#VALUE!</v>
          </cell>
          <cell r="DB102" t="str">
            <v/>
          </cell>
          <cell r="DC102">
            <v>0</v>
          </cell>
          <cell r="DD102">
            <v>0</v>
          </cell>
          <cell r="DE102" t="e">
            <v>#VALUE!</v>
          </cell>
          <cell r="DF102" t="str">
            <v/>
          </cell>
          <cell r="DG102">
            <v>33</v>
          </cell>
          <cell r="DH102">
            <v>87</v>
          </cell>
          <cell r="DI102" t="e">
            <v>#VALUE!</v>
          </cell>
          <cell r="DJ102" t="str">
            <v/>
          </cell>
          <cell r="DK102">
            <v>29</v>
          </cell>
          <cell r="DL102">
            <v>88</v>
          </cell>
          <cell r="DM102" t="e">
            <v>#VALUE!</v>
          </cell>
          <cell r="DN102" t="str">
            <v/>
          </cell>
          <cell r="DO102">
            <v>35</v>
          </cell>
          <cell r="DP102">
            <v>92</v>
          </cell>
          <cell r="DQ102" t="e">
            <v>#VALUE!</v>
          </cell>
          <cell r="DR102" t="str">
            <v/>
          </cell>
          <cell r="DS102">
            <v>0</v>
          </cell>
          <cell r="DT102">
            <v>81</v>
          </cell>
          <cell r="DU102" t="e">
            <v>#VALUE!</v>
          </cell>
          <cell r="DV102" t="str">
            <v/>
          </cell>
          <cell r="DW102">
            <v>0</v>
          </cell>
          <cell r="DX102">
            <v>0</v>
          </cell>
          <cell r="DY102" t="e">
            <v>#VALUE!</v>
          </cell>
          <cell r="DZ102" t="str">
            <v/>
          </cell>
          <cell r="EA102">
            <v>0</v>
          </cell>
          <cell r="EB102">
            <v>86</v>
          </cell>
          <cell r="EC102" t="e">
            <v>#VALUE!</v>
          </cell>
          <cell r="ED102" t="str">
            <v/>
          </cell>
          <cell r="EE102">
            <v>0</v>
          </cell>
          <cell r="EF102">
            <v>92</v>
          </cell>
          <cell r="EG102" t="e">
            <v>#VALUE!</v>
          </cell>
          <cell r="EH102" t="str">
            <v/>
          </cell>
          <cell r="EI102">
            <v>0</v>
          </cell>
          <cell r="EJ102">
            <v>89</v>
          </cell>
          <cell r="EK102" t="e">
            <v>#VALUE!</v>
          </cell>
          <cell r="EL102" t="str">
            <v/>
          </cell>
          <cell r="EM102">
            <v>0</v>
          </cell>
          <cell r="EN102">
            <v>91</v>
          </cell>
          <cell r="EO102" t="e">
            <v>#VALUE!</v>
          </cell>
          <cell r="EP102" t="str">
            <v/>
          </cell>
          <cell r="EQ102">
            <v>0</v>
          </cell>
          <cell r="ER102">
            <v>0</v>
          </cell>
          <cell r="ES102" t="e">
            <v>#VALUE!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 t="str">
            <v/>
          </cell>
          <cell r="P103" t="str">
            <v/>
          </cell>
          <cell r="Q103" t="str">
            <v/>
          </cell>
          <cell r="R103" t="str">
            <v/>
          </cell>
          <cell r="S103" t="str">
            <v/>
          </cell>
          <cell r="T103" t="str">
            <v/>
          </cell>
          <cell r="U103" t="str">
            <v/>
          </cell>
          <cell r="V103" t="str">
            <v/>
          </cell>
          <cell r="W103" t="str">
            <v/>
          </cell>
          <cell r="X103" t="str">
            <v/>
          </cell>
          <cell r="Y103" t="str">
            <v/>
          </cell>
          <cell r="Z103" t="str">
            <v/>
          </cell>
          <cell r="AA103" t="str">
            <v/>
          </cell>
          <cell r="AB103" t="str">
            <v/>
          </cell>
          <cell r="AC103" t="str">
            <v/>
          </cell>
          <cell r="AD103" t="str">
            <v/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 t="str">
            <v/>
          </cell>
          <cell r="AL103" t="str">
            <v/>
          </cell>
          <cell r="AM103" t="str">
            <v/>
          </cell>
          <cell r="AN103" t="str">
            <v/>
          </cell>
          <cell r="AO103" t="str">
            <v/>
          </cell>
          <cell r="AP103" t="str">
            <v/>
          </cell>
          <cell r="AQ103" t="str">
            <v/>
          </cell>
          <cell r="AR103" t="str">
            <v/>
          </cell>
          <cell r="AS103" t="str">
            <v/>
          </cell>
          <cell r="AT103" t="str">
            <v/>
          </cell>
          <cell r="AU103" t="str">
            <v/>
          </cell>
          <cell r="AV103" t="str">
            <v/>
          </cell>
          <cell r="AW103" t="str">
            <v/>
          </cell>
          <cell r="AX103" t="str">
            <v/>
          </cell>
          <cell r="AY103" t="str">
            <v/>
          </cell>
          <cell r="AZ103" t="str">
            <v/>
          </cell>
          <cell r="BA103" t="str">
            <v/>
          </cell>
          <cell r="BB103" t="str">
            <v/>
          </cell>
          <cell r="BC103" t="str">
            <v/>
          </cell>
          <cell r="BD103" t="str">
            <v/>
          </cell>
          <cell r="BE103" t="str">
            <v/>
          </cell>
          <cell r="BF103" t="str">
            <v/>
          </cell>
          <cell r="BG103" t="str">
            <v/>
          </cell>
          <cell r="BH103" t="str">
            <v/>
          </cell>
          <cell r="BI103" t="str">
            <v/>
          </cell>
          <cell r="BJ103" t="str">
            <v/>
          </cell>
          <cell r="BK103" t="str">
            <v/>
          </cell>
          <cell r="BL103" t="str">
            <v/>
          </cell>
          <cell r="BM103" t="str">
            <v/>
          </cell>
          <cell r="BN103" t="str">
            <v/>
          </cell>
          <cell r="BO103" t="str">
            <v/>
          </cell>
          <cell r="BP103" t="str">
            <v/>
          </cell>
          <cell r="BQ103" t="str">
            <v/>
          </cell>
          <cell r="BR103" t="str">
            <v/>
          </cell>
          <cell r="BS103" t="str">
            <v/>
          </cell>
          <cell r="BT103" t="str">
            <v/>
          </cell>
          <cell r="BU103" t="str">
            <v/>
          </cell>
          <cell r="BV103" t="str">
            <v/>
          </cell>
          <cell r="BW103" t="str">
            <v/>
          </cell>
          <cell r="BX103" t="str">
            <v/>
          </cell>
          <cell r="BY103" t="str">
            <v/>
          </cell>
          <cell r="BZ103" t="str">
            <v/>
          </cell>
          <cell r="CA103" t="str">
            <v/>
          </cell>
          <cell r="CB103" t="str">
            <v/>
          </cell>
          <cell r="CC103" t="str">
            <v/>
          </cell>
          <cell r="CD103" t="str">
            <v/>
          </cell>
          <cell r="CE103" t="str">
            <v/>
          </cell>
          <cell r="CF103" t="str">
            <v/>
          </cell>
          <cell r="CG103" t="str">
            <v/>
          </cell>
          <cell r="CH103" t="str">
            <v/>
          </cell>
          <cell r="CI103" t="str">
            <v/>
          </cell>
          <cell r="CJ103" t="str">
            <v/>
          </cell>
          <cell r="CK103" t="str">
            <v/>
          </cell>
          <cell r="CL103">
            <v>0</v>
          </cell>
          <cell r="CM103">
            <v>0</v>
          </cell>
          <cell r="CN103">
            <v>0</v>
          </cell>
          <cell r="CO103" t="str">
            <v>N.R</v>
          </cell>
          <cell r="CP103" t="str">
            <v/>
          </cell>
          <cell r="CQ103">
            <v>41</v>
          </cell>
          <cell r="CR103">
            <v>87</v>
          </cell>
          <cell r="CS103" t="e">
            <v>#VALUE!</v>
          </cell>
          <cell r="CT103" t="str">
            <v/>
          </cell>
          <cell r="CU103">
            <v>35</v>
          </cell>
          <cell r="CV103">
            <v>74</v>
          </cell>
          <cell r="CW103" t="e">
            <v>#VALUE!</v>
          </cell>
          <cell r="CX103" t="str">
            <v/>
          </cell>
          <cell r="CY103">
            <v>59</v>
          </cell>
          <cell r="CZ103">
            <v>97</v>
          </cell>
          <cell r="DA103" t="e">
            <v>#VALUE!</v>
          </cell>
          <cell r="DB103" t="str">
            <v/>
          </cell>
          <cell r="DC103">
            <v>0</v>
          </cell>
          <cell r="DD103">
            <v>0</v>
          </cell>
          <cell r="DE103" t="e">
            <v>#VALUE!</v>
          </cell>
          <cell r="DF103" t="str">
            <v/>
          </cell>
          <cell r="DG103">
            <v>33</v>
          </cell>
          <cell r="DH103">
            <v>87</v>
          </cell>
          <cell r="DI103" t="e">
            <v>#VALUE!</v>
          </cell>
          <cell r="DJ103" t="str">
            <v/>
          </cell>
          <cell r="DK103">
            <v>29</v>
          </cell>
          <cell r="DL103">
            <v>88</v>
          </cell>
          <cell r="DM103" t="e">
            <v>#VALUE!</v>
          </cell>
          <cell r="DN103" t="str">
            <v/>
          </cell>
          <cell r="DO103">
            <v>35</v>
          </cell>
          <cell r="DP103">
            <v>92</v>
          </cell>
          <cell r="DQ103" t="e">
            <v>#VALUE!</v>
          </cell>
          <cell r="DR103" t="str">
            <v/>
          </cell>
          <cell r="DS103">
            <v>0</v>
          </cell>
          <cell r="DT103">
            <v>81</v>
          </cell>
          <cell r="DU103" t="e">
            <v>#VALUE!</v>
          </cell>
          <cell r="DV103" t="str">
            <v/>
          </cell>
          <cell r="DW103">
            <v>0</v>
          </cell>
          <cell r="DX103">
            <v>0</v>
          </cell>
          <cell r="DY103" t="e">
            <v>#VALUE!</v>
          </cell>
          <cell r="DZ103" t="str">
            <v/>
          </cell>
          <cell r="EA103">
            <v>0</v>
          </cell>
          <cell r="EB103">
            <v>86</v>
          </cell>
          <cell r="EC103" t="e">
            <v>#VALUE!</v>
          </cell>
          <cell r="ED103" t="str">
            <v/>
          </cell>
          <cell r="EE103">
            <v>0</v>
          </cell>
          <cell r="EF103">
            <v>93</v>
          </cell>
          <cell r="EG103" t="e">
            <v>#VALUE!</v>
          </cell>
          <cell r="EH103" t="str">
            <v/>
          </cell>
          <cell r="EI103">
            <v>0</v>
          </cell>
          <cell r="EJ103">
            <v>89</v>
          </cell>
          <cell r="EK103" t="e">
            <v>#VALUE!</v>
          </cell>
          <cell r="EL103" t="str">
            <v/>
          </cell>
          <cell r="EM103">
            <v>0</v>
          </cell>
          <cell r="EN103">
            <v>91</v>
          </cell>
          <cell r="EO103" t="e">
            <v>#VALUE!</v>
          </cell>
          <cell r="EP103" t="str">
            <v/>
          </cell>
          <cell r="EQ103">
            <v>0</v>
          </cell>
          <cell r="ER103">
            <v>0</v>
          </cell>
          <cell r="ES103" t="e">
            <v>#VALUE!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 t="str">
            <v/>
          </cell>
          <cell r="P104" t="str">
            <v/>
          </cell>
          <cell r="Q104" t="str">
            <v/>
          </cell>
          <cell r="R104" t="str">
            <v/>
          </cell>
          <cell r="S104" t="str">
            <v/>
          </cell>
          <cell r="T104" t="str">
            <v/>
          </cell>
          <cell r="U104" t="str">
            <v/>
          </cell>
          <cell r="V104" t="str">
            <v/>
          </cell>
          <cell r="W104" t="str">
            <v/>
          </cell>
          <cell r="X104" t="str">
            <v/>
          </cell>
          <cell r="Y104" t="str">
            <v/>
          </cell>
          <cell r="Z104" t="str">
            <v/>
          </cell>
          <cell r="AA104" t="str">
            <v/>
          </cell>
          <cell r="AB104" t="str">
            <v/>
          </cell>
          <cell r="AC104" t="str">
            <v/>
          </cell>
          <cell r="AD104" t="str">
            <v/>
          </cell>
          <cell r="AE104" t="str">
            <v/>
          </cell>
          <cell r="AF104" t="str">
            <v/>
          </cell>
          <cell r="AG104" t="str">
            <v/>
          </cell>
          <cell r="AH104" t="str">
            <v/>
          </cell>
          <cell r="AI104" t="str">
            <v/>
          </cell>
          <cell r="AJ104" t="str">
            <v/>
          </cell>
          <cell r="AK104" t="str">
            <v/>
          </cell>
          <cell r="AL104" t="str">
            <v/>
          </cell>
          <cell r="AM104" t="str">
            <v/>
          </cell>
          <cell r="AN104" t="str">
            <v/>
          </cell>
          <cell r="AO104" t="str">
            <v/>
          </cell>
          <cell r="AP104" t="str">
            <v/>
          </cell>
          <cell r="AQ104" t="str">
            <v/>
          </cell>
          <cell r="AR104" t="str">
            <v/>
          </cell>
          <cell r="AS104" t="str">
            <v/>
          </cell>
          <cell r="AT104" t="str">
            <v/>
          </cell>
          <cell r="AU104" t="str">
            <v/>
          </cell>
          <cell r="AV104" t="str">
            <v/>
          </cell>
          <cell r="AW104" t="str">
            <v/>
          </cell>
          <cell r="AX104" t="str">
            <v/>
          </cell>
          <cell r="AY104" t="str">
            <v/>
          </cell>
          <cell r="AZ104" t="str">
            <v/>
          </cell>
          <cell r="BA104" t="str">
            <v/>
          </cell>
          <cell r="BB104" t="str">
            <v/>
          </cell>
          <cell r="BC104" t="str">
            <v/>
          </cell>
          <cell r="BD104" t="str">
            <v/>
          </cell>
          <cell r="BE104" t="str">
            <v/>
          </cell>
          <cell r="BF104" t="str">
            <v/>
          </cell>
          <cell r="BG104" t="str">
            <v/>
          </cell>
          <cell r="BH104" t="str">
            <v/>
          </cell>
          <cell r="BI104" t="str">
            <v/>
          </cell>
          <cell r="BJ104" t="str">
            <v/>
          </cell>
          <cell r="BK104" t="str">
            <v/>
          </cell>
          <cell r="BL104" t="str">
            <v/>
          </cell>
          <cell r="BM104" t="str">
            <v/>
          </cell>
          <cell r="BN104" t="str">
            <v/>
          </cell>
          <cell r="BO104" t="str">
            <v/>
          </cell>
          <cell r="BP104" t="str">
            <v/>
          </cell>
          <cell r="BQ104" t="str">
            <v/>
          </cell>
          <cell r="BR104" t="str">
            <v/>
          </cell>
          <cell r="BS104" t="str">
            <v/>
          </cell>
          <cell r="BT104" t="str">
            <v/>
          </cell>
          <cell r="BU104" t="str">
            <v/>
          </cell>
          <cell r="BV104" t="str">
            <v/>
          </cell>
          <cell r="BW104" t="str">
            <v/>
          </cell>
          <cell r="BX104" t="str">
            <v/>
          </cell>
          <cell r="BY104" t="str">
            <v/>
          </cell>
          <cell r="BZ104" t="str">
            <v/>
          </cell>
          <cell r="CA104" t="str">
            <v/>
          </cell>
          <cell r="CB104" t="str">
            <v/>
          </cell>
          <cell r="CC104" t="str">
            <v/>
          </cell>
          <cell r="CD104" t="str">
            <v/>
          </cell>
          <cell r="CE104" t="str">
            <v/>
          </cell>
          <cell r="CF104" t="str">
            <v/>
          </cell>
          <cell r="CG104" t="str">
            <v/>
          </cell>
          <cell r="CH104" t="str">
            <v/>
          </cell>
          <cell r="CI104" t="str">
            <v/>
          </cell>
          <cell r="CJ104" t="str">
            <v/>
          </cell>
          <cell r="CK104" t="str">
            <v/>
          </cell>
          <cell r="CL104">
            <v>0</v>
          </cell>
          <cell r="CM104">
            <v>0</v>
          </cell>
          <cell r="CN104">
            <v>0</v>
          </cell>
          <cell r="CO104" t="str">
            <v>N.R</v>
          </cell>
          <cell r="CP104" t="str">
            <v/>
          </cell>
          <cell r="CQ104">
            <v>41</v>
          </cell>
          <cell r="CR104">
            <v>87</v>
          </cell>
          <cell r="CS104" t="e">
            <v>#VALUE!</v>
          </cell>
          <cell r="CT104" t="str">
            <v/>
          </cell>
          <cell r="CU104">
            <v>35</v>
          </cell>
          <cell r="CV104">
            <v>74</v>
          </cell>
          <cell r="CW104" t="e">
            <v>#VALUE!</v>
          </cell>
          <cell r="CX104" t="str">
            <v/>
          </cell>
          <cell r="CY104">
            <v>59</v>
          </cell>
          <cell r="CZ104">
            <v>97</v>
          </cell>
          <cell r="DA104" t="e">
            <v>#VALUE!</v>
          </cell>
          <cell r="DB104" t="str">
            <v/>
          </cell>
          <cell r="DC104">
            <v>0</v>
          </cell>
          <cell r="DD104">
            <v>0</v>
          </cell>
          <cell r="DE104" t="e">
            <v>#VALUE!</v>
          </cell>
          <cell r="DF104" t="str">
            <v/>
          </cell>
          <cell r="DG104">
            <v>33</v>
          </cell>
          <cell r="DH104">
            <v>87</v>
          </cell>
          <cell r="DI104" t="e">
            <v>#VALUE!</v>
          </cell>
          <cell r="DJ104" t="str">
            <v/>
          </cell>
          <cell r="DK104">
            <v>29</v>
          </cell>
          <cell r="DL104">
            <v>88</v>
          </cell>
          <cell r="DM104" t="e">
            <v>#VALUE!</v>
          </cell>
          <cell r="DN104" t="str">
            <v/>
          </cell>
          <cell r="DO104">
            <v>35</v>
          </cell>
          <cell r="DP104">
            <v>92</v>
          </cell>
          <cell r="DQ104" t="e">
            <v>#VALUE!</v>
          </cell>
          <cell r="DR104" t="str">
            <v/>
          </cell>
          <cell r="DS104">
            <v>0</v>
          </cell>
          <cell r="DT104">
            <v>81</v>
          </cell>
          <cell r="DU104" t="e">
            <v>#VALUE!</v>
          </cell>
          <cell r="DV104" t="str">
            <v/>
          </cell>
          <cell r="DW104">
            <v>0</v>
          </cell>
          <cell r="DX104">
            <v>0</v>
          </cell>
          <cell r="DY104" t="e">
            <v>#VALUE!</v>
          </cell>
          <cell r="DZ104" t="str">
            <v/>
          </cell>
          <cell r="EA104">
            <v>0</v>
          </cell>
          <cell r="EB104">
            <v>86</v>
          </cell>
          <cell r="EC104" t="e">
            <v>#VALUE!</v>
          </cell>
          <cell r="ED104" t="str">
            <v/>
          </cell>
          <cell r="EE104">
            <v>0</v>
          </cell>
          <cell r="EF104">
            <v>94</v>
          </cell>
          <cell r="EG104" t="e">
            <v>#VALUE!</v>
          </cell>
          <cell r="EH104" t="str">
            <v/>
          </cell>
          <cell r="EI104">
            <v>0</v>
          </cell>
          <cell r="EJ104">
            <v>89</v>
          </cell>
          <cell r="EK104" t="e">
            <v>#VALUE!</v>
          </cell>
          <cell r="EL104" t="str">
            <v/>
          </cell>
          <cell r="EM104">
            <v>0</v>
          </cell>
          <cell r="EN104">
            <v>91</v>
          </cell>
          <cell r="EO104" t="e">
            <v>#VALUE!</v>
          </cell>
          <cell r="EP104" t="str">
            <v/>
          </cell>
          <cell r="EQ104">
            <v>0</v>
          </cell>
          <cell r="ER104">
            <v>0</v>
          </cell>
          <cell r="ES104" t="e">
            <v>#VALUE!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  <cell r="Q105" t="str">
            <v/>
          </cell>
          <cell r="R105" t="str">
            <v/>
          </cell>
          <cell r="S105" t="str">
            <v/>
          </cell>
          <cell r="T105" t="str">
            <v/>
          </cell>
          <cell r="U105" t="str">
            <v/>
          </cell>
          <cell r="V105" t="str">
            <v/>
          </cell>
          <cell r="W105" t="str">
            <v/>
          </cell>
          <cell r="X105" t="str">
            <v/>
          </cell>
          <cell r="Y105" t="str">
            <v/>
          </cell>
          <cell r="Z105" t="str">
            <v/>
          </cell>
          <cell r="AA105" t="str">
            <v/>
          </cell>
          <cell r="AB105" t="str">
            <v/>
          </cell>
          <cell r="AC105" t="str">
            <v/>
          </cell>
          <cell r="AD105" t="str">
            <v/>
          </cell>
          <cell r="AE105" t="str">
            <v/>
          </cell>
          <cell r="AF105" t="str">
            <v/>
          </cell>
          <cell r="AG105" t="str">
            <v/>
          </cell>
          <cell r="AH105" t="str">
            <v/>
          </cell>
          <cell r="AI105" t="str">
            <v/>
          </cell>
          <cell r="AJ105" t="str">
            <v/>
          </cell>
          <cell r="AK105" t="str">
            <v/>
          </cell>
          <cell r="AL105" t="str">
            <v/>
          </cell>
          <cell r="AM105" t="str">
            <v/>
          </cell>
          <cell r="AN105" t="str">
            <v/>
          </cell>
          <cell r="AO105" t="str">
            <v/>
          </cell>
          <cell r="AP105" t="str">
            <v/>
          </cell>
          <cell r="AQ105" t="str">
            <v/>
          </cell>
          <cell r="AR105" t="str">
            <v/>
          </cell>
          <cell r="AS105" t="str">
            <v/>
          </cell>
          <cell r="AT105" t="str">
            <v/>
          </cell>
          <cell r="AU105" t="str">
            <v/>
          </cell>
          <cell r="AV105" t="str">
            <v/>
          </cell>
          <cell r="AW105" t="str">
            <v/>
          </cell>
          <cell r="AX105" t="str">
            <v/>
          </cell>
          <cell r="AY105" t="str">
            <v/>
          </cell>
          <cell r="AZ105" t="str">
            <v/>
          </cell>
          <cell r="BA105" t="str">
            <v/>
          </cell>
          <cell r="BB105" t="str">
            <v/>
          </cell>
          <cell r="BC105" t="str">
            <v/>
          </cell>
          <cell r="BD105" t="str">
            <v/>
          </cell>
          <cell r="BE105" t="str">
            <v/>
          </cell>
          <cell r="BF105" t="str">
            <v/>
          </cell>
          <cell r="BG105" t="str">
            <v/>
          </cell>
          <cell r="BH105" t="str">
            <v/>
          </cell>
          <cell r="BI105" t="str">
            <v/>
          </cell>
          <cell r="BJ105" t="str">
            <v/>
          </cell>
          <cell r="BK105" t="str">
            <v/>
          </cell>
          <cell r="BL105" t="str">
            <v/>
          </cell>
          <cell r="BM105" t="str">
            <v/>
          </cell>
          <cell r="BN105" t="str">
            <v/>
          </cell>
          <cell r="BO105" t="str">
            <v/>
          </cell>
          <cell r="BP105" t="str">
            <v/>
          </cell>
          <cell r="BQ105" t="str">
            <v/>
          </cell>
          <cell r="BR105" t="str">
            <v/>
          </cell>
          <cell r="BS105" t="str">
            <v/>
          </cell>
          <cell r="BT105" t="str">
            <v/>
          </cell>
          <cell r="BU105" t="str">
            <v/>
          </cell>
          <cell r="BV105" t="str">
            <v/>
          </cell>
          <cell r="BW105" t="str">
            <v/>
          </cell>
          <cell r="BX105" t="str">
            <v/>
          </cell>
          <cell r="BY105" t="str">
            <v/>
          </cell>
          <cell r="BZ105" t="str">
            <v/>
          </cell>
          <cell r="CA105" t="str">
            <v/>
          </cell>
          <cell r="CB105" t="str">
            <v/>
          </cell>
          <cell r="CC105" t="str">
            <v/>
          </cell>
          <cell r="CD105" t="str">
            <v/>
          </cell>
          <cell r="CE105" t="str">
            <v/>
          </cell>
          <cell r="CF105" t="str">
            <v/>
          </cell>
          <cell r="CG105" t="str">
            <v/>
          </cell>
          <cell r="CH105" t="str">
            <v/>
          </cell>
          <cell r="CI105" t="str">
            <v/>
          </cell>
          <cell r="CJ105" t="str">
            <v/>
          </cell>
          <cell r="CK105" t="str">
            <v/>
          </cell>
          <cell r="CL105">
            <v>0</v>
          </cell>
          <cell r="CM105">
            <v>0</v>
          </cell>
          <cell r="CN105">
            <v>0</v>
          </cell>
          <cell r="CO105" t="str">
            <v>N.R</v>
          </cell>
          <cell r="CP105" t="str">
            <v/>
          </cell>
          <cell r="CQ105">
            <v>41</v>
          </cell>
          <cell r="CR105">
            <v>87</v>
          </cell>
          <cell r="CS105" t="e">
            <v>#VALUE!</v>
          </cell>
          <cell r="CT105" t="str">
            <v/>
          </cell>
          <cell r="CU105">
            <v>35</v>
          </cell>
          <cell r="CV105">
            <v>74</v>
          </cell>
          <cell r="CW105" t="e">
            <v>#VALUE!</v>
          </cell>
          <cell r="CX105" t="str">
            <v/>
          </cell>
          <cell r="CY105">
            <v>59</v>
          </cell>
          <cell r="CZ105">
            <v>97</v>
          </cell>
          <cell r="DA105" t="e">
            <v>#VALUE!</v>
          </cell>
          <cell r="DB105" t="str">
            <v/>
          </cell>
          <cell r="DC105">
            <v>0</v>
          </cell>
          <cell r="DD105">
            <v>0</v>
          </cell>
          <cell r="DE105" t="e">
            <v>#VALUE!</v>
          </cell>
          <cell r="DF105" t="str">
            <v/>
          </cell>
          <cell r="DG105">
            <v>33</v>
          </cell>
          <cell r="DH105">
            <v>87</v>
          </cell>
          <cell r="DI105" t="e">
            <v>#VALUE!</v>
          </cell>
          <cell r="DJ105" t="str">
            <v/>
          </cell>
          <cell r="DK105">
            <v>29</v>
          </cell>
          <cell r="DL105">
            <v>88</v>
          </cell>
          <cell r="DM105" t="e">
            <v>#VALUE!</v>
          </cell>
          <cell r="DN105" t="str">
            <v/>
          </cell>
          <cell r="DO105">
            <v>35</v>
          </cell>
          <cell r="DP105">
            <v>92</v>
          </cell>
          <cell r="DQ105" t="e">
            <v>#VALUE!</v>
          </cell>
          <cell r="DR105" t="str">
            <v/>
          </cell>
          <cell r="DS105">
            <v>0</v>
          </cell>
          <cell r="DT105">
            <v>81</v>
          </cell>
          <cell r="DU105" t="e">
            <v>#VALUE!</v>
          </cell>
          <cell r="DV105" t="str">
            <v/>
          </cell>
          <cell r="DW105">
            <v>0</v>
          </cell>
          <cell r="DX105">
            <v>0</v>
          </cell>
          <cell r="DY105" t="e">
            <v>#VALUE!</v>
          </cell>
          <cell r="DZ105" t="str">
            <v/>
          </cell>
          <cell r="EA105">
            <v>0</v>
          </cell>
          <cell r="EB105">
            <v>86</v>
          </cell>
          <cell r="EC105" t="e">
            <v>#VALUE!</v>
          </cell>
          <cell r="ED105" t="str">
            <v/>
          </cell>
          <cell r="EE105">
            <v>0</v>
          </cell>
          <cell r="EF105">
            <v>95</v>
          </cell>
          <cell r="EG105" t="e">
            <v>#VALUE!</v>
          </cell>
          <cell r="EH105" t="str">
            <v/>
          </cell>
          <cell r="EI105">
            <v>0</v>
          </cell>
          <cell r="EJ105">
            <v>89</v>
          </cell>
          <cell r="EK105" t="e">
            <v>#VALUE!</v>
          </cell>
          <cell r="EL105" t="str">
            <v/>
          </cell>
          <cell r="EM105">
            <v>0</v>
          </cell>
          <cell r="EN105">
            <v>91</v>
          </cell>
          <cell r="EO105" t="e">
            <v>#VALUE!</v>
          </cell>
          <cell r="EP105" t="str">
            <v/>
          </cell>
          <cell r="EQ105">
            <v>0</v>
          </cell>
          <cell r="ER105">
            <v>0</v>
          </cell>
          <cell r="ES105" t="e">
            <v>#VALUE!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 t="str">
            <v/>
          </cell>
          <cell r="P106" t="str">
            <v/>
          </cell>
          <cell r="Q106" t="str">
            <v/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  <cell r="V106" t="str">
            <v/>
          </cell>
          <cell r="W106" t="str">
            <v/>
          </cell>
          <cell r="X106" t="str">
            <v/>
          </cell>
          <cell r="Y106" t="str">
            <v/>
          </cell>
          <cell r="Z106" t="str">
            <v/>
          </cell>
          <cell r="AA106" t="str">
            <v/>
          </cell>
          <cell r="AB106" t="str">
            <v/>
          </cell>
          <cell r="AC106" t="str">
            <v/>
          </cell>
          <cell r="AD106" t="str">
            <v/>
          </cell>
          <cell r="AE106" t="str">
            <v/>
          </cell>
          <cell r="AF106" t="str">
            <v/>
          </cell>
          <cell r="AG106" t="str">
            <v/>
          </cell>
          <cell r="AH106" t="str">
            <v/>
          </cell>
          <cell r="AI106" t="str">
            <v/>
          </cell>
          <cell r="AJ106" t="str">
            <v/>
          </cell>
          <cell r="AK106" t="str">
            <v/>
          </cell>
          <cell r="AL106" t="str">
            <v/>
          </cell>
          <cell r="AM106" t="str">
            <v/>
          </cell>
          <cell r="AN106" t="str">
            <v/>
          </cell>
          <cell r="AO106" t="str">
            <v/>
          </cell>
          <cell r="AP106" t="str">
            <v/>
          </cell>
          <cell r="AQ106" t="str">
            <v/>
          </cell>
          <cell r="AR106" t="str">
            <v/>
          </cell>
          <cell r="AS106" t="str">
            <v/>
          </cell>
          <cell r="AT106" t="str">
            <v/>
          </cell>
          <cell r="AU106" t="str">
            <v/>
          </cell>
          <cell r="AV106" t="str">
            <v/>
          </cell>
          <cell r="AW106" t="str">
            <v/>
          </cell>
          <cell r="AX106" t="str">
            <v/>
          </cell>
          <cell r="AY106" t="str">
            <v/>
          </cell>
          <cell r="AZ106" t="str">
            <v/>
          </cell>
          <cell r="BA106" t="str">
            <v/>
          </cell>
          <cell r="BB106" t="str">
            <v/>
          </cell>
          <cell r="BC106" t="str">
            <v/>
          </cell>
          <cell r="BD106" t="str">
            <v/>
          </cell>
          <cell r="BE106" t="str">
            <v/>
          </cell>
          <cell r="BF106" t="str">
            <v/>
          </cell>
          <cell r="BG106" t="str">
            <v/>
          </cell>
          <cell r="BH106" t="str">
            <v/>
          </cell>
          <cell r="BI106" t="str">
            <v/>
          </cell>
          <cell r="BJ106" t="str">
            <v/>
          </cell>
          <cell r="BK106" t="str">
            <v/>
          </cell>
          <cell r="BL106" t="str">
            <v/>
          </cell>
          <cell r="BM106" t="str">
            <v/>
          </cell>
          <cell r="BN106" t="str">
            <v/>
          </cell>
          <cell r="BO106" t="str">
            <v/>
          </cell>
          <cell r="BP106" t="str">
            <v/>
          </cell>
          <cell r="BQ106" t="str">
            <v/>
          </cell>
          <cell r="BR106" t="str">
            <v/>
          </cell>
          <cell r="BS106" t="str">
            <v/>
          </cell>
          <cell r="BT106" t="str">
            <v/>
          </cell>
          <cell r="BU106" t="str">
            <v/>
          </cell>
          <cell r="BV106" t="str">
            <v/>
          </cell>
          <cell r="BW106" t="str">
            <v/>
          </cell>
          <cell r="BX106" t="str">
            <v/>
          </cell>
          <cell r="BY106" t="str">
            <v/>
          </cell>
          <cell r="BZ106" t="str">
            <v/>
          </cell>
          <cell r="CA106" t="str">
            <v/>
          </cell>
          <cell r="CB106" t="str">
            <v/>
          </cell>
          <cell r="CC106" t="str">
            <v/>
          </cell>
          <cell r="CD106" t="str">
            <v/>
          </cell>
          <cell r="CE106" t="str">
            <v/>
          </cell>
          <cell r="CF106" t="str">
            <v/>
          </cell>
          <cell r="CG106" t="str">
            <v/>
          </cell>
          <cell r="CH106" t="str">
            <v/>
          </cell>
          <cell r="CI106" t="str">
            <v/>
          </cell>
          <cell r="CJ106" t="str">
            <v/>
          </cell>
          <cell r="CK106" t="str">
            <v/>
          </cell>
          <cell r="CL106">
            <v>0</v>
          </cell>
          <cell r="CM106">
            <v>0</v>
          </cell>
          <cell r="CN106">
            <v>0</v>
          </cell>
          <cell r="CO106" t="str">
            <v>N.R</v>
          </cell>
          <cell r="CP106" t="str">
            <v/>
          </cell>
          <cell r="CQ106">
            <v>41</v>
          </cell>
          <cell r="CR106">
            <v>87</v>
          </cell>
          <cell r="CS106" t="e">
            <v>#VALUE!</v>
          </cell>
          <cell r="CT106" t="str">
            <v/>
          </cell>
          <cell r="CU106">
            <v>35</v>
          </cell>
          <cell r="CV106">
            <v>74</v>
          </cell>
          <cell r="CW106" t="e">
            <v>#VALUE!</v>
          </cell>
          <cell r="CX106" t="str">
            <v/>
          </cell>
          <cell r="CY106">
            <v>59</v>
          </cell>
          <cell r="CZ106">
            <v>97</v>
          </cell>
          <cell r="DA106" t="e">
            <v>#VALUE!</v>
          </cell>
          <cell r="DB106" t="str">
            <v/>
          </cell>
          <cell r="DC106">
            <v>0</v>
          </cell>
          <cell r="DD106">
            <v>0</v>
          </cell>
          <cell r="DE106" t="e">
            <v>#VALUE!</v>
          </cell>
          <cell r="DF106" t="str">
            <v/>
          </cell>
          <cell r="DG106">
            <v>33</v>
          </cell>
          <cell r="DH106">
            <v>87</v>
          </cell>
          <cell r="DI106" t="e">
            <v>#VALUE!</v>
          </cell>
          <cell r="DJ106" t="str">
            <v/>
          </cell>
          <cell r="DK106">
            <v>29</v>
          </cell>
          <cell r="DL106">
            <v>88</v>
          </cell>
          <cell r="DM106" t="e">
            <v>#VALUE!</v>
          </cell>
          <cell r="DN106" t="str">
            <v/>
          </cell>
          <cell r="DO106">
            <v>35</v>
          </cell>
          <cell r="DP106">
            <v>92</v>
          </cell>
          <cell r="DQ106" t="e">
            <v>#VALUE!</v>
          </cell>
          <cell r="DR106" t="str">
            <v/>
          </cell>
          <cell r="DS106">
            <v>0</v>
          </cell>
          <cell r="DT106">
            <v>81</v>
          </cell>
          <cell r="DU106" t="e">
            <v>#VALUE!</v>
          </cell>
          <cell r="DV106" t="str">
            <v/>
          </cell>
          <cell r="DW106">
            <v>0</v>
          </cell>
          <cell r="DX106">
            <v>0</v>
          </cell>
          <cell r="DY106" t="e">
            <v>#VALUE!</v>
          </cell>
          <cell r="DZ106" t="str">
            <v/>
          </cell>
          <cell r="EA106">
            <v>0</v>
          </cell>
          <cell r="EB106">
            <v>86</v>
          </cell>
          <cell r="EC106" t="e">
            <v>#VALUE!</v>
          </cell>
          <cell r="ED106" t="str">
            <v/>
          </cell>
          <cell r="EE106">
            <v>0</v>
          </cell>
          <cell r="EF106">
            <v>96</v>
          </cell>
          <cell r="EG106" t="e">
            <v>#VALUE!</v>
          </cell>
          <cell r="EH106" t="str">
            <v/>
          </cell>
          <cell r="EI106">
            <v>0</v>
          </cell>
          <cell r="EJ106">
            <v>89</v>
          </cell>
          <cell r="EK106" t="e">
            <v>#VALUE!</v>
          </cell>
          <cell r="EL106" t="str">
            <v/>
          </cell>
          <cell r="EM106">
            <v>0</v>
          </cell>
          <cell r="EN106">
            <v>91</v>
          </cell>
          <cell r="EO106" t="e">
            <v>#VALUE!</v>
          </cell>
          <cell r="EP106" t="str">
            <v/>
          </cell>
          <cell r="EQ106">
            <v>0</v>
          </cell>
          <cell r="ER106">
            <v>0</v>
          </cell>
          <cell r="ES106" t="e">
            <v>#VALUE!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  <cell r="V107" t="str">
            <v/>
          </cell>
          <cell r="W107" t="str">
            <v/>
          </cell>
          <cell r="X107" t="str">
            <v/>
          </cell>
          <cell r="Y107" t="str">
            <v/>
          </cell>
          <cell r="Z107" t="str">
            <v/>
          </cell>
          <cell r="AA107" t="str">
            <v/>
          </cell>
          <cell r="AB107" t="str">
            <v/>
          </cell>
          <cell r="AC107" t="str">
            <v/>
          </cell>
          <cell r="AD107" t="str">
            <v/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 t="str">
            <v/>
          </cell>
          <cell r="AL107" t="str">
            <v/>
          </cell>
          <cell r="AM107" t="str">
            <v/>
          </cell>
          <cell r="AN107" t="str">
            <v/>
          </cell>
          <cell r="AO107" t="str">
            <v/>
          </cell>
          <cell r="AP107" t="str">
            <v/>
          </cell>
          <cell r="AQ107" t="str">
            <v/>
          </cell>
          <cell r="AR107" t="str">
            <v/>
          </cell>
          <cell r="AS107" t="str">
            <v/>
          </cell>
          <cell r="AT107" t="str">
            <v/>
          </cell>
          <cell r="AU107" t="str">
            <v/>
          </cell>
          <cell r="AV107" t="str">
            <v/>
          </cell>
          <cell r="AW107" t="str">
            <v/>
          </cell>
          <cell r="AX107" t="str">
            <v/>
          </cell>
          <cell r="AY107" t="str">
            <v/>
          </cell>
          <cell r="AZ107" t="str">
            <v/>
          </cell>
          <cell r="BA107" t="str">
            <v/>
          </cell>
          <cell r="BB107" t="str">
            <v/>
          </cell>
          <cell r="BC107" t="str">
            <v/>
          </cell>
          <cell r="BD107" t="str">
            <v/>
          </cell>
          <cell r="BE107" t="str">
            <v/>
          </cell>
          <cell r="BF107" t="str">
            <v/>
          </cell>
          <cell r="BG107" t="str">
            <v/>
          </cell>
          <cell r="BH107" t="str">
            <v/>
          </cell>
          <cell r="BI107" t="str">
            <v/>
          </cell>
          <cell r="BJ107" t="str">
            <v/>
          </cell>
          <cell r="BK107" t="str">
            <v/>
          </cell>
          <cell r="BL107" t="str">
            <v/>
          </cell>
          <cell r="BM107" t="str">
            <v/>
          </cell>
          <cell r="BN107" t="str">
            <v/>
          </cell>
          <cell r="BO107" t="str">
            <v/>
          </cell>
          <cell r="BP107" t="str">
            <v/>
          </cell>
          <cell r="BQ107" t="str">
            <v/>
          </cell>
          <cell r="BR107" t="str">
            <v/>
          </cell>
          <cell r="BS107" t="str">
            <v/>
          </cell>
          <cell r="BT107" t="str">
            <v/>
          </cell>
          <cell r="BU107" t="str">
            <v/>
          </cell>
          <cell r="BV107" t="str">
            <v/>
          </cell>
          <cell r="BW107" t="str">
            <v/>
          </cell>
          <cell r="BX107" t="str">
            <v/>
          </cell>
          <cell r="BY107" t="str">
            <v/>
          </cell>
          <cell r="BZ107" t="str">
            <v/>
          </cell>
          <cell r="CA107" t="str">
            <v/>
          </cell>
          <cell r="CB107" t="str">
            <v/>
          </cell>
          <cell r="CC107" t="str">
            <v/>
          </cell>
          <cell r="CD107" t="str">
            <v/>
          </cell>
          <cell r="CE107" t="str">
            <v/>
          </cell>
          <cell r="CF107" t="str">
            <v/>
          </cell>
          <cell r="CG107" t="str">
            <v/>
          </cell>
          <cell r="CH107" t="str">
            <v/>
          </cell>
          <cell r="CI107" t="str">
            <v/>
          </cell>
          <cell r="CJ107" t="str">
            <v/>
          </cell>
          <cell r="CK107" t="str">
            <v/>
          </cell>
          <cell r="CL107">
            <v>0</v>
          </cell>
          <cell r="CM107">
            <v>0</v>
          </cell>
          <cell r="CN107">
            <v>0</v>
          </cell>
          <cell r="CO107" t="str">
            <v>N.R</v>
          </cell>
          <cell r="CP107" t="str">
            <v/>
          </cell>
          <cell r="CQ107">
            <v>41</v>
          </cell>
          <cell r="CR107">
            <v>87</v>
          </cell>
          <cell r="CS107" t="e">
            <v>#VALUE!</v>
          </cell>
          <cell r="CT107" t="str">
            <v/>
          </cell>
          <cell r="CU107">
            <v>35</v>
          </cell>
          <cell r="CV107">
            <v>74</v>
          </cell>
          <cell r="CW107" t="e">
            <v>#VALUE!</v>
          </cell>
          <cell r="CX107" t="str">
            <v/>
          </cell>
          <cell r="CY107">
            <v>59</v>
          </cell>
          <cell r="CZ107">
            <v>97</v>
          </cell>
          <cell r="DA107" t="e">
            <v>#VALUE!</v>
          </cell>
          <cell r="DB107" t="str">
            <v/>
          </cell>
          <cell r="DC107">
            <v>0</v>
          </cell>
          <cell r="DD107">
            <v>0</v>
          </cell>
          <cell r="DE107" t="e">
            <v>#VALUE!</v>
          </cell>
          <cell r="DF107" t="str">
            <v/>
          </cell>
          <cell r="DG107">
            <v>33</v>
          </cell>
          <cell r="DH107">
            <v>87</v>
          </cell>
          <cell r="DI107" t="e">
            <v>#VALUE!</v>
          </cell>
          <cell r="DJ107" t="str">
            <v/>
          </cell>
          <cell r="DK107">
            <v>29</v>
          </cell>
          <cell r="DL107">
            <v>88</v>
          </cell>
          <cell r="DM107" t="e">
            <v>#VALUE!</v>
          </cell>
          <cell r="DN107" t="str">
            <v/>
          </cell>
          <cell r="DO107">
            <v>35</v>
          </cell>
          <cell r="DP107">
            <v>92</v>
          </cell>
          <cell r="DQ107" t="e">
            <v>#VALUE!</v>
          </cell>
          <cell r="DR107" t="str">
            <v/>
          </cell>
          <cell r="DS107">
            <v>0</v>
          </cell>
          <cell r="DT107">
            <v>81</v>
          </cell>
          <cell r="DU107" t="e">
            <v>#VALUE!</v>
          </cell>
          <cell r="DV107" t="str">
            <v/>
          </cell>
          <cell r="DW107">
            <v>0</v>
          </cell>
          <cell r="DX107">
            <v>0</v>
          </cell>
          <cell r="DY107" t="e">
            <v>#VALUE!</v>
          </cell>
          <cell r="DZ107" t="str">
            <v/>
          </cell>
          <cell r="EA107">
            <v>0</v>
          </cell>
          <cell r="EB107">
            <v>86</v>
          </cell>
          <cell r="EC107" t="e">
            <v>#VALUE!</v>
          </cell>
          <cell r="ED107" t="str">
            <v/>
          </cell>
          <cell r="EE107">
            <v>0</v>
          </cell>
          <cell r="EF107">
            <v>97</v>
          </cell>
          <cell r="EG107" t="e">
            <v>#VALUE!</v>
          </cell>
          <cell r="EH107" t="str">
            <v/>
          </cell>
          <cell r="EI107">
            <v>0</v>
          </cell>
          <cell r="EJ107">
            <v>89</v>
          </cell>
          <cell r="EK107" t="e">
            <v>#VALUE!</v>
          </cell>
          <cell r="EL107" t="str">
            <v/>
          </cell>
          <cell r="EM107">
            <v>0</v>
          </cell>
          <cell r="EN107">
            <v>91</v>
          </cell>
          <cell r="EO107" t="e">
            <v>#VALUE!</v>
          </cell>
          <cell r="EP107" t="str">
            <v/>
          </cell>
          <cell r="EQ107">
            <v>0</v>
          </cell>
          <cell r="ER107">
            <v>0</v>
          </cell>
          <cell r="ES107" t="e">
            <v>#VALUE!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  <cell r="O108" t="str">
            <v/>
          </cell>
          <cell r="P108" t="str">
            <v/>
          </cell>
          <cell r="Q108" t="str">
            <v/>
          </cell>
          <cell r="R108" t="str">
            <v/>
          </cell>
          <cell r="S108" t="str">
            <v/>
          </cell>
          <cell r="T108" t="str">
            <v/>
          </cell>
          <cell r="U108" t="str">
            <v/>
          </cell>
          <cell r="V108" t="str">
            <v/>
          </cell>
          <cell r="W108" t="str">
            <v/>
          </cell>
          <cell r="X108" t="str">
            <v/>
          </cell>
          <cell r="Y108" t="str">
            <v/>
          </cell>
          <cell r="Z108" t="str">
            <v/>
          </cell>
          <cell r="AA108" t="str">
            <v/>
          </cell>
          <cell r="AB108" t="str">
            <v/>
          </cell>
          <cell r="AC108" t="str">
            <v/>
          </cell>
          <cell r="AD108" t="str">
            <v/>
          </cell>
          <cell r="AE108" t="str">
            <v/>
          </cell>
          <cell r="AF108" t="str">
            <v/>
          </cell>
          <cell r="AG108" t="str">
            <v/>
          </cell>
          <cell r="AH108" t="str">
            <v/>
          </cell>
          <cell r="AI108" t="str">
            <v/>
          </cell>
          <cell r="AJ108" t="str">
            <v/>
          </cell>
          <cell r="AK108" t="str">
            <v/>
          </cell>
          <cell r="AL108" t="str">
            <v/>
          </cell>
          <cell r="AM108" t="str">
            <v/>
          </cell>
          <cell r="AN108" t="str">
            <v/>
          </cell>
          <cell r="AO108" t="str">
            <v/>
          </cell>
          <cell r="AP108" t="str">
            <v/>
          </cell>
          <cell r="AQ108" t="str">
            <v/>
          </cell>
          <cell r="AR108" t="str">
            <v/>
          </cell>
          <cell r="AS108" t="str">
            <v/>
          </cell>
          <cell r="AT108" t="str">
            <v/>
          </cell>
          <cell r="AU108" t="str">
            <v/>
          </cell>
          <cell r="AV108" t="str">
            <v/>
          </cell>
          <cell r="AW108" t="str">
            <v/>
          </cell>
          <cell r="AX108" t="str">
            <v/>
          </cell>
          <cell r="AY108" t="str">
            <v/>
          </cell>
          <cell r="AZ108" t="str">
            <v/>
          </cell>
          <cell r="BA108" t="str">
            <v/>
          </cell>
          <cell r="BB108" t="str">
            <v/>
          </cell>
          <cell r="BC108" t="str">
            <v/>
          </cell>
          <cell r="BD108" t="str">
            <v/>
          </cell>
          <cell r="BE108" t="str">
            <v/>
          </cell>
          <cell r="BF108" t="str">
            <v/>
          </cell>
          <cell r="BG108" t="str">
            <v/>
          </cell>
          <cell r="BH108" t="str">
            <v/>
          </cell>
          <cell r="BI108" t="str">
            <v/>
          </cell>
          <cell r="BJ108" t="str">
            <v/>
          </cell>
          <cell r="BK108" t="str">
            <v/>
          </cell>
          <cell r="BL108" t="str">
            <v/>
          </cell>
          <cell r="BM108" t="str">
            <v/>
          </cell>
          <cell r="BN108" t="str">
            <v/>
          </cell>
          <cell r="BO108" t="str">
            <v/>
          </cell>
          <cell r="BP108" t="str">
            <v/>
          </cell>
          <cell r="BQ108" t="str">
            <v/>
          </cell>
          <cell r="BR108" t="str">
            <v/>
          </cell>
          <cell r="BS108" t="str">
            <v/>
          </cell>
          <cell r="BT108" t="str">
            <v/>
          </cell>
          <cell r="BU108" t="str">
            <v/>
          </cell>
          <cell r="BV108" t="str">
            <v/>
          </cell>
          <cell r="BW108" t="str">
            <v/>
          </cell>
          <cell r="BX108" t="str">
            <v/>
          </cell>
          <cell r="BY108" t="str">
            <v/>
          </cell>
          <cell r="BZ108" t="str">
            <v/>
          </cell>
          <cell r="CA108" t="str">
            <v/>
          </cell>
          <cell r="CB108" t="str">
            <v/>
          </cell>
          <cell r="CC108" t="str">
            <v/>
          </cell>
          <cell r="CD108" t="str">
            <v/>
          </cell>
          <cell r="CE108" t="str">
            <v/>
          </cell>
          <cell r="CF108" t="str">
            <v/>
          </cell>
          <cell r="CG108" t="str">
            <v/>
          </cell>
          <cell r="CH108" t="str">
            <v/>
          </cell>
          <cell r="CI108" t="str">
            <v/>
          </cell>
          <cell r="CJ108" t="str">
            <v/>
          </cell>
          <cell r="CK108" t="str">
            <v/>
          </cell>
          <cell r="CL108">
            <v>0</v>
          </cell>
          <cell r="CM108">
            <v>0</v>
          </cell>
          <cell r="CN108">
            <v>0</v>
          </cell>
          <cell r="CO108" t="str">
            <v>N.R</v>
          </cell>
          <cell r="CP108" t="str">
            <v/>
          </cell>
          <cell r="CQ108">
            <v>41</v>
          </cell>
          <cell r="CR108">
            <v>87</v>
          </cell>
          <cell r="CS108" t="e">
            <v>#VALUE!</v>
          </cell>
          <cell r="CT108" t="str">
            <v/>
          </cell>
          <cell r="CU108">
            <v>35</v>
          </cell>
          <cell r="CV108">
            <v>74</v>
          </cell>
          <cell r="CW108" t="e">
            <v>#VALUE!</v>
          </cell>
          <cell r="CX108" t="str">
            <v/>
          </cell>
          <cell r="CY108">
            <v>59</v>
          </cell>
          <cell r="CZ108">
            <v>97</v>
          </cell>
          <cell r="DA108" t="e">
            <v>#VALUE!</v>
          </cell>
          <cell r="DB108" t="str">
            <v/>
          </cell>
          <cell r="DC108">
            <v>0</v>
          </cell>
          <cell r="DD108">
            <v>0</v>
          </cell>
          <cell r="DE108" t="e">
            <v>#VALUE!</v>
          </cell>
          <cell r="DF108" t="str">
            <v/>
          </cell>
          <cell r="DG108">
            <v>33</v>
          </cell>
          <cell r="DH108">
            <v>87</v>
          </cell>
          <cell r="DI108" t="e">
            <v>#VALUE!</v>
          </cell>
          <cell r="DJ108" t="str">
            <v/>
          </cell>
          <cell r="DK108">
            <v>29</v>
          </cell>
          <cell r="DL108">
            <v>88</v>
          </cell>
          <cell r="DM108" t="e">
            <v>#VALUE!</v>
          </cell>
          <cell r="DN108" t="str">
            <v/>
          </cell>
          <cell r="DO108">
            <v>35</v>
          </cell>
          <cell r="DP108">
            <v>92</v>
          </cell>
          <cell r="DQ108" t="e">
            <v>#VALUE!</v>
          </cell>
          <cell r="DR108" t="str">
            <v/>
          </cell>
          <cell r="DS108">
            <v>0</v>
          </cell>
          <cell r="DT108">
            <v>81</v>
          </cell>
          <cell r="DU108" t="e">
            <v>#VALUE!</v>
          </cell>
          <cell r="DV108" t="str">
            <v/>
          </cell>
          <cell r="DW108">
            <v>0</v>
          </cell>
          <cell r="DX108">
            <v>0</v>
          </cell>
          <cell r="DY108" t="e">
            <v>#VALUE!</v>
          </cell>
          <cell r="DZ108" t="str">
            <v/>
          </cell>
          <cell r="EA108">
            <v>0</v>
          </cell>
          <cell r="EB108">
            <v>86</v>
          </cell>
          <cell r="EC108" t="e">
            <v>#VALUE!</v>
          </cell>
          <cell r="ED108" t="str">
            <v/>
          </cell>
          <cell r="EE108">
            <v>0</v>
          </cell>
          <cell r="EF108">
            <v>98</v>
          </cell>
          <cell r="EG108" t="e">
            <v>#VALUE!</v>
          </cell>
          <cell r="EH108" t="str">
            <v/>
          </cell>
          <cell r="EI108">
            <v>0</v>
          </cell>
          <cell r="EJ108">
            <v>89</v>
          </cell>
          <cell r="EK108" t="e">
            <v>#VALUE!</v>
          </cell>
          <cell r="EL108" t="str">
            <v/>
          </cell>
          <cell r="EM108">
            <v>0</v>
          </cell>
          <cell r="EN108">
            <v>91</v>
          </cell>
          <cell r="EO108" t="e">
            <v>#VALUE!</v>
          </cell>
          <cell r="EP108" t="str">
            <v/>
          </cell>
          <cell r="EQ108">
            <v>0</v>
          </cell>
          <cell r="ER108">
            <v>0</v>
          </cell>
          <cell r="ES108" t="e">
            <v>#VALUE!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  <cell r="V109" t="str">
            <v/>
          </cell>
          <cell r="W109" t="str">
            <v/>
          </cell>
          <cell r="X109" t="str">
            <v/>
          </cell>
          <cell r="Y109" t="str">
            <v/>
          </cell>
          <cell r="Z109" t="str">
            <v/>
          </cell>
          <cell r="AA109" t="str">
            <v/>
          </cell>
          <cell r="AB109" t="str">
            <v/>
          </cell>
          <cell r="AC109" t="str">
            <v/>
          </cell>
          <cell r="AD109" t="str">
            <v/>
          </cell>
          <cell r="AE109" t="str">
            <v/>
          </cell>
          <cell r="AF109" t="str">
            <v/>
          </cell>
          <cell r="AG109" t="str">
            <v/>
          </cell>
          <cell r="AH109" t="str">
            <v/>
          </cell>
          <cell r="AI109" t="str">
            <v/>
          </cell>
          <cell r="AJ109" t="str">
            <v/>
          </cell>
          <cell r="AK109" t="str">
            <v/>
          </cell>
          <cell r="AL109" t="str">
            <v/>
          </cell>
          <cell r="AM109" t="str">
            <v/>
          </cell>
          <cell r="AN109" t="str">
            <v/>
          </cell>
          <cell r="AO109" t="str">
            <v/>
          </cell>
          <cell r="AP109" t="str">
            <v/>
          </cell>
          <cell r="AQ109" t="str">
            <v/>
          </cell>
          <cell r="AR109" t="str">
            <v/>
          </cell>
          <cell r="AS109" t="str">
            <v/>
          </cell>
          <cell r="AT109" t="str">
            <v/>
          </cell>
          <cell r="AU109" t="str">
            <v/>
          </cell>
          <cell r="AV109" t="str">
            <v/>
          </cell>
          <cell r="AW109" t="str">
            <v/>
          </cell>
          <cell r="AX109" t="str">
            <v/>
          </cell>
          <cell r="AY109" t="str">
            <v/>
          </cell>
          <cell r="AZ109" t="str">
            <v/>
          </cell>
          <cell r="BA109" t="str">
            <v/>
          </cell>
          <cell r="BB109" t="str">
            <v/>
          </cell>
          <cell r="BC109" t="str">
            <v/>
          </cell>
          <cell r="BD109" t="str">
            <v/>
          </cell>
          <cell r="BE109" t="str">
            <v/>
          </cell>
          <cell r="BF109" t="str">
            <v/>
          </cell>
          <cell r="BG109" t="str">
            <v/>
          </cell>
          <cell r="BH109" t="str">
            <v/>
          </cell>
          <cell r="BI109" t="str">
            <v/>
          </cell>
          <cell r="BJ109" t="str">
            <v/>
          </cell>
          <cell r="BK109" t="str">
            <v/>
          </cell>
          <cell r="BL109" t="str">
            <v/>
          </cell>
          <cell r="BM109" t="str">
            <v/>
          </cell>
          <cell r="BN109" t="str">
            <v/>
          </cell>
          <cell r="BO109" t="str">
            <v/>
          </cell>
          <cell r="BP109" t="str">
            <v/>
          </cell>
          <cell r="BQ109" t="str">
            <v/>
          </cell>
          <cell r="BR109" t="str">
            <v/>
          </cell>
          <cell r="BS109" t="str">
            <v/>
          </cell>
          <cell r="BT109" t="str">
            <v/>
          </cell>
          <cell r="BU109" t="str">
            <v/>
          </cell>
          <cell r="BV109" t="str">
            <v/>
          </cell>
          <cell r="BW109" t="str">
            <v/>
          </cell>
          <cell r="BX109" t="str">
            <v/>
          </cell>
          <cell r="BY109" t="str">
            <v/>
          </cell>
          <cell r="BZ109" t="str">
            <v/>
          </cell>
          <cell r="CA109" t="str">
            <v/>
          </cell>
          <cell r="CB109" t="str">
            <v/>
          </cell>
          <cell r="CC109" t="str">
            <v/>
          </cell>
          <cell r="CD109" t="str">
            <v/>
          </cell>
          <cell r="CE109" t="str">
            <v/>
          </cell>
          <cell r="CF109" t="str">
            <v/>
          </cell>
          <cell r="CG109" t="str">
            <v/>
          </cell>
          <cell r="CH109" t="str">
            <v/>
          </cell>
          <cell r="CI109" t="str">
            <v/>
          </cell>
          <cell r="CJ109" t="str">
            <v/>
          </cell>
          <cell r="CK109" t="str">
            <v/>
          </cell>
          <cell r="CL109">
            <v>0</v>
          </cell>
          <cell r="CM109">
            <v>0</v>
          </cell>
          <cell r="CN109">
            <v>0</v>
          </cell>
          <cell r="CO109" t="str">
            <v>N.R</v>
          </cell>
          <cell r="CP109" t="str">
            <v/>
          </cell>
          <cell r="CQ109">
            <v>41</v>
          </cell>
          <cell r="CR109">
            <v>87</v>
          </cell>
          <cell r="CS109" t="e">
            <v>#VALUE!</v>
          </cell>
          <cell r="CT109" t="str">
            <v/>
          </cell>
          <cell r="CU109">
            <v>35</v>
          </cell>
          <cell r="CV109">
            <v>74</v>
          </cell>
          <cell r="CW109" t="e">
            <v>#VALUE!</v>
          </cell>
          <cell r="CX109" t="str">
            <v/>
          </cell>
          <cell r="CY109">
            <v>59</v>
          </cell>
          <cell r="CZ109">
            <v>97</v>
          </cell>
          <cell r="DA109" t="e">
            <v>#VALUE!</v>
          </cell>
          <cell r="DB109" t="str">
            <v/>
          </cell>
          <cell r="DC109">
            <v>0</v>
          </cell>
          <cell r="DD109">
            <v>0</v>
          </cell>
          <cell r="DE109" t="e">
            <v>#VALUE!</v>
          </cell>
          <cell r="DF109" t="str">
            <v/>
          </cell>
          <cell r="DG109">
            <v>33</v>
          </cell>
          <cell r="DH109">
            <v>87</v>
          </cell>
          <cell r="DI109" t="e">
            <v>#VALUE!</v>
          </cell>
          <cell r="DJ109" t="str">
            <v/>
          </cell>
          <cell r="DK109">
            <v>29</v>
          </cell>
          <cell r="DL109">
            <v>88</v>
          </cell>
          <cell r="DM109" t="e">
            <v>#VALUE!</v>
          </cell>
          <cell r="DN109" t="str">
            <v/>
          </cell>
          <cell r="DO109">
            <v>35</v>
          </cell>
          <cell r="DP109">
            <v>92</v>
          </cell>
          <cell r="DQ109" t="e">
            <v>#VALUE!</v>
          </cell>
          <cell r="DR109" t="str">
            <v/>
          </cell>
          <cell r="DS109">
            <v>0</v>
          </cell>
          <cell r="DT109">
            <v>81</v>
          </cell>
          <cell r="DU109" t="e">
            <v>#VALUE!</v>
          </cell>
          <cell r="DV109" t="str">
            <v/>
          </cell>
          <cell r="DW109">
            <v>0</v>
          </cell>
          <cell r="DX109">
            <v>0</v>
          </cell>
          <cell r="DY109" t="e">
            <v>#VALUE!</v>
          </cell>
          <cell r="DZ109" t="str">
            <v/>
          </cell>
          <cell r="EA109">
            <v>0</v>
          </cell>
          <cell r="EB109">
            <v>86</v>
          </cell>
          <cell r="EC109" t="e">
            <v>#VALUE!</v>
          </cell>
          <cell r="ED109" t="str">
            <v/>
          </cell>
          <cell r="EE109">
            <v>0</v>
          </cell>
          <cell r="EF109">
            <v>99</v>
          </cell>
          <cell r="EG109" t="e">
            <v>#VALUE!</v>
          </cell>
          <cell r="EH109" t="str">
            <v/>
          </cell>
          <cell r="EI109">
            <v>0</v>
          </cell>
          <cell r="EJ109">
            <v>89</v>
          </cell>
          <cell r="EK109" t="e">
            <v>#VALUE!</v>
          </cell>
          <cell r="EL109" t="str">
            <v/>
          </cell>
          <cell r="EM109">
            <v>0</v>
          </cell>
          <cell r="EN109">
            <v>91</v>
          </cell>
          <cell r="EO109" t="e">
            <v>#VALUE!</v>
          </cell>
          <cell r="EP109" t="str">
            <v/>
          </cell>
          <cell r="EQ109">
            <v>0</v>
          </cell>
          <cell r="ER109">
            <v>0</v>
          </cell>
          <cell r="ES109" t="e">
            <v>#VALUE!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 t="str">
            <v/>
          </cell>
          <cell r="P110" t="str">
            <v/>
          </cell>
          <cell r="Q110" t="str">
            <v/>
          </cell>
          <cell r="R110" t="str">
            <v/>
          </cell>
          <cell r="S110" t="str">
            <v/>
          </cell>
          <cell r="T110" t="str">
            <v/>
          </cell>
          <cell r="U110" t="str">
            <v/>
          </cell>
          <cell r="V110" t="str">
            <v/>
          </cell>
          <cell r="W110" t="str">
            <v/>
          </cell>
          <cell r="X110" t="str">
            <v/>
          </cell>
          <cell r="Y110" t="str">
            <v/>
          </cell>
          <cell r="Z110" t="str">
            <v/>
          </cell>
          <cell r="AA110" t="str">
            <v/>
          </cell>
          <cell r="AB110" t="str">
            <v/>
          </cell>
          <cell r="AC110" t="str">
            <v/>
          </cell>
          <cell r="AD110" t="str">
            <v/>
          </cell>
          <cell r="AE110" t="str">
            <v/>
          </cell>
          <cell r="AF110" t="str">
            <v/>
          </cell>
          <cell r="AG110" t="str">
            <v/>
          </cell>
          <cell r="AH110" t="str">
            <v/>
          </cell>
          <cell r="AI110" t="str">
            <v/>
          </cell>
          <cell r="AJ110" t="str">
            <v/>
          </cell>
          <cell r="AK110" t="str">
            <v/>
          </cell>
          <cell r="AL110" t="str">
            <v/>
          </cell>
          <cell r="AM110" t="str">
            <v/>
          </cell>
          <cell r="AN110" t="str">
            <v/>
          </cell>
          <cell r="AO110" t="str">
            <v/>
          </cell>
          <cell r="AP110" t="str">
            <v/>
          </cell>
          <cell r="AQ110" t="str">
            <v/>
          </cell>
          <cell r="AR110" t="str">
            <v/>
          </cell>
          <cell r="AS110" t="str">
            <v/>
          </cell>
          <cell r="AT110" t="str">
            <v/>
          </cell>
          <cell r="AU110" t="str">
            <v/>
          </cell>
          <cell r="AV110" t="str">
            <v/>
          </cell>
          <cell r="AW110" t="str">
            <v/>
          </cell>
          <cell r="AX110" t="str">
            <v/>
          </cell>
          <cell r="AY110" t="str">
            <v/>
          </cell>
          <cell r="AZ110" t="str">
            <v/>
          </cell>
          <cell r="BA110" t="str">
            <v/>
          </cell>
          <cell r="BB110" t="str">
            <v/>
          </cell>
          <cell r="BC110" t="str">
            <v/>
          </cell>
          <cell r="BD110" t="str">
            <v/>
          </cell>
          <cell r="BE110" t="str">
            <v/>
          </cell>
          <cell r="BF110" t="str">
            <v/>
          </cell>
          <cell r="BG110" t="str">
            <v/>
          </cell>
          <cell r="BH110" t="str">
            <v/>
          </cell>
          <cell r="BI110" t="str">
            <v/>
          </cell>
          <cell r="BJ110" t="str">
            <v/>
          </cell>
          <cell r="BK110" t="str">
            <v/>
          </cell>
          <cell r="BL110" t="str">
            <v/>
          </cell>
          <cell r="BM110" t="str">
            <v/>
          </cell>
          <cell r="BN110" t="str">
            <v/>
          </cell>
          <cell r="BO110" t="str">
            <v/>
          </cell>
          <cell r="BP110" t="str">
            <v/>
          </cell>
          <cell r="BQ110" t="str">
            <v/>
          </cell>
          <cell r="BR110" t="str">
            <v/>
          </cell>
          <cell r="BS110" t="str">
            <v/>
          </cell>
          <cell r="BT110" t="str">
            <v/>
          </cell>
          <cell r="BU110" t="str">
            <v/>
          </cell>
          <cell r="BV110" t="str">
            <v/>
          </cell>
          <cell r="BW110" t="str">
            <v/>
          </cell>
          <cell r="BX110" t="str">
            <v/>
          </cell>
          <cell r="BY110" t="str">
            <v/>
          </cell>
          <cell r="BZ110" t="str">
            <v/>
          </cell>
          <cell r="CA110" t="str">
            <v/>
          </cell>
          <cell r="CB110" t="str">
            <v/>
          </cell>
          <cell r="CC110" t="str">
            <v/>
          </cell>
          <cell r="CD110" t="str">
            <v/>
          </cell>
          <cell r="CE110" t="str">
            <v/>
          </cell>
          <cell r="CF110" t="str">
            <v/>
          </cell>
          <cell r="CG110" t="str">
            <v/>
          </cell>
          <cell r="CH110" t="str">
            <v/>
          </cell>
          <cell r="CI110" t="str">
            <v/>
          </cell>
          <cell r="CJ110" t="str">
            <v/>
          </cell>
          <cell r="CK110" t="str">
            <v/>
          </cell>
          <cell r="CL110">
            <v>0</v>
          </cell>
          <cell r="CM110">
            <v>0</v>
          </cell>
          <cell r="CN110">
            <v>0</v>
          </cell>
          <cell r="CO110" t="str">
            <v>N.R</v>
          </cell>
          <cell r="CP110" t="str">
            <v/>
          </cell>
          <cell r="CQ110">
            <v>41</v>
          </cell>
          <cell r="CR110">
            <v>87</v>
          </cell>
          <cell r="CS110" t="e">
            <v>#VALUE!</v>
          </cell>
          <cell r="CT110" t="str">
            <v/>
          </cell>
          <cell r="CU110">
            <v>35</v>
          </cell>
          <cell r="CV110">
            <v>74</v>
          </cell>
          <cell r="CW110" t="e">
            <v>#VALUE!</v>
          </cell>
          <cell r="CX110" t="str">
            <v/>
          </cell>
          <cell r="CY110">
            <v>59</v>
          </cell>
          <cell r="CZ110">
            <v>97</v>
          </cell>
          <cell r="DA110" t="e">
            <v>#VALUE!</v>
          </cell>
          <cell r="DB110" t="str">
            <v/>
          </cell>
          <cell r="DC110">
            <v>0</v>
          </cell>
          <cell r="DD110">
            <v>0</v>
          </cell>
          <cell r="DE110" t="e">
            <v>#VALUE!</v>
          </cell>
          <cell r="DF110" t="str">
            <v/>
          </cell>
          <cell r="DG110">
            <v>33</v>
          </cell>
          <cell r="DH110">
            <v>87</v>
          </cell>
          <cell r="DI110" t="e">
            <v>#VALUE!</v>
          </cell>
          <cell r="DJ110" t="str">
            <v/>
          </cell>
          <cell r="DK110">
            <v>29</v>
          </cell>
          <cell r="DL110">
            <v>88</v>
          </cell>
          <cell r="DM110" t="e">
            <v>#VALUE!</v>
          </cell>
          <cell r="DN110" t="str">
            <v/>
          </cell>
          <cell r="DO110">
            <v>35</v>
          </cell>
          <cell r="DP110">
            <v>92</v>
          </cell>
          <cell r="DQ110" t="e">
            <v>#VALUE!</v>
          </cell>
          <cell r="DR110" t="str">
            <v/>
          </cell>
          <cell r="DS110">
            <v>0</v>
          </cell>
          <cell r="DT110">
            <v>81</v>
          </cell>
          <cell r="DU110" t="e">
            <v>#VALUE!</v>
          </cell>
          <cell r="DV110" t="str">
            <v/>
          </cell>
          <cell r="DW110">
            <v>0</v>
          </cell>
          <cell r="DX110">
            <v>0</v>
          </cell>
          <cell r="DY110" t="e">
            <v>#VALUE!</v>
          </cell>
          <cell r="DZ110" t="str">
            <v/>
          </cell>
          <cell r="EA110">
            <v>0</v>
          </cell>
          <cell r="EB110">
            <v>86</v>
          </cell>
          <cell r="EC110" t="e">
            <v>#VALUE!</v>
          </cell>
          <cell r="ED110" t="str">
            <v/>
          </cell>
          <cell r="EE110">
            <v>0</v>
          </cell>
          <cell r="EF110">
            <v>100</v>
          </cell>
          <cell r="EG110" t="e">
            <v>#VALUE!</v>
          </cell>
          <cell r="EH110" t="str">
            <v/>
          </cell>
          <cell r="EI110">
            <v>0</v>
          </cell>
          <cell r="EJ110">
            <v>89</v>
          </cell>
          <cell r="EK110" t="e">
            <v>#VALUE!</v>
          </cell>
          <cell r="EL110" t="str">
            <v/>
          </cell>
          <cell r="EM110">
            <v>0</v>
          </cell>
          <cell r="EN110">
            <v>91</v>
          </cell>
          <cell r="EO110" t="e">
            <v>#VALUE!</v>
          </cell>
          <cell r="EP110" t="str">
            <v/>
          </cell>
          <cell r="EQ110">
            <v>0</v>
          </cell>
          <cell r="ER110">
            <v>0</v>
          </cell>
          <cell r="ES110" t="e">
            <v>#VALUE!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  <cell r="Q111" t="str">
            <v/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  <cell r="V111" t="str">
            <v/>
          </cell>
          <cell r="W111" t="str">
            <v/>
          </cell>
          <cell r="X111" t="str">
            <v/>
          </cell>
          <cell r="Y111" t="str">
            <v/>
          </cell>
          <cell r="Z111" t="str">
            <v/>
          </cell>
          <cell r="AA111" t="str">
            <v/>
          </cell>
          <cell r="AB111" t="str">
            <v/>
          </cell>
          <cell r="AC111" t="str">
            <v/>
          </cell>
          <cell r="AD111" t="str">
            <v/>
          </cell>
          <cell r="AE111" t="str">
            <v/>
          </cell>
          <cell r="AF111" t="str">
            <v/>
          </cell>
          <cell r="AG111" t="str">
            <v/>
          </cell>
          <cell r="AH111" t="str">
            <v/>
          </cell>
          <cell r="AI111" t="str">
            <v/>
          </cell>
          <cell r="AJ111" t="str">
            <v/>
          </cell>
          <cell r="AK111" t="str">
            <v/>
          </cell>
          <cell r="AL111" t="str">
            <v/>
          </cell>
          <cell r="AM111" t="str">
            <v/>
          </cell>
          <cell r="AN111" t="str">
            <v/>
          </cell>
          <cell r="AO111" t="str">
            <v/>
          </cell>
          <cell r="AP111" t="str">
            <v/>
          </cell>
          <cell r="AQ111" t="str">
            <v/>
          </cell>
          <cell r="AR111" t="str">
            <v/>
          </cell>
          <cell r="AS111" t="str">
            <v/>
          </cell>
          <cell r="AT111" t="str">
            <v/>
          </cell>
          <cell r="AU111" t="str">
            <v/>
          </cell>
          <cell r="AV111" t="str">
            <v/>
          </cell>
          <cell r="AW111" t="str">
            <v/>
          </cell>
          <cell r="AX111" t="str">
            <v/>
          </cell>
          <cell r="AY111" t="str">
            <v/>
          </cell>
          <cell r="AZ111" t="str">
            <v/>
          </cell>
          <cell r="BA111" t="str">
            <v/>
          </cell>
          <cell r="BB111" t="str">
            <v/>
          </cell>
          <cell r="BC111" t="str">
            <v/>
          </cell>
          <cell r="BD111" t="str">
            <v/>
          </cell>
          <cell r="BE111" t="str">
            <v/>
          </cell>
          <cell r="BF111" t="str">
            <v/>
          </cell>
          <cell r="BG111" t="str">
            <v/>
          </cell>
          <cell r="BH111" t="str">
            <v/>
          </cell>
          <cell r="BI111" t="str">
            <v/>
          </cell>
          <cell r="BJ111" t="str">
            <v/>
          </cell>
          <cell r="BK111" t="str">
            <v/>
          </cell>
          <cell r="BL111" t="str">
            <v/>
          </cell>
          <cell r="BM111" t="str">
            <v/>
          </cell>
          <cell r="BN111" t="str">
            <v/>
          </cell>
          <cell r="BO111" t="str">
            <v/>
          </cell>
          <cell r="BP111" t="str">
            <v/>
          </cell>
          <cell r="BQ111" t="str">
            <v/>
          </cell>
          <cell r="BR111" t="str">
            <v/>
          </cell>
          <cell r="BS111" t="str">
            <v/>
          </cell>
          <cell r="BT111" t="str">
            <v/>
          </cell>
          <cell r="BU111" t="str">
            <v/>
          </cell>
          <cell r="BV111" t="str">
            <v/>
          </cell>
          <cell r="BW111" t="str">
            <v/>
          </cell>
          <cell r="BX111" t="str">
            <v/>
          </cell>
          <cell r="BY111" t="str">
            <v/>
          </cell>
          <cell r="BZ111" t="str">
            <v/>
          </cell>
          <cell r="CA111" t="str">
            <v/>
          </cell>
          <cell r="CB111" t="str">
            <v/>
          </cell>
          <cell r="CC111" t="str">
            <v/>
          </cell>
          <cell r="CD111" t="str">
            <v/>
          </cell>
          <cell r="CE111" t="str">
            <v/>
          </cell>
          <cell r="CF111" t="str">
            <v/>
          </cell>
          <cell r="CG111" t="str">
            <v/>
          </cell>
          <cell r="CH111" t="str">
            <v/>
          </cell>
          <cell r="CI111" t="str">
            <v/>
          </cell>
          <cell r="CJ111" t="str">
            <v/>
          </cell>
          <cell r="CK111" t="str">
            <v/>
          </cell>
          <cell r="CL111">
            <v>0</v>
          </cell>
          <cell r="CM111">
            <v>0</v>
          </cell>
          <cell r="CN111">
            <v>0</v>
          </cell>
          <cell r="CO111" t="str">
            <v>N.R</v>
          </cell>
          <cell r="CP111" t="str">
            <v/>
          </cell>
          <cell r="CQ111">
            <v>41</v>
          </cell>
          <cell r="CR111">
            <v>87</v>
          </cell>
          <cell r="CS111" t="e">
            <v>#VALUE!</v>
          </cell>
          <cell r="CT111" t="str">
            <v/>
          </cell>
          <cell r="CU111">
            <v>35</v>
          </cell>
          <cell r="CV111">
            <v>74</v>
          </cell>
          <cell r="CW111" t="e">
            <v>#VALUE!</v>
          </cell>
          <cell r="CX111" t="str">
            <v/>
          </cell>
          <cell r="CY111">
            <v>59</v>
          </cell>
          <cell r="CZ111">
            <v>97</v>
          </cell>
          <cell r="DA111" t="e">
            <v>#VALUE!</v>
          </cell>
          <cell r="DB111" t="str">
            <v/>
          </cell>
          <cell r="DC111">
            <v>0</v>
          </cell>
          <cell r="DD111">
            <v>0</v>
          </cell>
          <cell r="DE111" t="e">
            <v>#VALUE!</v>
          </cell>
          <cell r="DF111" t="str">
            <v/>
          </cell>
          <cell r="DG111">
            <v>33</v>
          </cell>
          <cell r="DH111">
            <v>87</v>
          </cell>
          <cell r="DI111" t="e">
            <v>#VALUE!</v>
          </cell>
          <cell r="DJ111" t="str">
            <v/>
          </cell>
          <cell r="DK111">
            <v>29</v>
          </cell>
          <cell r="DL111">
            <v>88</v>
          </cell>
          <cell r="DM111" t="e">
            <v>#VALUE!</v>
          </cell>
          <cell r="DN111" t="str">
            <v/>
          </cell>
          <cell r="DO111">
            <v>35</v>
          </cell>
          <cell r="DP111">
            <v>92</v>
          </cell>
          <cell r="DQ111" t="e">
            <v>#VALUE!</v>
          </cell>
          <cell r="DR111" t="str">
            <v/>
          </cell>
          <cell r="DS111">
            <v>0</v>
          </cell>
          <cell r="DT111">
            <v>81</v>
          </cell>
          <cell r="DU111" t="e">
            <v>#VALUE!</v>
          </cell>
          <cell r="DV111" t="str">
            <v/>
          </cell>
          <cell r="DW111">
            <v>0</v>
          </cell>
          <cell r="DX111">
            <v>0</v>
          </cell>
          <cell r="DY111" t="e">
            <v>#VALUE!</v>
          </cell>
          <cell r="DZ111" t="str">
            <v/>
          </cell>
          <cell r="EA111">
            <v>0</v>
          </cell>
          <cell r="EB111">
            <v>86</v>
          </cell>
          <cell r="EC111" t="e">
            <v>#VALUE!</v>
          </cell>
          <cell r="ED111" t="str">
            <v/>
          </cell>
          <cell r="EE111">
            <v>0</v>
          </cell>
          <cell r="EF111">
            <v>101</v>
          </cell>
          <cell r="EG111" t="e">
            <v>#VALUE!</v>
          </cell>
          <cell r="EH111" t="str">
            <v/>
          </cell>
          <cell r="EI111">
            <v>0</v>
          </cell>
          <cell r="EJ111">
            <v>89</v>
          </cell>
          <cell r="EK111" t="e">
            <v>#VALUE!</v>
          </cell>
          <cell r="EL111" t="str">
            <v/>
          </cell>
          <cell r="EM111">
            <v>0</v>
          </cell>
          <cell r="EN111">
            <v>91</v>
          </cell>
          <cell r="EO111" t="e">
            <v>#VALUE!</v>
          </cell>
          <cell r="EP111" t="str">
            <v/>
          </cell>
          <cell r="EQ111">
            <v>0</v>
          </cell>
          <cell r="ER111">
            <v>0</v>
          </cell>
          <cell r="ES111" t="e">
            <v>#VALUE!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  <cell r="Q112" t="str">
            <v/>
          </cell>
          <cell r="R112" t="str">
            <v/>
          </cell>
          <cell r="S112" t="str">
            <v/>
          </cell>
          <cell r="T112" t="str">
            <v/>
          </cell>
          <cell r="U112" t="str">
            <v/>
          </cell>
          <cell r="V112" t="str">
            <v/>
          </cell>
          <cell r="W112" t="str">
            <v/>
          </cell>
          <cell r="X112" t="str">
            <v/>
          </cell>
          <cell r="Y112" t="str">
            <v/>
          </cell>
          <cell r="Z112" t="str">
            <v/>
          </cell>
          <cell r="AA112" t="str">
            <v/>
          </cell>
          <cell r="AB112" t="str">
            <v/>
          </cell>
          <cell r="AC112" t="str">
            <v/>
          </cell>
          <cell r="AD112" t="str">
            <v/>
          </cell>
          <cell r="AE112" t="str">
            <v/>
          </cell>
          <cell r="AF112" t="str">
            <v/>
          </cell>
          <cell r="AG112" t="str">
            <v/>
          </cell>
          <cell r="AH112" t="str">
            <v/>
          </cell>
          <cell r="AI112" t="str">
            <v/>
          </cell>
          <cell r="AJ112" t="str">
            <v/>
          </cell>
          <cell r="AK112" t="str">
            <v/>
          </cell>
          <cell r="AL112" t="str">
            <v/>
          </cell>
          <cell r="AM112" t="str">
            <v/>
          </cell>
          <cell r="AN112" t="str">
            <v/>
          </cell>
          <cell r="AO112" t="str">
            <v/>
          </cell>
          <cell r="AP112" t="str">
            <v/>
          </cell>
          <cell r="AQ112" t="str">
            <v/>
          </cell>
          <cell r="AR112" t="str">
            <v/>
          </cell>
          <cell r="AS112" t="str">
            <v/>
          </cell>
          <cell r="AT112" t="str">
            <v/>
          </cell>
          <cell r="AU112" t="str">
            <v/>
          </cell>
          <cell r="AV112" t="str">
            <v/>
          </cell>
          <cell r="AW112" t="str">
            <v/>
          </cell>
          <cell r="AX112" t="str">
            <v/>
          </cell>
          <cell r="AY112" t="str">
            <v/>
          </cell>
          <cell r="AZ112" t="str">
            <v/>
          </cell>
          <cell r="BA112" t="str">
            <v/>
          </cell>
          <cell r="BB112" t="str">
            <v/>
          </cell>
          <cell r="BC112" t="str">
            <v/>
          </cell>
          <cell r="BD112" t="str">
            <v/>
          </cell>
          <cell r="BE112" t="str">
            <v/>
          </cell>
          <cell r="BF112" t="str">
            <v/>
          </cell>
          <cell r="BG112" t="str">
            <v/>
          </cell>
          <cell r="BH112" t="str">
            <v/>
          </cell>
          <cell r="BI112" t="str">
            <v/>
          </cell>
          <cell r="BJ112" t="str">
            <v/>
          </cell>
          <cell r="BK112" t="str">
            <v/>
          </cell>
          <cell r="BL112" t="str">
            <v/>
          </cell>
          <cell r="BM112" t="str">
            <v/>
          </cell>
          <cell r="BN112" t="str">
            <v/>
          </cell>
          <cell r="BO112" t="str">
            <v/>
          </cell>
          <cell r="BP112" t="str">
            <v/>
          </cell>
          <cell r="BQ112" t="str">
            <v/>
          </cell>
          <cell r="BR112" t="str">
            <v/>
          </cell>
          <cell r="BS112" t="str">
            <v/>
          </cell>
          <cell r="BT112" t="str">
            <v/>
          </cell>
          <cell r="BU112" t="str">
            <v/>
          </cell>
          <cell r="BV112" t="str">
            <v/>
          </cell>
          <cell r="BW112" t="str">
            <v/>
          </cell>
          <cell r="BX112" t="str">
            <v/>
          </cell>
          <cell r="BY112" t="str">
            <v/>
          </cell>
          <cell r="BZ112" t="str">
            <v/>
          </cell>
          <cell r="CA112" t="str">
            <v/>
          </cell>
          <cell r="CB112" t="str">
            <v/>
          </cell>
          <cell r="CC112" t="str">
            <v/>
          </cell>
          <cell r="CD112" t="str">
            <v/>
          </cell>
          <cell r="CE112" t="str">
            <v/>
          </cell>
          <cell r="CF112" t="str">
            <v/>
          </cell>
          <cell r="CG112" t="str">
            <v/>
          </cell>
          <cell r="CH112" t="str">
            <v/>
          </cell>
          <cell r="CI112" t="str">
            <v/>
          </cell>
          <cell r="CJ112" t="str">
            <v/>
          </cell>
          <cell r="CK112" t="str">
            <v/>
          </cell>
          <cell r="CL112">
            <v>0</v>
          </cell>
          <cell r="CM112">
            <v>0</v>
          </cell>
          <cell r="CN112">
            <v>0</v>
          </cell>
          <cell r="CO112" t="str">
            <v>N.R</v>
          </cell>
          <cell r="CP112" t="str">
            <v/>
          </cell>
          <cell r="CQ112">
            <v>41</v>
          </cell>
          <cell r="CR112">
            <v>87</v>
          </cell>
          <cell r="CS112" t="e">
            <v>#VALUE!</v>
          </cell>
          <cell r="CT112" t="str">
            <v/>
          </cell>
          <cell r="CU112">
            <v>35</v>
          </cell>
          <cell r="CV112">
            <v>74</v>
          </cell>
          <cell r="CW112" t="e">
            <v>#VALUE!</v>
          </cell>
          <cell r="CX112" t="str">
            <v/>
          </cell>
          <cell r="CY112">
            <v>59</v>
          </cell>
          <cell r="CZ112">
            <v>97</v>
          </cell>
          <cell r="DA112" t="e">
            <v>#VALUE!</v>
          </cell>
          <cell r="DB112" t="str">
            <v/>
          </cell>
          <cell r="DC112">
            <v>0</v>
          </cell>
          <cell r="DD112">
            <v>0</v>
          </cell>
          <cell r="DE112" t="e">
            <v>#VALUE!</v>
          </cell>
          <cell r="DF112" t="str">
            <v/>
          </cell>
          <cell r="DG112">
            <v>33</v>
          </cell>
          <cell r="DH112">
            <v>87</v>
          </cell>
          <cell r="DI112" t="e">
            <v>#VALUE!</v>
          </cell>
          <cell r="DJ112" t="str">
            <v/>
          </cell>
          <cell r="DK112">
            <v>29</v>
          </cell>
          <cell r="DL112">
            <v>88</v>
          </cell>
          <cell r="DM112" t="e">
            <v>#VALUE!</v>
          </cell>
          <cell r="DN112" t="str">
            <v/>
          </cell>
          <cell r="DO112">
            <v>35</v>
          </cell>
          <cell r="DP112">
            <v>92</v>
          </cell>
          <cell r="DQ112" t="e">
            <v>#VALUE!</v>
          </cell>
          <cell r="DR112" t="str">
            <v/>
          </cell>
          <cell r="DS112">
            <v>0</v>
          </cell>
          <cell r="DT112">
            <v>81</v>
          </cell>
          <cell r="DU112" t="e">
            <v>#VALUE!</v>
          </cell>
          <cell r="DV112" t="str">
            <v/>
          </cell>
          <cell r="DW112">
            <v>0</v>
          </cell>
          <cell r="DX112">
            <v>0</v>
          </cell>
          <cell r="DY112" t="e">
            <v>#VALUE!</v>
          </cell>
          <cell r="DZ112" t="str">
            <v/>
          </cell>
          <cell r="EA112">
            <v>0</v>
          </cell>
          <cell r="EB112">
            <v>86</v>
          </cell>
          <cell r="EC112" t="e">
            <v>#VALUE!</v>
          </cell>
          <cell r="ED112" t="str">
            <v/>
          </cell>
          <cell r="EE112">
            <v>0</v>
          </cell>
          <cell r="EF112">
            <v>102</v>
          </cell>
          <cell r="EG112" t="e">
            <v>#VALUE!</v>
          </cell>
          <cell r="EH112" t="str">
            <v/>
          </cell>
          <cell r="EI112">
            <v>0</v>
          </cell>
          <cell r="EJ112">
            <v>89</v>
          </cell>
          <cell r="EK112" t="e">
            <v>#VALUE!</v>
          </cell>
          <cell r="EL112" t="str">
            <v/>
          </cell>
          <cell r="EM112">
            <v>0</v>
          </cell>
          <cell r="EN112">
            <v>91</v>
          </cell>
          <cell r="EO112" t="e">
            <v>#VALUE!</v>
          </cell>
          <cell r="EP112" t="str">
            <v/>
          </cell>
          <cell r="EQ112">
            <v>0</v>
          </cell>
          <cell r="ER112">
            <v>0</v>
          </cell>
          <cell r="ES112" t="e">
            <v>#VALUE!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  <cell r="O113" t="str">
            <v/>
          </cell>
          <cell r="P113" t="str">
            <v/>
          </cell>
          <cell r="Q113" t="str">
            <v/>
          </cell>
          <cell r="R113" t="str">
            <v/>
          </cell>
          <cell r="S113" t="str">
            <v/>
          </cell>
          <cell r="T113" t="str">
            <v/>
          </cell>
          <cell r="U113" t="str">
            <v/>
          </cell>
          <cell r="V113" t="str">
            <v/>
          </cell>
          <cell r="W113" t="str">
            <v/>
          </cell>
          <cell r="X113" t="str">
            <v/>
          </cell>
          <cell r="Y113" t="str">
            <v/>
          </cell>
          <cell r="Z113" t="str">
            <v/>
          </cell>
          <cell r="AA113" t="str">
            <v/>
          </cell>
          <cell r="AB113" t="str">
            <v/>
          </cell>
          <cell r="AC113" t="str">
            <v/>
          </cell>
          <cell r="AD113" t="str">
            <v/>
          </cell>
          <cell r="AE113" t="str">
            <v/>
          </cell>
          <cell r="AF113" t="str">
            <v/>
          </cell>
          <cell r="AG113" t="str">
            <v/>
          </cell>
          <cell r="AH113" t="str">
            <v/>
          </cell>
          <cell r="AI113" t="str">
            <v/>
          </cell>
          <cell r="AJ113" t="str">
            <v/>
          </cell>
          <cell r="AK113" t="str">
            <v/>
          </cell>
          <cell r="AL113" t="str">
            <v/>
          </cell>
          <cell r="AM113" t="str">
            <v/>
          </cell>
          <cell r="AN113" t="str">
            <v/>
          </cell>
          <cell r="AO113" t="str">
            <v/>
          </cell>
          <cell r="AP113" t="str">
            <v/>
          </cell>
          <cell r="AQ113" t="str">
            <v/>
          </cell>
          <cell r="AR113" t="str">
            <v/>
          </cell>
          <cell r="AS113" t="str">
            <v/>
          </cell>
          <cell r="AT113" t="str">
            <v/>
          </cell>
          <cell r="AU113" t="str">
            <v/>
          </cell>
          <cell r="AV113" t="str">
            <v/>
          </cell>
          <cell r="AW113" t="str">
            <v/>
          </cell>
          <cell r="AX113" t="str">
            <v/>
          </cell>
          <cell r="AY113" t="str">
            <v/>
          </cell>
          <cell r="AZ113" t="str">
            <v/>
          </cell>
          <cell r="BA113" t="str">
            <v/>
          </cell>
          <cell r="BB113" t="str">
            <v/>
          </cell>
          <cell r="BC113" t="str">
            <v/>
          </cell>
          <cell r="BD113" t="str">
            <v/>
          </cell>
          <cell r="BE113" t="str">
            <v/>
          </cell>
          <cell r="BF113" t="str">
            <v/>
          </cell>
          <cell r="BG113" t="str">
            <v/>
          </cell>
          <cell r="BH113" t="str">
            <v/>
          </cell>
          <cell r="BI113" t="str">
            <v/>
          </cell>
          <cell r="BJ113" t="str">
            <v/>
          </cell>
          <cell r="BK113" t="str">
            <v/>
          </cell>
          <cell r="BL113" t="str">
            <v/>
          </cell>
          <cell r="BM113" t="str">
            <v/>
          </cell>
          <cell r="BN113" t="str">
            <v/>
          </cell>
          <cell r="BO113" t="str">
            <v/>
          </cell>
          <cell r="BP113" t="str">
            <v/>
          </cell>
          <cell r="BQ113" t="str">
            <v/>
          </cell>
          <cell r="BR113" t="str">
            <v/>
          </cell>
          <cell r="BS113" t="str">
            <v/>
          </cell>
          <cell r="BT113" t="str">
            <v/>
          </cell>
          <cell r="BU113" t="str">
            <v/>
          </cell>
          <cell r="BV113" t="str">
            <v/>
          </cell>
          <cell r="BW113" t="str">
            <v/>
          </cell>
          <cell r="BX113" t="str">
            <v/>
          </cell>
          <cell r="BY113" t="str">
            <v/>
          </cell>
          <cell r="BZ113" t="str">
            <v/>
          </cell>
          <cell r="CA113" t="str">
            <v/>
          </cell>
          <cell r="CB113" t="str">
            <v/>
          </cell>
          <cell r="CC113" t="str">
            <v/>
          </cell>
          <cell r="CD113" t="str">
            <v/>
          </cell>
          <cell r="CE113" t="str">
            <v/>
          </cell>
          <cell r="CF113" t="str">
            <v/>
          </cell>
          <cell r="CG113" t="str">
            <v/>
          </cell>
          <cell r="CH113" t="str">
            <v/>
          </cell>
          <cell r="CI113" t="str">
            <v/>
          </cell>
          <cell r="CJ113" t="str">
            <v/>
          </cell>
          <cell r="CK113" t="str">
            <v/>
          </cell>
          <cell r="CL113">
            <v>0</v>
          </cell>
          <cell r="CM113">
            <v>0</v>
          </cell>
          <cell r="CN113">
            <v>0</v>
          </cell>
          <cell r="CO113" t="str">
            <v>N.R</v>
          </cell>
          <cell r="CP113" t="str">
            <v/>
          </cell>
          <cell r="CQ113">
            <v>41</v>
          </cell>
          <cell r="CR113">
            <v>87</v>
          </cell>
          <cell r="CS113" t="e">
            <v>#VALUE!</v>
          </cell>
          <cell r="CT113" t="str">
            <v/>
          </cell>
          <cell r="CU113">
            <v>35</v>
          </cell>
          <cell r="CV113">
            <v>74</v>
          </cell>
          <cell r="CW113" t="e">
            <v>#VALUE!</v>
          </cell>
          <cell r="CX113" t="str">
            <v/>
          </cell>
          <cell r="CY113">
            <v>59</v>
          </cell>
          <cell r="CZ113">
            <v>97</v>
          </cell>
          <cell r="DA113" t="e">
            <v>#VALUE!</v>
          </cell>
          <cell r="DB113" t="str">
            <v/>
          </cell>
          <cell r="DC113">
            <v>0</v>
          </cell>
          <cell r="DD113">
            <v>0</v>
          </cell>
          <cell r="DE113" t="e">
            <v>#VALUE!</v>
          </cell>
          <cell r="DF113" t="str">
            <v/>
          </cell>
          <cell r="DG113">
            <v>33</v>
          </cell>
          <cell r="DH113">
            <v>87</v>
          </cell>
          <cell r="DI113" t="e">
            <v>#VALUE!</v>
          </cell>
          <cell r="DJ113" t="str">
            <v/>
          </cell>
          <cell r="DK113">
            <v>29</v>
          </cell>
          <cell r="DL113">
            <v>88</v>
          </cell>
          <cell r="DM113" t="e">
            <v>#VALUE!</v>
          </cell>
          <cell r="DN113" t="str">
            <v/>
          </cell>
          <cell r="DO113">
            <v>35</v>
          </cell>
          <cell r="DP113">
            <v>92</v>
          </cell>
          <cell r="DQ113" t="e">
            <v>#VALUE!</v>
          </cell>
          <cell r="DR113" t="str">
            <v/>
          </cell>
          <cell r="DS113">
            <v>0</v>
          </cell>
          <cell r="DT113">
            <v>81</v>
          </cell>
          <cell r="DU113" t="e">
            <v>#VALUE!</v>
          </cell>
          <cell r="DV113" t="str">
            <v/>
          </cell>
          <cell r="DW113">
            <v>0</v>
          </cell>
          <cell r="DX113">
            <v>0</v>
          </cell>
          <cell r="DY113" t="e">
            <v>#VALUE!</v>
          </cell>
          <cell r="DZ113" t="str">
            <v/>
          </cell>
          <cell r="EA113">
            <v>0</v>
          </cell>
          <cell r="EB113">
            <v>86</v>
          </cell>
          <cell r="EC113" t="e">
            <v>#VALUE!</v>
          </cell>
          <cell r="ED113" t="str">
            <v/>
          </cell>
          <cell r="EE113">
            <v>0</v>
          </cell>
          <cell r="EF113">
            <v>103</v>
          </cell>
          <cell r="EG113" t="e">
            <v>#VALUE!</v>
          </cell>
          <cell r="EH113" t="str">
            <v/>
          </cell>
          <cell r="EI113">
            <v>0</v>
          </cell>
          <cell r="EJ113">
            <v>89</v>
          </cell>
          <cell r="EK113" t="e">
            <v>#VALUE!</v>
          </cell>
          <cell r="EL113" t="str">
            <v/>
          </cell>
          <cell r="EM113">
            <v>0</v>
          </cell>
          <cell r="EN113">
            <v>91</v>
          </cell>
          <cell r="EO113" t="e">
            <v>#VALUE!</v>
          </cell>
          <cell r="EP113" t="str">
            <v/>
          </cell>
          <cell r="EQ113">
            <v>0</v>
          </cell>
          <cell r="ER113">
            <v>0</v>
          </cell>
          <cell r="ES113" t="e">
            <v>#VALUE!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 t="str">
            <v/>
          </cell>
          <cell r="P114" t="str">
            <v/>
          </cell>
          <cell r="Q114" t="str">
            <v/>
          </cell>
          <cell r="R114" t="str">
            <v/>
          </cell>
          <cell r="S114" t="str">
            <v/>
          </cell>
          <cell r="T114" t="str">
            <v/>
          </cell>
          <cell r="U114" t="str">
            <v/>
          </cell>
          <cell r="V114" t="str">
            <v/>
          </cell>
          <cell r="W114" t="str">
            <v/>
          </cell>
          <cell r="X114" t="str">
            <v/>
          </cell>
          <cell r="Y114" t="str">
            <v/>
          </cell>
          <cell r="Z114" t="str">
            <v/>
          </cell>
          <cell r="AA114" t="str">
            <v/>
          </cell>
          <cell r="AB114" t="str">
            <v/>
          </cell>
          <cell r="AC114" t="str">
            <v/>
          </cell>
          <cell r="AD114" t="str">
            <v/>
          </cell>
          <cell r="AE114" t="str">
            <v/>
          </cell>
          <cell r="AF114" t="str">
            <v/>
          </cell>
          <cell r="AG114" t="str">
            <v/>
          </cell>
          <cell r="AH114" t="str">
            <v/>
          </cell>
          <cell r="AI114" t="str">
            <v/>
          </cell>
          <cell r="AJ114" t="str">
            <v/>
          </cell>
          <cell r="AK114" t="str">
            <v/>
          </cell>
          <cell r="AL114" t="str">
            <v/>
          </cell>
          <cell r="AM114" t="str">
            <v/>
          </cell>
          <cell r="AN114" t="str">
            <v/>
          </cell>
          <cell r="AO114" t="str">
            <v/>
          </cell>
          <cell r="AP114" t="str">
            <v/>
          </cell>
          <cell r="AQ114" t="str">
            <v/>
          </cell>
          <cell r="AR114" t="str">
            <v/>
          </cell>
          <cell r="AS114" t="str">
            <v/>
          </cell>
          <cell r="AT114" t="str">
            <v/>
          </cell>
          <cell r="AU114" t="str">
            <v/>
          </cell>
          <cell r="AV114" t="str">
            <v/>
          </cell>
          <cell r="AW114" t="str">
            <v/>
          </cell>
          <cell r="AX114" t="str">
            <v/>
          </cell>
          <cell r="AY114" t="str">
            <v/>
          </cell>
          <cell r="AZ114" t="str">
            <v/>
          </cell>
          <cell r="BA114" t="str">
            <v/>
          </cell>
          <cell r="BB114" t="str">
            <v/>
          </cell>
          <cell r="BC114" t="str">
            <v/>
          </cell>
          <cell r="BD114" t="str">
            <v/>
          </cell>
          <cell r="BE114" t="str">
            <v/>
          </cell>
          <cell r="BF114" t="str">
            <v/>
          </cell>
          <cell r="BG114" t="str">
            <v/>
          </cell>
          <cell r="BH114" t="str">
            <v/>
          </cell>
          <cell r="BI114" t="str">
            <v/>
          </cell>
          <cell r="BJ114" t="str">
            <v/>
          </cell>
          <cell r="BK114" t="str">
            <v/>
          </cell>
          <cell r="BL114" t="str">
            <v/>
          </cell>
          <cell r="BM114" t="str">
            <v/>
          </cell>
          <cell r="BN114" t="str">
            <v/>
          </cell>
          <cell r="BO114" t="str">
            <v/>
          </cell>
          <cell r="BP114" t="str">
            <v/>
          </cell>
          <cell r="BQ114" t="str">
            <v/>
          </cell>
          <cell r="BR114" t="str">
            <v/>
          </cell>
          <cell r="BS114" t="str">
            <v/>
          </cell>
          <cell r="BT114" t="str">
            <v/>
          </cell>
          <cell r="BU114" t="str">
            <v/>
          </cell>
          <cell r="BV114" t="str">
            <v/>
          </cell>
          <cell r="BW114" t="str">
            <v/>
          </cell>
          <cell r="BX114" t="str">
            <v/>
          </cell>
          <cell r="BY114" t="str">
            <v/>
          </cell>
          <cell r="BZ114" t="str">
            <v/>
          </cell>
          <cell r="CA114" t="str">
            <v/>
          </cell>
          <cell r="CB114" t="str">
            <v/>
          </cell>
          <cell r="CC114" t="str">
            <v/>
          </cell>
          <cell r="CD114" t="str">
            <v/>
          </cell>
          <cell r="CE114" t="str">
            <v/>
          </cell>
          <cell r="CF114" t="str">
            <v/>
          </cell>
          <cell r="CG114" t="str">
            <v/>
          </cell>
          <cell r="CH114" t="str">
            <v/>
          </cell>
          <cell r="CI114" t="str">
            <v/>
          </cell>
          <cell r="CJ114" t="str">
            <v/>
          </cell>
          <cell r="CK114" t="str">
            <v/>
          </cell>
          <cell r="CL114">
            <v>0</v>
          </cell>
          <cell r="CM114">
            <v>0</v>
          </cell>
          <cell r="CN114">
            <v>0</v>
          </cell>
          <cell r="CO114" t="str">
            <v>N.R</v>
          </cell>
          <cell r="CP114" t="str">
            <v/>
          </cell>
          <cell r="CQ114">
            <v>41</v>
          </cell>
          <cell r="CR114">
            <v>87</v>
          </cell>
          <cell r="CS114" t="e">
            <v>#VALUE!</v>
          </cell>
          <cell r="CT114" t="str">
            <v/>
          </cell>
          <cell r="CU114">
            <v>35</v>
          </cell>
          <cell r="CV114">
            <v>74</v>
          </cell>
          <cell r="CW114" t="e">
            <v>#VALUE!</v>
          </cell>
          <cell r="CX114" t="str">
            <v/>
          </cell>
          <cell r="CY114">
            <v>59</v>
          </cell>
          <cell r="CZ114">
            <v>97</v>
          </cell>
          <cell r="DA114" t="e">
            <v>#VALUE!</v>
          </cell>
          <cell r="DB114" t="str">
            <v/>
          </cell>
          <cell r="DC114">
            <v>0</v>
          </cell>
          <cell r="DD114">
            <v>0</v>
          </cell>
          <cell r="DE114" t="e">
            <v>#VALUE!</v>
          </cell>
          <cell r="DF114" t="str">
            <v/>
          </cell>
          <cell r="DG114">
            <v>33</v>
          </cell>
          <cell r="DH114">
            <v>87</v>
          </cell>
          <cell r="DI114" t="e">
            <v>#VALUE!</v>
          </cell>
          <cell r="DJ114" t="str">
            <v/>
          </cell>
          <cell r="DK114">
            <v>29</v>
          </cell>
          <cell r="DL114">
            <v>88</v>
          </cell>
          <cell r="DM114" t="e">
            <v>#VALUE!</v>
          </cell>
          <cell r="DN114" t="str">
            <v/>
          </cell>
          <cell r="DO114">
            <v>35</v>
          </cell>
          <cell r="DP114">
            <v>92</v>
          </cell>
          <cell r="DQ114" t="e">
            <v>#VALUE!</v>
          </cell>
          <cell r="DR114" t="str">
            <v/>
          </cell>
          <cell r="DS114">
            <v>0</v>
          </cell>
          <cell r="DT114">
            <v>81</v>
          </cell>
          <cell r="DU114" t="e">
            <v>#VALUE!</v>
          </cell>
          <cell r="DV114" t="str">
            <v/>
          </cell>
          <cell r="DW114">
            <v>0</v>
          </cell>
          <cell r="DX114">
            <v>0</v>
          </cell>
          <cell r="DY114" t="e">
            <v>#VALUE!</v>
          </cell>
          <cell r="DZ114" t="str">
            <v/>
          </cell>
          <cell r="EA114">
            <v>0</v>
          </cell>
          <cell r="EB114">
            <v>86</v>
          </cell>
          <cell r="EC114" t="e">
            <v>#VALUE!</v>
          </cell>
          <cell r="ED114" t="str">
            <v/>
          </cell>
          <cell r="EE114">
            <v>0</v>
          </cell>
          <cell r="EF114">
            <v>104</v>
          </cell>
          <cell r="EG114" t="e">
            <v>#VALUE!</v>
          </cell>
          <cell r="EH114" t="str">
            <v/>
          </cell>
          <cell r="EI114">
            <v>0</v>
          </cell>
          <cell r="EJ114">
            <v>89</v>
          </cell>
          <cell r="EK114" t="e">
            <v>#VALUE!</v>
          </cell>
          <cell r="EL114" t="str">
            <v/>
          </cell>
          <cell r="EM114">
            <v>0</v>
          </cell>
          <cell r="EN114">
            <v>91</v>
          </cell>
          <cell r="EO114" t="e">
            <v>#VALUE!</v>
          </cell>
          <cell r="EP114" t="str">
            <v/>
          </cell>
          <cell r="EQ114">
            <v>0</v>
          </cell>
          <cell r="ER114">
            <v>0</v>
          </cell>
          <cell r="ES114" t="e">
            <v>#VALUE!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 t="str">
            <v/>
          </cell>
          <cell r="P115" t="str">
            <v/>
          </cell>
          <cell r="Q115" t="str">
            <v/>
          </cell>
          <cell r="R115" t="str">
            <v/>
          </cell>
          <cell r="S115" t="str">
            <v/>
          </cell>
          <cell r="T115" t="str">
            <v/>
          </cell>
          <cell r="U115" t="str">
            <v/>
          </cell>
          <cell r="V115" t="str">
            <v/>
          </cell>
          <cell r="W115" t="str">
            <v/>
          </cell>
          <cell r="X115" t="str">
            <v/>
          </cell>
          <cell r="Y115" t="str">
            <v/>
          </cell>
          <cell r="Z115" t="str">
            <v/>
          </cell>
          <cell r="AA115" t="str">
            <v/>
          </cell>
          <cell r="AB115" t="str">
            <v/>
          </cell>
          <cell r="AC115" t="str">
            <v/>
          </cell>
          <cell r="AD115" t="str">
            <v/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 t="str">
            <v/>
          </cell>
          <cell r="AL115" t="str">
            <v/>
          </cell>
          <cell r="AM115" t="str">
            <v/>
          </cell>
          <cell r="AN115" t="str">
            <v/>
          </cell>
          <cell r="AO115" t="str">
            <v/>
          </cell>
          <cell r="AP115" t="str">
            <v/>
          </cell>
          <cell r="AQ115" t="str">
            <v/>
          </cell>
          <cell r="AR115" t="str">
            <v/>
          </cell>
          <cell r="AS115" t="str">
            <v/>
          </cell>
          <cell r="AT115" t="str">
            <v/>
          </cell>
          <cell r="AU115" t="str">
            <v/>
          </cell>
          <cell r="AV115" t="str">
            <v/>
          </cell>
          <cell r="AW115" t="str">
            <v/>
          </cell>
          <cell r="AX115" t="str">
            <v/>
          </cell>
          <cell r="AY115" t="str">
            <v/>
          </cell>
          <cell r="AZ115" t="str">
            <v/>
          </cell>
          <cell r="BA115" t="str">
            <v/>
          </cell>
          <cell r="BB115" t="str">
            <v/>
          </cell>
          <cell r="BC115" t="str">
            <v/>
          </cell>
          <cell r="BD115" t="str">
            <v/>
          </cell>
          <cell r="BE115" t="str">
            <v/>
          </cell>
          <cell r="BF115" t="str">
            <v/>
          </cell>
          <cell r="BG115" t="str">
            <v/>
          </cell>
          <cell r="BH115" t="str">
            <v/>
          </cell>
          <cell r="BI115" t="str">
            <v/>
          </cell>
          <cell r="BJ115" t="str">
            <v/>
          </cell>
          <cell r="BK115" t="str">
            <v/>
          </cell>
          <cell r="BL115" t="str">
            <v/>
          </cell>
          <cell r="BM115" t="str">
            <v/>
          </cell>
          <cell r="BN115" t="str">
            <v/>
          </cell>
          <cell r="BO115" t="str">
            <v/>
          </cell>
          <cell r="BP115" t="str">
            <v/>
          </cell>
          <cell r="BQ115" t="str">
            <v/>
          </cell>
          <cell r="BR115" t="str">
            <v/>
          </cell>
          <cell r="BS115" t="str">
            <v/>
          </cell>
          <cell r="BT115" t="str">
            <v/>
          </cell>
          <cell r="BU115" t="str">
            <v/>
          </cell>
          <cell r="BV115" t="str">
            <v/>
          </cell>
          <cell r="BW115" t="str">
            <v/>
          </cell>
          <cell r="BX115" t="str">
            <v/>
          </cell>
          <cell r="BY115" t="str">
            <v/>
          </cell>
          <cell r="BZ115" t="str">
            <v/>
          </cell>
          <cell r="CA115" t="str">
            <v/>
          </cell>
          <cell r="CB115" t="str">
            <v/>
          </cell>
          <cell r="CC115" t="str">
            <v/>
          </cell>
          <cell r="CD115" t="str">
            <v/>
          </cell>
          <cell r="CE115" t="str">
            <v/>
          </cell>
          <cell r="CF115" t="str">
            <v/>
          </cell>
          <cell r="CG115" t="str">
            <v/>
          </cell>
          <cell r="CH115" t="str">
            <v/>
          </cell>
          <cell r="CI115" t="str">
            <v/>
          </cell>
          <cell r="CJ115" t="str">
            <v/>
          </cell>
          <cell r="CK115" t="str">
            <v/>
          </cell>
          <cell r="CL115">
            <v>0</v>
          </cell>
          <cell r="CM115">
            <v>0</v>
          </cell>
          <cell r="CN115">
            <v>0</v>
          </cell>
          <cell r="CO115" t="str">
            <v>N.R</v>
          </cell>
          <cell r="CP115" t="str">
            <v/>
          </cell>
          <cell r="CQ115">
            <v>41</v>
          </cell>
          <cell r="CR115">
            <v>87</v>
          </cell>
          <cell r="CS115" t="e">
            <v>#VALUE!</v>
          </cell>
          <cell r="CT115" t="str">
            <v/>
          </cell>
          <cell r="CU115">
            <v>35</v>
          </cell>
          <cell r="CV115">
            <v>74</v>
          </cell>
          <cell r="CW115" t="e">
            <v>#VALUE!</v>
          </cell>
          <cell r="CX115" t="str">
            <v/>
          </cell>
          <cell r="CY115">
            <v>59</v>
          </cell>
          <cell r="CZ115">
            <v>97</v>
          </cell>
          <cell r="DA115" t="e">
            <v>#VALUE!</v>
          </cell>
          <cell r="DB115" t="str">
            <v/>
          </cell>
          <cell r="DC115">
            <v>0</v>
          </cell>
          <cell r="DD115">
            <v>0</v>
          </cell>
          <cell r="DE115" t="e">
            <v>#VALUE!</v>
          </cell>
          <cell r="DF115" t="str">
            <v/>
          </cell>
          <cell r="DG115">
            <v>33</v>
          </cell>
          <cell r="DH115">
            <v>87</v>
          </cell>
          <cell r="DI115" t="e">
            <v>#VALUE!</v>
          </cell>
          <cell r="DJ115" t="str">
            <v/>
          </cell>
          <cell r="DK115">
            <v>29</v>
          </cell>
          <cell r="DL115">
            <v>88</v>
          </cell>
          <cell r="DM115" t="e">
            <v>#VALUE!</v>
          </cell>
          <cell r="DN115" t="str">
            <v/>
          </cell>
          <cell r="DO115">
            <v>35</v>
          </cell>
          <cell r="DP115">
            <v>92</v>
          </cell>
          <cell r="DQ115" t="e">
            <v>#VALUE!</v>
          </cell>
          <cell r="DR115" t="str">
            <v/>
          </cell>
          <cell r="DS115">
            <v>0</v>
          </cell>
          <cell r="DT115">
            <v>81</v>
          </cell>
          <cell r="DU115" t="e">
            <v>#VALUE!</v>
          </cell>
          <cell r="DV115" t="str">
            <v/>
          </cell>
          <cell r="DW115">
            <v>0</v>
          </cell>
          <cell r="DX115">
            <v>0</v>
          </cell>
          <cell r="DY115" t="e">
            <v>#VALUE!</v>
          </cell>
          <cell r="DZ115" t="str">
            <v/>
          </cell>
          <cell r="EA115">
            <v>0</v>
          </cell>
          <cell r="EB115">
            <v>86</v>
          </cell>
          <cell r="EC115" t="e">
            <v>#VALUE!</v>
          </cell>
          <cell r="ED115" t="str">
            <v/>
          </cell>
          <cell r="EE115">
            <v>0</v>
          </cell>
          <cell r="EF115">
            <v>105</v>
          </cell>
          <cell r="EG115" t="e">
            <v>#VALUE!</v>
          </cell>
          <cell r="EH115" t="str">
            <v/>
          </cell>
          <cell r="EI115">
            <v>0</v>
          </cell>
          <cell r="EJ115">
            <v>89</v>
          </cell>
          <cell r="EK115" t="e">
            <v>#VALUE!</v>
          </cell>
          <cell r="EL115" t="str">
            <v/>
          </cell>
          <cell r="EM115">
            <v>0</v>
          </cell>
          <cell r="EN115">
            <v>91</v>
          </cell>
          <cell r="EO115" t="e">
            <v>#VALUE!</v>
          </cell>
          <cell r="EP115" t="str">
            <v/>
          </cell>
          <cell r="EQ115">
            <v>0</v>
          </cell>
          <cell r="ER115">
            <v>0</v>
          </cell>
          <cell r="ES115" t="e">
            <v>#VALUE!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 t="str">
            <v/>
          </cell>
          <cell r="P116" t="str">
            <v/>
          </cell>
          <cell r="Q116" t="str">
            <v/>
          </cell>
          <cell r="R116" t="str">
            <v/>
          </cell>
          <cell r="S116" t="str">
            <v/>
          </cell>
          <cell r="T116" t="str">
            <v/>
          </cell>
          <cell r="U116" t="str">
            <v/>
          </cell>
          <cell r="V116" t="str">
            <v/>
          </cell>
          <cell r="W116" t="str">
            <v/>
          </cell>
          <cell r="X116" t="str">
            <v/>
          </cell>
          <cell r="Y116" t="str">
            <v/>
          </cell>
          <cell r="Z116" t="str">
            <v/>
          </cell>
          <cell r="AA116" t="str">
            <v/>
          </cell>
          <cell r="AB116" t="str">
            <v/>
          </cell>
          <cell r="AC116" t="str">
            <v/>
          </cell>
          <cell r="AD116" t="str">
            <v/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 t="str">
            <v/>
          </cell>
          <cell r="AL116" t="str">
            <v/>
          </cell>
          <cell r="AM116" t="str">
            <v/>
          </cell>
          <cell r="AN116" t="str">
            <v/>
          </cell>
          <cell r="AO116" t="str">
            <v/>
          </cell>
          <cell r="AP116" t="str">
            <v/>
          </cell>
          <cell r="AQ116" t="str">
            <v/>
          </cell>
          <cell r="AR116" t="str">
            <v/>
          </cell>
          <cell r="AS116" t="str">
            <v/>
          </cell>
          <cell r="AT116" t="str">
            <v/>
          </cell>
          <cell r="AU116" t="str">
            <v/>
          </cell>
          <cell r="AV116" t="str">
            <v/>
          </cell>
          <cell r="AW116" t="str">
            <v/>
          </cell>
          <cell r="AX116" t="str">
            <v/>
          </cell>
          <cell r="AY116" t="str">
            <v/>
          </cell>
          <cell r="AZ116" t="str">
            <v/>
          </cell>
          <cell r="BA116" t="str">
            <v/>
          </cell>
          <cell r="BB116" t="str">
            <v/>
          </cell>
          <cell r="BC116" t="str">
            <v/>
          </cell>
          <cell r="BD116" t="str">
            <v/>
          </cell>
          <cell r="BE116" t="str">
            <v/>
          </cell>
          <cell r="BF116" t="str">
            <v/>
          </cell>
          <cell r="BG116" t="str">
            <v/>
          </cell>
          <cell r="BH116" t="str">
            <v/>
          </cell>
          <cell r="BI116" t="str">
            <v/>
          </cell>
          <cell r="BJ116" t="str">
            <v/>
          </cell>
          <cell r="BK116" t="str">
            <v/>
          </cell>
          <cell r="BL116" t="str">
            <v/>
          </cell>
          <cell r="BM116" t="str">
            <v/>
          </cell>
          <cell r="BN116" t="str">
            <v/>
          </cell>
          <cell r="BO116" t="str">
            <v/>
          </cell>
          <cell r="BP116" t="str">
            <v/>
          </cell>
          <cell r="BQ116" t="str">
            <v/>
          </cell>
          <cell r="BR116" t="str">
            <v/>
          </cell>
          <cell r="BS116" t="str">
            <v/>
          </cell>
          <cell r="BT116" t="str">
            <v/>
          </cell>
          <cell r="BU116" t="str">
            <v/>
          </cell>
          <cell r="BV116" t="str">
            <v/>
          </cell>
          <cell r="BW116" t="str">
            <v/>
          </cell>
          <cell r="BX116" t="str">
            <v/>
          </cell>
          <cell r="BY116" t="str">
            <v/>
          </cell>
          <cell r="BZ116" t="str">
            <v/>
          </cell>
          <cell r="CA116" t="str">
            <v/>
          </cell>
          <cell r="CB116" t="str">
            <v/>
          </cell>
          <cell r="CC116" t="str">
            <v/>
          </cell>
          <cell r="CD116" t="str">
            <v/>
          </cell>
          <cell r="CE116" t="str">
            <v/>
          </cell>
          <cell r="CF116" t="str">
            <v/>
          </cell>
          <cell r="CG116" t="str">
            <v/>
          </cell>
          <cell r="CH116" t="str">
            <v/>
          </cell>
          <cell r="CI116" t="str">
            <v/>
          </cell>
          <cell r="CJ116" t="str">
            <v/>
          </cell>
          <cell r="CK116" t="str">
            <v/>
          </cell>
          <cell r="CL116">
            <v>0</v>
          </cell>
          <cell r="CM116">
            <v>0</v>
          </cell>
          <cell r="CN116">
            <v>0</v>
          </cell>
          <cell r="CO116" t="str">
            <v>N.R</v>
          </cell>
          <cell r="CP116" t="str">
            <v/>
          </cell>
          <cell r="CQ116">
            <v>41</v>
          </cell>
          <cell r="CR116">
            <v>87</v>
          </cell>
          <cell r="CS116" t="e">
            <v>#VALUE!</v>
          </cell>
          <cell r="CT116" t="str">
            <v/>
          </cell>
          <cell r="CU116">
            <v>35</v>
          </cell>
          <cell r="CV116">
            <v>74</v>
          </cell>
          <cell r="CW116" t="e">
            <v>#VALUE!</v>
          </cell>
          <cell r="CX116" t="str">
            <v/>
          </cell>
          <cell r="CY116">
            <v>59</v>
          </cell>
          <cell r="CZ116">
            <v>97</v>
          </cell>
          <cell r="DA116" t="e">
            <v>#VALUE!</v>
          </cell>
          <cell r="DB116" t="str">
            <v/>
          </cell>
          <cell r="DC116">
            <v>0</v>
          </cell>
          <cell r="DD116">
            <v>0</v>
          </cell>
          <cell r="DE116" t="e">
            <v>#VALUE!</v>
          </cell>
          <cell r="DF116" t="str">
            <v/>
          </cell>
          <cell r="DG116">
            <v>33</v>
          </cell>
          <cell r="DH116">
            <v>87</v>
          </cell>
          <cell r="DI116" t="e">
            <v>#VALUE!</v>
          </cell>
          <cell r="DJ116" t="str">
            <v/>
          </cell>
          <cell r="DK116">
            <v>29</v>
          </cell>
          <cell r="DL116">
            <v>88</v>
          </cell>
          <cell r="DM116" t="e">
            <v>#VALUE!</v>
          </cell>
          <cell r="DN116" t="str">
            <v/>
          </cell>
          <cell r="DO116">
            <v>35</v>
          </cell>
          <cell r="DP116">
            <v>92</v>
          </cell>
          <cell r="DQ116" t="e">
            <v>#VALUE!</v>
          </cell>
          <cell r="DR116" t="str">
            <v/>
          </cell>
          <cell r="DS116">
            <v>0</v>
          </cell>
          <cell r="DT116">
            <v>81</v>
          </cell>
          <cell r="DU116" t="e">
            <v>#VALUE!</v>
          </cell>
          <cell r="DV116" t="str">
            <v/>
          </cell>
          <cell r="DW116">
            <v>0</v>
          </cell>
          <cell r="DX116">
            <v>0</v>
          </cell>
          <cell r="DY116" t="e">
            <v>#VALUE!</v>
          </cell>
          <cell r="DZ116" t="str">
            <v/>
          </cell>
          <cell r="EA116">
            <v>0</v>
          </cell>
          <cell r="EB116">
            <v>86</v>
          </cell>
          <cell r="EC116" t="e">
            <v>#VALUE!</v>
          </cell>
          <cell r="ED116" t="str">
            <v/>
          </cell>
          <cell r="EE116">
            <v>0</v>
          </cell>
          <cell r="EF116">
            <v>106</v>
          </cell>
          <cell r="EG116" t="e">
            <v>#VALUE!</v>
          </cell>
          <cell r="EH116" t="str">
            <v/>
          </cell>
          <cell r="EI116">
            <v>0</v>
          </cell>
          <cell r="EJ116">
            <v>89</v>
          </cell>
          <cell r="EK116" t="e">
            <v>#VALUE!</v>
          </cell>
          <cell r="EL116" t="str">
            <v/>
          </cell>
          <cell r="EM116">
            <v>0</v>
          </cell>
          <cell r="EN116">
            <v>91</v>
          </cell>
          <cell r="EO116" t="e">
            <v>#VALUE!</v>
          </cell>
          <cell r="EP116" t="str">
            <v/>
          </cell>
          <cell r="EQ116">
            <v>0</v>
          </cell>
          <cell r="ER116">
            <v>0</v>
          </cell>
          <cell r="ES116" t="e">
            <v>#VALUE!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 t="str">
            <v/>
          </cell>
          <cell r="P117" t="str">
            <v/>
          </cell>
          <cell r="Q117" t="str">
            <v/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  <cell r="V117" t="str">
            <v/>
          </cell>
          <cell r="W117" t="str">
            <v/>
          </cell>
          <cell r="X117" t="str">
            <v/>
          </cell>
          <cell r="Y117" t="str">
            <v/>
          </cell>
          <cell r="Z117" t="str">
            <v/>
          </cell>
          <cell r="AA117" t="str">
            <v/>
          </cell>
          <cell r="AB117" t="str">
            <v/>
          </cell>
          <cell r="AC117" t="str">
            <v/>
          </cell>
          <cell r="AD117" t="str">
            <v/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 t="str">
            <v/>
          </cell>
          <cell r="AL117" t="str">
            <v/>
          </cell>
          <cell r="AM117" t="str">
            <v/>
          </cell>
          <cell r="AN117" t="str">
            <v/>
          </cell>
          <cell r="AO117" t="str">
            <v/>
          </cell>
          <cell r="AP117" t="str">
            <v/>
          </cell>
          <cell r="AQ117" t="str">
            <v/>
          </cell>
          <cell r="AR117" t="str">
            <v/>
          </cell>
          <cell r="AS117" t="str">
            <v/>
          </cell>
          <cell r="AT117" t="str">
            <v/>
          </cell>
          <cell r="AU117" t="str">
            <v/>
          </cell>
          <cell r="AV117" t="str">
            <v/>
          </cell>
          <cell r="AW117" t="str">
            <v/>
          </cell>
          <cell r="AX117" t="str">
            <v/>
          </cell>
          <cell r="AY117" t="str">
            <v/>
          </cell>
          <cell r="AZ117" t="str">
            <v/>
          </cell>
          <cell r="BA117" t="str">
            <v/>
          </cell>
          <cell r="BB117" t="str">
            <v/>
          </cell>
          <cell r="BC117" t="str">
            <v/>
          </cell>
          <cell r="BD117" t="str">
            <v/>
          </cell>
          <cell r="BE117" t="str">
            <v/>
          </cell>
          <cell r="BF117" t="str">
            <v/>
          </cell>
          <cell r="BG117" t="str">
            <v/>
          </cell>
          <cell r="BH117" t="str">
            <v/>
          </cell>
          <cell r="BI117" t="str">
            <v/>
          </cell>
          <cell r="BJ117" t="str">
            <v/>
          </cell>
          <cell r="BK117" t="str">
            <v/>
          </cell>
          <cell r="BL117" t="str">
            <v/>
          </cell>
          <cell r="BM117" t="str">
            <v/>
          </cell>
          <cell r="BN117" t="str">
            <v/>
          </cell>
          <cell r="BO117" t="str">
            <v/>
          </cell>
          <cell r="BP117" t="str">
            <v/>
          </cell>
          <cell r="BQ117" t="str">
            <v/>
          </cell>
          <cell r="BR117" t="str">
            <v/>
          </cell>
          <cell r="BS117" t="str">
            <v/>
          </cell>
          <cell r="BT117" t="str">
            <v/>
          </cell>
          <cell r="BU117" t="str">
            <v/>
          </cell>
          <cell r="BV117" t="str">
            <v/>
          </cell>
          <cell r="BW117" t="str">
            <v/>
          </cell>
          <cell r="BX117" t="str">
            <v/>
          </cell>
          <cell r="BY117" t="str">
            <v/>
          </cell>
          <cell r="BZ117" t="str">
            <v/>
          </cell>
          <cell r="CA117" t="str">
            <v/>
          </cell>
          <cell r="CB117" t="str">
            <v/>
          </cell>
          <cell r="CC117" t="str">
            <v/>
          </cell>
          <cell r="CD117" t="str">
            <v/>
          </cell>
          <cell r="CE117" t="str">
            <v/>
          </cell>
          <cell r="CF117" t="str">
            <v/>
          </cell>
          <cell r="CG117" t="str">
            <v/>
          </cell>
          <cell r="CH117" t="str">
            <v/>
          </cell>
          <cell r="CI117" t="str">
            <v/>
          </cell>
          <cell r="CJ117" t="str">
            <v/>
          </cell>
          <cell r="CK117" t="str">
            <v/>
          </cell>
          <cell r="CL117">
            <v>0</v>
          </cell>
          <cell r="CM117">
            <v>0</v>
          </cell>
          <cell r="CN117">
            <v>0</v>
          </cell>
          <cell r="CO117" t="str">
            <v>N.R</v>
          </cell>
          <cell r="CP117" t="str">
            <v/>
          </cell>
          <cell r="CQ117">
            <v>41</v>
          </cell>
          <cell r="CR117">
            <v>87</v>
          </cell>
          <cell r="CS117" t="e">
            <v>#VALUE!</v>
          </cell>
          <cell r="CT117" t="str">
            <v/>
          </cell>
          <cell r="CU117">
            <v>35</v>
          </cell>
          <cell r="CV117">
            <v>74</v>
          </cell>
          <cell r="CW117" t="e">
            <v>#VALUE!</v>
          </cell>
          <cell r="CX117" t="str">
            <v/>
          </cell>
          <cell r="CY117">
            <v>59</v>
          </cell>
          <cell r="CZ117">
            <v>97</v>
          </cell>
          <cell r="DA117" t="e">
            <v>#VALUE!</v>
          </cell>
          <cell r="DB117" t="str">
            <v/>
          </cell>
          <cell r="DC117">
            <v>0</v>
          </cell>
          <cell r="DD117">
            <v>0</v>
          </cell>
          <cell r="DE117" t="e">
            <v>#VALUE!</v>
          </cell>
          <cell r="DF117" t="str">
            <v/>
          </cell>
          <cell r="DG117">
            <v>33</v>
          </cell>
          <cell r="DH117">
            <v>87</v>
          </cell>
          <cell r="DI117" t="e">
            <v>#VALUE!</v>
          </cell>
          <cell r="DJ117" t="str">
            <v/>
          </cell>
          <cell r="DK117">
            <v>29</v>
          </cell>
          <cell r="DL117">
            <v>88</v>
          </cell>
          <cell r="DM117" t="e">
            <v>#VALUE!</v>
          </cell>
          <cell r="DN117" t="str">
            <v/>
          </cell>
          <cell r="DO117">
            <v>35</v>
          </cell>
          <cell r="DP117">
            <v>92</v>
          </cell>
          <cell r="DQ117" t="e">
            <v>#VALUE!</v>
          </cell>
          <cell r="DR117" t="str">
            <v/>
          </cell>
          <cell r="DS117">
            <v>0</v>
          </cell>
          <cell r="DT117">
            <v>81</v>
          </cell>
          <cell r="DU117" t="e">
            <v>#VALUE!</v>
          </cell>
          <cell r="DV117" t="str">
            <v/>
          </cell>
          <cell r="DW117">
            <v>0</v>
          </cell>
          <cell r="DX117">
            <v>0</v>
          </cell>
          <cell r="DY117" t="e">
            <v>#VALUE!</v>
          </cell>
          <cell r="DZ117" t="str">
            <v/>
          </cell>
          <cell r="EA117">
            <v>0</v>
          </cell>
          <cell r="EB117">
            <v>86</v>
          </cell>
          <cell r="EC117" t="e">
            <v>#VALUE!</v>
          </cell>
          <cell r="ED117" t="str">
            <v/>
          </cell>
          <cell r="EE117">
            <v>0</v>
          </cell>
          <cell r="EF117">
            <v>107</v>
          </cell>
          <cell r="EG117" t="e">
            <v>#VALUE!</v>
          </cell>
          <cell r="EH117" t="str">
            <v/>
          </cell>
          <cell r="EI117">
            <v>0</v>
          </cell>
          <cell r="EJ117">
            <v>89</v>
          </cell>
          <cell r="EK117" t="e">
            <v>#VALUE!</v>
          </cell>
          <cell r="EL117" t="str">
            <v/>
          </cell>
          <cell r="EM117">
            <v>0</v>
          </cell>
          <cell r="EN117">
            <v>91</v>
          </cell>
          <cell r="EO117" t="e">
            <v>#VALUE!</v>
          </cell>
          <cell r="EP117" t="str">
            <v/>
          </cell>
          <cell r="EQ117">
            <v>0</v>
          </cell>
          <cell r="ER117">
            <v>0</v>
          </cell>
          <cell r="ES117" t="e">
            <v>#VALUE!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 t="str">
            <v/>
          </cell>
          <cell r="P118" t="str">
            <v/>
          </cell>
          <cell r="Q118" t="str">
            <v/>
          </cell>
          <cell r="R118" t="str">
            <v/>
          </cell>
          <cell r="S118" t="str">
            <v/>
          </cell>
          <cell r="T118" t="str">
            <v/>
          </cell>
          <cell r="U118" t="str">
            <v/>
          </cell>
          <cell r="V118" t="str">
            <v/>
          </cell>
          <cell r="W118" t="str">
            <v/>
          </cell>
          <cell r="X118" t="str">
            <v/>
          </cell>
          <cell r="Y118" t="str">
            <v/>
          </cell>
          <cell r="Z118" t="str">
            <v/>
          </cell>
          <cell r="AA118" t="str">
            <v/>
          </cell>
          <cell r="AB118" t="str">
            <v/>
          </cell>
          <cell r="AC118" t="str">
            <v/>
          </cell>
          <cell r="AD118" t="str">
            <v/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 t="str">
            <v/>
          </cell>
          <cell r="AL118" t="str">
            <v/>
          </cell>
          <cell r="AM118" t="str">
            <v/>
          </cell>
          <cell r="AN118" t="str">
            <v/>
          </cell>
          <cell r="AO118" t="str">
            <v/>
          </cell>
          <cell r="AP118" t="str">
            <v/>
          </cell>
          <cell r="AQ118" t="str">
            <v/>
          </cell>
          <cell r="AR118" t="str">
            <v/>
          </cell>
          <cell r="AS118" t="str">
            <v/>
          </cell>
          <cell r="AT118" t="str">
            <v/>
          </cell>
          <cell r="AU118" t="str">
            <v/>
          </cell>
          <cell r="AV118" t="str">
            <v/>
          </cell>
          <cell r="AW118" t="str">
            <v/>
          </cell>
          <cell r="AX118" t="str">
            <v/>
          </cell>
          <cell r="AY118" t="str">
            <v/>
          </cell>
          <cell r="AZ118" t="str">
            <v/>
          </cell>
          <cell r="BA118" t="str">
            <v/>
          </cell>
          <cell r="BB118" t="str">
            <v/>
          </cell>
          <cell r="BC118" t="str">
            <v/>
          </cell>
          <cell r="BD118" t="str">
            <v/>
          </cell>
          <cell r="BE118" t="str">
            <v/>
          </cell>
          <cell r="BF118" t="str">
            <v/>
          </cell>
          <cell r="BG118" t="str">
            <v/>
          </cell>
          <cell r="BH118" t="str">
            <v/>
          </cell>
          <cell r="BI118" t="str">
            <v/>
          </cell>
          <cell r="BJ118" t="str">
            <v/>
          </cell>
          <cell r="BK118" t="str">
            <v/>
          </cell>
          <cell r="BL118" t="str">
            <v/>
          </cell>
          <cell r="BM118" t="str">
            <v/>
          </cell>
          <cell r="BN118" t="str">
            <v/>
          </cell>
          <cell r="BO118" t="str">
            <v/>
          </cell>
          <cell r="BP118" t="str">
            <v/>
          </cell>
          <cell r="BQ118" t="str">
            <v/>
          </cell>
          <cell r="BR118" t="str">
            <v/>
          </cell>
          <cell r="BS118" t="str">
            <v/>
          </cell>
          <cell r="BT118" t="str">
            <v/>
          </cell>
          <cell r="BU118" t="str">
            <v/>
          </cell>
          <cell r="BV118" t="str">
            <v/>
          </cell>
          <cell r="BW118" t="str">
            <v/>
          </cell>
          <cell r="BX118" t="str">
            <v/>
          </cell>
          <cell r="BY118" t="str">
            <v/>
          </cell>
          <cell r="BZ118" t="str">
            <v/>
          </cell>
          <cell r="CA118" t="str">
            <v/>
          </cell>
          <cell r="CB118" t="str">
            <v/>
          </cell>
          <cell r="CC118" t="str">
            <v/>
          </cell>
          <cell r="CD118" t="str">
            <v/>
          </cell>
          <cell r="CE118" t="str">
            <v/>
          </cell>
          <cell r="CF118" t="str">
            <v/>
          </cell>
          <cell r="CG118" t="str">
            <v/>
          </cell>
          <cell r="CH118" t="str">
            <v/>
          </cell>
          <cell r="CI118" t="str">
            <v/>
          </cell>
          <cell r="CJ118" t="str">
            <v/>
          </cell>
          <cell r="CK118" t="str">
            <v/>
          </cell>
          <cell r="CL118">
            <v>0</v>
          </cell>
          <cell r="CM118">
            <v>0</v>
          </cell>
          <cell r="CN118">
            <v>0</v>
          </cell>
          <cell r="CO118" t="str">
            <v>N.R</v>
          </cell>
          <cell r="CP118" t="str">
            <v/>
          </cell>
          <cell r="CQ118">
            <v>41</v>
          </cell>
          <cell r="CR118">
            <v>87</v>
          </cell>
          <cell r="CS118" t="e">
            <v>#VALUE!</v>
          </cell>
          <cell r="CT118" t="str">
            <v/>
          </cell>
          <cell r="CU118">
            <v>35</v>
          </cell>
          <cell r="CV118">
            <v>74</v>
          </cell>
          <cell r="CW118" t="e">
            <v>#VALUE!</v>
          </cell>
          <cell r="CX118" t="str">
            <v/>
          </cell>
          <cell r="CY118">
            <v>59</v>
          </cell>
          <cell r="CZ118">
            <v>97</v>
          </cell>
          <cell r="DA118" t="e">
            <v>#VALUE!</v>
          </cell>
          <cell r="DB118" t="str">
            <v/>
          </cell>
          <cell r="DC118">
            <v>0</v>
          </cell>
          <cell r="DD118">
            <v>0</v>
          </cell>
          <cell r="DE118" t="e">
            <v>#VALUE!</v>
          </cell>
          <cell r="DF118" t="str">
            <v/>
          </cell>
          <cell r="DG118">
            <v>33</v>
          </cell>
          <cell r="DH118">
            <v>87</v>
          </cell>
          <cell r="DI118" t="e">
            <v>#VALUE!</v>
          </cell>
          <cell r="DJ118" t="str">
            <v/>
          </cell>
          <cell r="DK118">
            <v>29</v>
          </cell>
          <cell r="DL118">
            <v>88</v>
          </cell>
          <cell r="DM118" t="e">
            <v>#VALUE!</v>
          </cell>
          <cell r="DN118" t="str">
            <v/>
          </cell>
          <cell r="DO118">
            <v>35</v>
          </cell>
          <cell r="DP118">
            <v>92</v>
          </cell>
          <cell r="DQ118" t="e">
            <v>#VALUE!</v>
          </cell>
          <cell r="DR118" t="str">
            <v/>
          </cell>
          <cell r="DS118">
            <v>0</v>
          </cell>
          <cell r="DT118">
            <v>81</v>
          </cell>
          <cell r="DU118" t="e">
            <v>#VALUE!</v>
          </cell>
          <cell r="DV118" t="str">
            <v/>
          </cell>
          <cell r="DW118">
            <v>0</v>
          </cell>
          <cell r="DX118">
            <v>0</v>
          </cell>
          <cell r="DY118" t="e">
            <v>#VALUE!</v>
          </cell>
          <cell r="DZ118" t="str">
            <v/>
          </cell>
          <cell r="EA118">
            <v>0</v>
          </cell>
          <cell r="EB118">
            <v>86</v>
          </cell>
          <cell r="EC118" t="e">
            <v>#VALUE!</v>
          </cell>
          <cell r="ED118" t="str">
            <v/>
          </cell>
          <cell r="EE118">
            <v>0</v>
          </cell>
          <cell r="EF118">
            <v>108</v>
          </cell>
          <cell r="EG118" t="e">
            <v>#VALUE!</v>
          </cell>
          <cell r="EH118" t="str">
            <v/>
          </cell>
          <cell r="EI118">
            <v>0</v>
          </cell>
          <cell r="EJ118">
            <v>89</v>
          </cell>
          <cell r="EK118" t="e">
            <v>#VALUE!</v>
          </cell>
          <cell r="EL118" t="str">
            <v/>
          </cell>
          <cell r="EM118">
            <v>0</v>
          </cell>
          <cell r="EN118">
            <v>91</v>
          </cell>
          <cell r="EO118" t="e">
            <v>#VALUE!</v>
          </cell>
          <cell r="EP118" t="str">
            <v/>
          </cell>
          <cell r="EQ118">
            <v>0</v>
          </cell>
          <cell r="ER118">
            <v>0</v>
          </cell>
          <cell r="ES118" t="e">
            <v>#VALUE!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 t="str">
            <v/>
          </cell>
          <cell r="P119" t="str">
            <v/>
          </cell>
          <cell r="Q119" t="str">
            <v/>
          </cell>
          <cell r="R119" t="str">
            <v/>
          </cell>
          <cell r="S119" t="str">
            <v/>
          </cell>
          <cell r="T119" t="str">
            <v/>
          </cell>
          <cell r="U119" t="str">
            <v/>
          </cell>
          <cell r="V119" t="str">
            <v/>
          </cell>
          <cell r="W119" t="str">
            <v/>
          </cell>
          <cell r="X119" t="str">
            <v/>
          </cell>
          <cell r="Y119" t="str">
            <v/>
          </cell>
          <cell r="Z119" t="str">
            <v/>
          </cell>
          <cell r="AA119" t="str">
            <v/>
          </cell>
          <cell r="AB119" t="str">
            <v/>
          </cell>
          <cell r="AC119" t="str">
            <v/>
          </cell>
          <cell r="AD119" t="str">
            <v/>
          </cell>
          <cell r="AE119" t="str">
            <v/>
          </cell>
          <cell r="AF119" t="str">
            <v/>
          </cell>
          <cell r="AG119" t="str">
            <v/>
          </cell>
          <cell r="AH119" t="str">
            <v/>
          </cell>
          <cell r="AI119" t="str">
            <v/>
          </cell>
          <cell r="AJ119" t="str">
            <v/>
          </cell>
          <cell r="AK119" t="str">
            <v/>
          </cell>
          <cell r="AL119" t="str">
            <v/>
          </cell>
          <cell r="AM119" t="str">
            <v/>
          </cell>
          <cell r="AN119" t="str">
            <v/>
          </cell>
          <cell r="AO119" t="str">
            <v/>
          </cell>
          <cell r="AP119" t="str">
            <v/>
          </cell>
          <cell r="AQ119" t="str">
            <v/>
          </cell>
          <cell r="AR119" t="str">
            <v/>
          </cell>
          <cell r="AS119" t="str">
            <v/>
          </cell>
          <cell r="AT119" t="str">
            <v/>
          </cell>
          <cell r="AU119" t="str">
            <v/>
          </cell>
          <cell r="AV119" t="str">
            <v/>
          </cell>
          <cell r="AW119" t="str">
            <v/>
          </cell>
          <cell r="AX119" t="str">
            <v/>
          </cell>
          <cell r="AY119" t="str">
            <v/>
          </cell>
          <cell r="AZ119" t="str">
            <v/>
          </cell>
          <cell r="BA119" t="str">
            <v/>
          </cell>
          <cell r="BB119" t="str">
            <v/>
          </cell>
          <cell r="BC119" t="str">
            <v/>
          </cell>
          <cell r="BD119" t="str">
            <v/>
          </cell>
          <cell r="BE119" t="str">
            <v/>
          </cell>
          <cell r="BF119" t="str">
            <v/>
          </cell>
          <cell r="BG119" t="str">
            <v/>
          </cell>
          <cell r="BH119" t="str">
            <v/>
          </cell>
          <cell r="BI119" t="str">
            <v/>
          </cell>
          <cell r="BJ119" t="str">
            <v/>
          </cell>
          <cell r="BK119" t="str">
            <v/>
          </cell>
          <cell r="BL119" t="str">
            <v/>
          </cell>
          <cell r="BM119" t="str">
            <v/>
          </cell>
          <cell r="BN119" t="str">
            <v/>
          </cell>
          <cell r="BO119" t="str">
            <v/>
          </cell>
          <cell r="BP119" t="str">
            <v/>
          </cell>
          <cell r="BQ119" t="str">
            <v/>
          </cell>
          <cell r="BR119" t="str">
            <v/>
          </cell>
          <cell r="BS119" t="str">
            <v/>
          </cell>
          <cell r="BT119" t="str">
            <v/>
          </cell>
          <cell r="BU119" t="str">
            <v/>
          </cell>
          <cell r="BV119" t="str">
            <v/>
          </cell>
          <cell r="BW119" t="str">
            <v/>
          </cell>
          <cell r="BX119" t="str">
            <v/>
          </cell>
          <cell r="BY119" t="str">
            <v/>
          </cell>
          <cell r="BZ119" t="str">
            <v/>
          </cell>
          <cell r="CA119" t="str">
            <v/>
          </cell>
          <cell r="CB119" t="str">
            <v/>
          </cell>
          <cell r="CC119" t="str">
            <v/>
          </cell>
          <cell r="CD119" t="str">
            <v/>
          </cell>
          <cell r="CE119" t="str">
            <v/>
          </cell>
          <cell r="CF119" t="str">
            <v/>
          </cell>
          <cell r="CG119" t="str">
            <v/>
          </cell>
          <cell r="CH119" t="str">
            <v/>
          </cell>
          <cell r="CI119" t="str">
            <v/>
          </cell>
          <cell r="CJ119" t="str">
            <v/>
          </cell>
          <cell r="CK119" t="str">
            <v/>
          </cell>
          <cell r="CL119">
            <v>0</v>
          </cell>
          <cell r="CM119">
            <v>0</v>
          </cell>
          <cell r="CN119">
            <v>0</v>
          </cell>
          <cell r="CO119" t="str">
            <v>N.R</v>
          </cell>
          <cell r="CP119" t="str">
            <v/>
          </cell>
          <cell r="CQ119">
            <v>41</v>
          </cell>
          <cell r="CR119">
            <v>87</v>
          </cell>
          <cell r="CS119" t="e">
            <v>#VALUE!</v>
          </cell>
          <cell r="CT119" t="str">
            <v/>
          </cell>
          <cell r="CU119">
            <v>35</v>
          </cell>
          <cell r="CV119">
            <v>74</v>
          </cell>
          <cell r="CW119" t="e">
            <v>#VALUE!</v>
          </cell>
          <cell r="CX119" t="str">
            <v/>
          </cell>
          <cell r="CY119">
            <v>59</v>
          </cell>
          <cell r="CZ119">
            <v>97</v>
          </cell>
          <cell r="DA119" t="e">
            <v>#VALUE!</v>
          </cell>
          <cell r="DB119" t="str">
            <v/>
          </cell>
          <cell r="DC119">
            <v>0</v>
          </cell>
          <cell r="DD119">
            <v>0</v>
          </cell>
          <cell r="DE119" t="e">
            <v>#VALUE!</v>
          </cell>
          <cell r="DF119" t="str">
            <v/>
          </cell>
          <cell r="DG119">
            <v>33</v>
          </cell>
          <cell r="DH119">
            <v>87</v>
          </cell>
          <cell r="DI119" t="e">
            <v>#VALUE!</v>
          </cell>
          <cell r="DJ119" t="str">
            <v/>
          </cell>
          <cell r="DK119">
            <v>29</v>
          </cell>
          <cell r="DL119">
            <v>88</v>
          </cell>
          <cell r="DM119" t="e">
            <v>#VALUE!</v>
          </cell>
          <cell r="DN119" t="str">
            <v/>
          </cell>
          <cell r="DO119">
            <v>35</v>
          </cell>
          <cell r="DP119">
            <v>92</v>
          </cell>
          <cell r="DQ119" t="e">
            <v>#VALUE!</v>
          </cell>
          <cell r="DR119" t="str">
            <v/>
          </cell>
          <cell r="DS119">
            <v>0</v>
          </cell>
          <cell r="DT119">
            <v>81</v>
          </cell>
          <cell r="DU119" t="e">
            <v>#VALUE!</v>
          </cell>
          <cell r="DV119" t="str">
            <v/>
          </cell>
          <cell r="DW119">
            <v>0</v>
          </cell>
          <cell r="DX119">
            <v>0</v>
          </cell>
          <cell r="DY119" t="e">
            <v>#VALUE!</v>
          </cell>
          <cell r="DZ119" t="str">
            <v/>
          </cell>
          <cell r="EA119">
            <v>0</v>
          </cell>
          <cell r="EB119">
            <v>86</v>
          </cell>
          <cell r="EC119" t="e">
            <v>#VALUE!</v>
          </cell>
          <cell r="ED119" t="str">
            <v/>
          </cell>
          <cell r="EE119">
            <v>0</v>
          </cell>
          <cell r="EF119">
            <v>109</v>
          </cell>
          <cell r="EG119" t="e">
            <v>#VALUE!</v>
          </cell>
          <cell r="EH119" t="str">
            <v/>
          </cell>
          <cell r="EI119">
            <v>0</v>
          </cell>
          <cell r="EJ119">
            <v>89</v>
          </cell>
          <cell r="EK119" t="e">
            <v>#VALUE!</v>
          </cell>
          <cell r="EL119" t="str">
            <v/>
          </cell>
          <cell r="EM119">
            <v>0</v>
          </cell>
          <cell r="EN119">
            <v>91</v>
          </cell>
          <cell r="EO119" t="e">
            <v>#VALUE!</v>
          </cell>
          <cell r="EP119" t="str">
            <v/>
          </cell>
          <cell r="EQ119">
            <v>0</v>
          </cell>
          <cell r="ER119">
            <v>0</v>
          </cell>
          <cell r="ES119" t="e">
            <v>#VALUE!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 t="str">
            <v/>
          </cell>
          <cell r="P120" t="str">
            <v/>
          </cell>
          <cell r="Q120" t="str">
            <v/>
          </cell>
          <cell r="R120" t="str">
            <v/>
          </cell>
          <cell r="S120" t="str">
            <v/>
          </cell>
          <cell r="T120" t="str">
            <v/>
          </cell>
          <cell r="U120" t="str">
            <v/>
          </cell>
          <cell r="V120" t="str">
            <v/>
          </cell>
          <cell r="W120" t="str">
            <v/>
          </cell>
          <cell r="X120" t="str">
            <v/>
          </cell>
          <cell r="Y120" t="str">
            <v/>
          </cell>
          <cell r="Z120" t="str">
            <v/>
          </cell>
          <cell r="AA120" t="str">
            <v/>
          </cell>
          <cell r="AB120" t="str">
            <v/>
          </cell>
          <cell r="AC120" t="str">
            <v/>
          </cell>
          <cell r="AD120" t="str">
            <v/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 t="str">
            <v/>
          </cell>
          <cell r="AL120" t="str">
            <v/>
          </cell>
          <cell r="AM120" t="str">
            <v/>
          </cell>
          <cell r="AN120" t="str">
            <v/>
          </cell>
          <cell r="AO120" t="str">
            <v/>
          </cell>
          <cell r="AP120" t="str">
            <v/>
          </cell>
          <cell r="AQ120" t="str">
            <v/>
          </cell>
          <cell r="AR120" t="str">
            <v/>
          </cell>
          <cell r="AS120" t="str">
            <v/>
          </cell>
          <cell r="AT120" t="str">
            <v/>
          </cell>
          <cell r="AU120" t="str">
            <v/>
          </cell>
          <cell r="AV120" t="str">
            <v/>
          </cell>
          <cell r="AW120" t="str">
            <v/>
          </cell>
          <cell r="AX120" t="str">
            <v/>
          </cell>
          <cell r="AY120" t="str">
            <v/>
          </cell>
          <cell r="AZ120" t="str">
            <v/>
          </cell>
          <cell r="BA120" t="str">
            <v/>
          </cell>
          <cell r="BB120" t="str">
            <v/>
          </cell>
          <cell r="BC120" t="str">
            <v/>
          </cell>
          <cell r="BD120" t="str">
            <v/>
          </cell>
          <cell r="BE120" t="str">
            <v/>
          </cell>
          <cell r="BF120" t="str">
            <v/>
          </cell>
          <cell r="BG120" t="str">
            <v/>
          </cell>
          <cell r="BH120" t="str">
            <v/>
          </cell>
          <cell r="BI120" t="str">
            <v/>
          </cell>
          <cell r="BJ120" t="str">
            <v/>
          </cell>
          <cell r="BK120" t="str">
            <v/>
          </cell>
          <cell r="BL120" t="str">
            <v/>
          </cell>
          <cell r="BM120" t="str">
            <v/>
          </cell>
          <cell r="BN120" t="str">
            <v/>
          </cell>
          <cell r="BO120" t="str">
            <v/>
          </cell>
          <cell r="BP120" t="str">
            <v/>
          </cell>
          <cell r="BQ120" t="str">
            <v/>
          </cell>
          <cell r="BR120" t="str">
            <v/>
          </cell>
          <cell r="BS120" t="str">
            <v/>
          </cell>
          <cell r="BT120" t="str">
            <v/>
          </cell>
          <cell r="BU120" t="str">
            <v/>
          </cell>
          <cell r="BV120" t="str">
            <v/>
          </cell>
          <cell r="BW120" t="str">
            <v/>
          </cell>
          <cell r="BX120" t="str">
            <v/>
          </cell>
          <cell r="BY120" t="str">
            <v/>
          </cell>
          <cell r="BZ120" t="str">
            <v/>
          </cell>
          <cell r="CA120" t="str">
            <v/>
          </cell>
          <cell r="CB120" t="str">
            <v/>
          </cell>
          <cell r="CC120" t="str">
            <v/>
          </cell>
          <cell r="CD120" t="str">
            <v/>
          </cell>
          <cell r="CE120" t="str">
            <v/>
          </cell>
          <cell r="CF120" t="str">
            <v/>
          </cell>
          <cell r="CG120" t="str">
            <v/>
          </cell>
          <cell r="CH120" t="str">
            <v/>
          </cell>
          <cell r="CI120" t="str">
            <v/>
          </cell>
          <cell r="CJ120" t="str">
            <v/>
          </cell>
          <cell r="CK120" t="str">
            <v/>
          </cell>
          <cell r="CL120">
            <v>0</v>
          </cell>
          <cell r="CM120">
            <v>0</v>
          </cell>
          <cell r="CN120">
            <v>0</v>
          </cell>
          <cell r="CO120" t="str">
            <v>N.R</v>
          </cell>
          <cell r="CP120" t="str">
            <v/>
          </cell>
          <cell r="CQ120">
            <v>41</v>
          </cell>
          <cell r="CR120">
            <v>87</v>
          </cell>
          <cell r="CS120" t="e">
            <v>#VALUE!</v>
          </cell>
          <cell r="CT120" t="str">
            <v/>
          </cell>
          <cell r="CU120">
            <v>35</v>
          </cell>
          <cell r="CV120">
            <v>74</v>
          </cell>
          <cell r="CW120" t="e">
            <v>#VALUE!</v>
          </cell>
          <cell r="CX120" t="str">
            <v/>
          </cell>
          <cell r="CY120">
            <v>59</v>
          </cell>
          <cell r="CZ120">
            <v>97</v>
          </cell>
          <cell r="DA120" t="e">
            <v>#VALUE!</v>
          </cell>
          <cell r="DB120" t="str">
            <v/>
          </cell>
          <cell r="DC120">
            <v>0</v>
          </cell>
          <cell r="DD120">
            <v>0</v>
          </cell>
          <cell r="DE120" t="e">
            <v>#VALUE!</v>
          </cell>
          <cell r="DF120" t="str">
            <v/>
          </cell>
          <cell r="DG120">
            <v>33</v>
          </cell>
          <cell r="DH120">
            <v>87</v>
          </cell>
          <cell r="DI120" t="e">
            <v>#VALUE!</v>
          </cell>
          <cell r="DJ120" t="str">
            <v/>
          </cell>
          <cell r="DK120">
            <v>29</v>
          </cell>
          <cell r="DL120">
            <v>88</v>
          </cell>
          <cell r="DM120" t="e">
            <v>#VALUE!</v>
          </cell>
          <cell r="DN120" t="str">
            <v/>
          </cell>
          <cell r="DO120">
            <v>35</v>
          </cell>
          <cell r="DP120">
            <v>92</v>
          </cell>
          <cell r="DQ120" t="e">
            <v>#VALUE!</v>
          </cell>
          <cell r="DR120" t="str">
            <v/>
          </cell>
          <cell r="DS120">
            <v>0</v>
          </cell>
          <cell r="DT120">
            <v>81</v>
          </cell>
          <cell r="DU120" t="e">
            <v>#VALUE!</v>
          </cell>
          <cell r="DV120" t="str">
            <v/>
          </cell>
          <cell r="DW120">
            <v>0</v>
          </cell>
          <cell r="DX120">
            <v>0</v>
          </cell>
          <cell r="DY120" t="e">
            <v>#VALUE!</v>
          </cell>
          <cell r="DZ120" t="str">
            <v/>
          </cell>
          <cell r="EA120">
            <v>0</v>
          </cell>
          <cell r="EB120">
            <v>86</v>
          </cell>
          <cell r="EC120" t="e">
            <v>#VALUE!</v>
          </cell>
          <cell r="ED120" t="str">
            <v/>
          </cell>
          <cell r="EE120">
            <v>0</v>
          </cell>
          <cell r="EF120">
            <v>110</v>
          </cell>
          <cell r="EG120" t="e">
            <v>#VALUE!</v>
          </cell>
          <cell r="EH120" t="str">
            <v/>
          </cell>
          <cell r="EI120">
            <v>0</v>
          </cell>
          <cell r="EJ120">
            <v>89</v>
          </cell>
          <cell r="EK120" t="e">
            <v>#VALUE!</v>
          </cell>
          <cell r="EL120" t="str">
            <v/>
          </cell>
          <cell r="EM120">
            <v>0</v>
          </cell>
          <cell r="EN120">
            <v>91</v>
          </cell>
          <cell r="EO120" t="e">
            <v>#VALUE!</v>
          </cell>
          <cell r="EP120" t="str">
            <v/>
          </cell>
          <cell r="EQ120">
            <v>0</v>
          </cell>
          <cell r="ER120">
            <v>0</v>
          </cell>
          <cell r="ES120" t="e">
            <v>#VALUE!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 t="str">
            <v/>
          </cell>
          <cell r="P121" t="str">
            <v/>
          </cell>
          <cell r="Q121" t="str">
            <v/>
          </cell>
          <cell r="R121" t="str">
            <v/>
          </cell>
          <cell r="S121" t="str">
            <v/>
          </cell>
          <cell r="T121" t="str">
            <v/>
          </cell>
          <cell r="U121" t="str">
            <v/>
          </cell>
          <cell r="V121" t="str">
            <v/>
          </cell>
          <cell r="W121" t="str">
            <v/>
          </cell>
          <cell r="X121" t="str">
            <v/>
          </cell>
          <cell r="Y121" t="str">
            <v/>
          </cell>
          <cell r="Z121" t="str">
            <v/>
          </cell>
          <cell r="AA121" t="str">
            <v/>
          </cell>
          <cell r="AB121" t="str">
            <v/>
          </cell>
          <cell r="AC121" t="str">
            <v/>
          </cell>
          <cell r="AD121" t="str">
            <v/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 t="str">
            <v/>
          </cell>
          <cell r="AL121" t="str">
            <v/>
          </cell>
          <cell r="AM121" t="str">
            <v/>
          </cell>
          <cell r="AN121" t="str">
            <v/>
          </cell>
          <cell r="AO121" t="str">
            <v/>
          </cell>
          <cell r="AP121" t="str">
            <v/>
          </cell>
          <cell r="AQ121" t="str">
            <v/>
          </cell>
          <cell r="AR121" t="str">
            <v/>
          </cell>
          <cell r="AS121" t="str">
            <v/>
          </cell>
          <cell r="AT121" t="str">
            <v/>
          </cell>
          <cell r="AU121" t="str">
            <v/>
          </cell>
          <cell r="AV121" t="str">
            <v/>
          </cell>
          <cell r="AW121" t="str">
            <v/>
          </cell>
          <cell r="AX121" t="str">
            <v/>
          </cell>
          <cell r="AY121" t="str">
            <v/>
          </cell>
          <cell r="AZ121" t="str">
            <v/>
          </cell>
          <cell r="BA121" t="str">
            <v/>
          </cell>
          <cell r="BB121" t="str">
            <v/>
          </cell>
          <cell r="BC121" t="str">
            <v/>
          </cell>
          <cell r="BD121" t="str">
            <v/>
          </cell>
          <cell r="BE121" t="str">
            <v/>
          </cell>
          <cell r="BF121" t="str">
            <v/>
          </cell>
          <cell r="BG121" t="str">
            <v/>
          </cell>
          <cell r="BH121" t="str">
            <v/>
          </cell>
          <cell r="BI121" t="str">
            <v/>
          </cell>
          <cell r="BJ121" t="str">
            <v/>
          </cell>
          <cell r="BK121" t="str">
            <v/>
          </cell>
          <cell r="BL121" t="str">
            <v/>
          </cell>
          <cell r="BM121" t="str">
            <v/>
          </cell>
          <cell r="BN121" t="str">
            <v/>
          </cell>
          <cell r="BO121" t="str">
            <v/>
          </cell>
          <cell r="BP121" t="str">
            <v/>
          </cell>
          <cell r="BQ121" t="str">
            <v/>
          </cell>
          <cell r="BR121" t="str">
            <v/>
          </cell>
          <cell r="BS121" t="str">
            <v/>
          </cell>
          <cell r="BT121" t="str">
            <v/>
          </cell>
          <cell r="BU121" t="str">
            <v/>
          </cell>
          <cell r="BV121" t="str">
            <v/>
          </cell>
          <cell r="BW121" t="str">
            <v/>
          </cell>
          <cell r="BX121" t="str">
            <v/>
          </cell>
          <cell r="BY121" t="str">
            <v/>
          </cell>
          <cell r="BZ121" t="str">
            <v/>
          </cell>
          <cell r="CA121" t="str">
            <v/>
          </cell>
          <cell r="CB121" t="str">
            <v/>
          </cell>
          <cell r="CC121" t="str">
            <v/>
          </cell>
          <cell r="CD121" t="str">
            <v/>
          </cell>
          <cell r="CE121" t="str">
            <v/>
          </cell>
          <cell r="CF121" t="str">
            <v/>
          </cell>
          <cell r="CG121" t="str">
            <v/>
          </cell>
          <cell r="CH121" t="str">
            <v/>
          </cell>
          <cell r="CI121" t="str">
            <v/>
          </cell>
          <cell r="CJ121" t="str">
            <v/>
          </cell>
          <cell r="CK121" t="str">
            <v/>
          </cell>
          <cell r="CL121">
            <v>0</v>
          </cell>
          <cell r="CM121">
            <v>0</v>
          </cell>
          <cell r="CN121">
            <v>0</v>
          </cell>
          <cell r="CO121" t="str">
            <v>N.R</v>
          </cell>
          <cell r="CP121" t="str">
            <v/>
          </cell>
          <cell r="CQ121">
            <v>41</v>
          </cell>
          <cell r="CR121">
            <v>87</v>
          </cell>
          <cell r="CS121" t="e">
            <v>#VALUE!</v>
          </cell>
          <cell r="CT121" t="str">
            <v/>
          </cell>
          <cell r="CU121">
            <v>35</v>
          </cell>
          <cell r="CV121">
            <v>74</v>
          </cell>
          <cell r="CW121" t="e">
            <v>#VALUE!</v>
          </cell>
          <cell r="CX121" t="str">
            <v/>
          </cell>
          <cell r="CY121">
            <v>59</v>
          </cell>
          <cell r="CZ121">
            <v>97</v>
          </cell>
          <cell r="DA121" t="e">
            <v>#VALUE!</v>
          </cell>
          <cell r="DB121" t="str">
            <v/>
          </cell>
          <cell r="DC121">
            <v>0</v>
          </cell>
          <cell r="DD121">
            <v>0</v>
          </cell>
          <cell r="DE121" t="e">
            <v>#VALUE!</v>
          </cell>
          <cell r="DF121" t="str">
            <v/>
          </cell>
          <cell r="DG121">
            <v>33</v>
          </cell>
          <cell r="DH121">
            <v>87</v>
          </cell>
          <cell r="DI121" t="e">
            <v>#VALUE!</v>
          </cell>
          <cell r="DJ121" t="str">
            <v/>
          </cell>
          <cell r="DK121">
            <v>29</v>
          </cell>
          <cell r="DL121">
            <v>88</v>
          </cell>
          <cell r="DM121" t="e">
            <v>#VALUE!</v>
          </cell>
          <cell r="DN121" t="str">
            <v/>
          </cell>
          <cell r="DO121">
            <v>35</v>
          </cell>
          <cell r="DP121">
            <v>92</v>
          </cell>
          <cell r="DQ121" t="e">
            <v>#VALUE!</v>
          </cell>
          <cell r="DR121" t="str">
            <v/>
          </cell>
          <cell r="DS121">
            <v>0</v>
          </cell>
          <cell r="DT121">
            <v>81</v>
          </cell>
          <cell r="DU121" t="e">
            <v>#VALUE!</v>
          </cell>
          <cell r="DV121" t="str">
            <v/>
          </cell>
          <cell r="DW121">
            <v>0</v>
          </cell>
          <cell r="DX121">
            <v>0</v>
          </cell>
          <cell r="DY121" t="e">
            <v>#VALUE!</v>
          </cell>
          <cell r="DZ121" t="str">
            <v/>
          </cell>
          <cell r="EA121">
            <v>0</v>
          </cell>
          <cell r="EB121">
            <v>86</v>
          </cell>
          <cell r="EC121" t="e">
            <v>#VALUE!</v>
          </cell>
          <cell r="ED121" t="str">
            <v/>
          </cell>
          <cell r="EE121">
            <v>0</v>
          </cell>
          <cell r="EF121">
            <v>111</v>
          </cell>
          <cell r="EG121" t="e">
            <v>#VALUE!</v>
          </cell>
          <cell r="EH121" t="str">
            <v/>
          </cell>
          <cell r="EI121">
            <v>0</v>
          </cell>
          <cell r="EJ121">
            <v>89</v>
          </cell>
          <cell r="EK121" t="e">
            <v>#VALUE!</v>
          </cell>
          <cell r="EL121" t="str">
            <v/>
          </cell>
          <cell r="EM121">
            <v>0</v>
          </cell>
          <cell r="EN121">
            <v>91</v>
          </cell>
          <cell r="EO121" t="e">
            <v>#VALUE!</v>
          </cell>
          <cell r="EP121" t="str">
            <v/>
          </cell>
          <cell r="EQ121">
            <v>0</v>
          </cell>
          <cell r="ER121">
            <v>0</v>
          </cell>
          <cell r="ES121" t="e">
            <v>#VALUE!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 t="str">
            <v/>
          </cell>
          <cell r="P122" t="str">
            <v/>
          </cell>
          <cell r="Q122" t="str">
            <v/>
          </cell>
          <cell r="R122" t="str">
            <v/>
          </cell>
          <cell r="S122" t="str">
            <v/>
          </cell>
          <cell r="T122" t="str">
            <v/>
          </cell>
          <cell r="U122" t="str">
            <v/>
          </cell>
          <cell r="V122" t="str">
            <v/>
          </cell>
          <cell r="W122" t="str">
            <v/>
          </cell>
          <cell r="X122" t="str">
            <v/>
          </cell>
          <cell r="Y122" t="str">
            <v/>
          </cell>
          <cell r="Z122" t="str">
            <v/>
          </cell>
          <cell r="AA122" t="str">
            <v/>
          </cell>
          <cell r="AB122" t="str">
            <v/>
          </cell>
          <cell r="AC122" t="str">
            <v/>
          </cell>
          <cell r="AD122" t="str">
            <v/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 t="str">
            <v/>
          </cell>
          <cell r="AL122" t="str">
            <v/>
          </cell>
          <cell r="AM122" t="str">
            <v/>
          </cell>
          <cell r="AN122" t="str">
            <v/>
          </cell>
          <cell r="AO122" t="str">
            <v/>
          </cell>
          <cell r="AP122" t="str">
            <v/>
          </cell>
          <cell r="AQ122" t="str">
            <v/>
          </cell>
          <cell r="AR122" t="str">
            <v/>
          </cell>
          <cell r="AS122" t="str">
            <v/>
          </cell>
          <cell r="AT122" t="str">
            <v/>
          </cell>
          <cell r="AU122" t="str">
            <v/>
          </cell>
          <cell r="AV122" t="str">
            <v/>
          </cell>
          <cell r="AW122" t="str">
            <v/>
          </cell>
          <cell r="AX122" t="str">
            <v/>
          </cell>
          <cell r="AY122" t="str">
            <v/>
          </cell>
          <cell r="AZ122" t="str">
            <v/>
          </cell>
          <cell r="BA122" t="str">
            <v/>
          </cell>
          <cell r="BB122" t="str">
            <v/>
          </cell>
          <cell r="BC122" t="str">
            <v/>
          </cell>
          <cell r="BD122" t="str">
            <v/>
          </cell>
          <cell r="BE122" t="str">
            <v/>
          </cell>
          <cell r="BF122" t="str">
            <v/>
          </cell>
          <cell r="BG122" t="str">
            <v/>
          </cell>
          <cell r="BH122" t="str">
            <v/>
          </cell>
          <cell r="BI122" t="str">
            <v/>
          </cell>
          <cell r="BJ122" t="str">
            <v/>
          </cell>
          <cell r="BK122" t="str">
            <v/>
          </cell>
          <cell r="BL122" t="str">
            <v/>
          </cell>
          <cell r="BM122" t="str">
            <v/>
          </cell>
          <cell r="BN122" t="str">
            <v/>
          </cell>
          <cell r="BO122" t="str">
            <v/>
          </cell>
          <cell r="BP122" t="str">
            <v/>
          </cell>
          <cell r="BQ122" t="str">
            <v/>
          </cell>
          <cell r="BR122" t="str">
            <v/>
          </cell>
          <cell r="BS122" t="str">
            <v/>
          </cell>
          <cell r="BT122" t="str">
            <v/>
          </cell>
          <cell r="BU122" t="str">
            <v/>
          </cell>
          <cell r="BV122" t="str">
            <v/>
          </cell>
          <cell r="BW122" t="str">
            <v/>
          </cell>
          <cell r="BX122" t="str">
            <v/>
          </cell>
          <cell r="BY122" t="str">
            <v/>
          </cell>
          <cell r="BZ122" t="str">
            <v/>
          </cell>
          <cell r="CA122" t="str">
            <v/>
          </cell>
          <cell r="CB122" t="str">
            <v/>
          </cell>
          <cell r="CC122" t="str">
            <v/>
          </cell>
          <cell r="CD122" t="str">
            <v/>
          </cell>
          <cell r="CE122" t="str">
            <v/>
          </cell>
          <cell r="CF122" t="str">
            <v/>
          </cell>
          <cell r="CG122" t="str">
            <v/>
          </cell>
          <cell r="CH122" t="str">
            <v/>
          </cell>
          <cell r="CI122" t="str">
            <v/>
          </cell>
          <cell r="CJ122" t="str">
            <v/>
          </cell>
          <cell r="CK122" t="str">
            <v/>
          </cell>
          <cell r="CL122">
            <v>0</v>
          </cell>
          <cell r="CM122">
            <v>0</v>
          </cell>
          <cell r="CN122">
            <v>0</v>
          </cell>
          <cell r="CO122" t="str">
            <v>N.R</v>
          </cell>
          <cell r="CP122" t="str">
            <v/>
          </cell>
          <cell r="CQ122">
            <v>41</v>
          </cell>
          <cell r="CR122">
            <v>87</v>
          </cell>
          <cell r="CS122" t="e">
            <v>#VALUE!</v>
          </cell>
          <cell r="CT122" t="str">
            <v/>
          </cell>
          <cell r="CU122">
            <v>35</v>
          </cell>
          <cell r="CV122">
            <v>74</v>
          </cell>
          <cell r="CW122" t="e">
            <v>#VALUE!</v>
          </cell>
          <cell r="CX122" t="str">
            <v/>
          </cell>
          <cell r="CY122">
            <v>59</v>
          </cell>
          <cell r="CZ122">
            <v>97</v>
          </cell>
          <cell r="DA122" t="e">
            <v>#VALUE!</v>
          </cell>
          <cell r="DB122" t="str">
            <v/>
          </cell>
          <cell r="DC122">
            <v>0</v>
          </cell>
          <cell r="DD122">
            <v>0</v>
          </cell>
          <cell r="DE122" t="e">
            <v>#VALUE!</v>
          </cell>
          <cell r="DF122" t="str">
            <v/>
          </cell>
          <cell r="DG122">
            <v>33</v>
          </cell>
          <cell r="DH122">
            <v>87</v>
          </cell>
          <cell r="DI122" t="e">
            <v>#VALUE!</v>
          </cell>
          <cell r="DJ122" t="str">
            <v/>
          </cell>
          <cell r="DK122">
            <v>29</v>
          </cell>
          <cell r="DL122">
            <v>88</v>
          </cell>
          <cell r="DM122" t="e">
            <v>#VALUE!</v>
          </cell>
          <cell r="DN122" t="str">
            <v/>
          </cell>
          <cell r="DO122">
            <v>35</v>
          </cell>
          <cell r="DP122">
            <v>92</v>
          </cell>
          <cell r="DQ122" t="e">
            <v>#VALUE!</v>
          </cell>
          <cell r="DR122" t="str">
            <v/>
          </cell>
          <cell r="DS122">
            <v>0</v>
          </cell>
          <cell r="DT122">
            <v>81</v>
          </cell>
          <cell r="DU122" t="e">
            <v>#VALUE!</v>
          </cell>
          <cell r="DV122" t="str">
            <v/>
          </cell>
          <cell r="DW122">
            <v>0</v>
          </cell>
          <cell r="DX122">
            <v>0</v>
          </cell>
          <cell r="DY122" t="e">
            <v>#VALUE!</v>
          </cell>
          <cell r="DZ122" t="str">
            <v/>
          </cell>
          <cell r="EA122">
            <v>0</v>
          </cell>
          <cell r="EB122">
            <v>86</v>
          </cell>
          <cell r="EC122" t="e">
            <v>#VALUE!</v>
          </cell>
          <cell r="ED122" t="str">
            <v/>
          </cell>
          <cell r="EE122">
            <v>0</v>
          </cell>
          <cell r="EF122">
            <v>112</v>
          </cell>
          <cell r="EG122" t="e">
            <v>#VALUE!</v>
          </cell>
          <cell r="EH122" t="str">
            <v/>
          </cell>
          <cell r="EI122">
            <v>0</v>
          </cell>
          <cell r="EJ122">
            <v>89</v>
          </cell>
          <cell r="EK122" t="e">
            <v>#VALUE!</v>
          </cell>
          <cell r="EL122" t="str">
            <v/>
          </cell>
          <cell r="EM122">
            <v>0</v>
          </cell>
          <cell r="EN122">
            <v>91</v>
          </cell>
          <cell r="EO122" t="e">
            <v>#VALUE!</v>
          </cell>
          <cell r="EP122" t="str">
            <v/>
          </cell>
          <cell r="EQ122">
            <v>0</v>
          </cell>
          <cell r="ER122">
            <v>0</v>
          </cell>
          <cell r="ES122" t="e">
            <v>#VALUE!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  <cell r="V123" t="str">
            <v/>
          </cell>
          <cell r="W123" t="str">
            <v/>
          </cell>
          <cell r="X123" t="str">
            <v/>
          </cell>
          <cell r="Y123" t="str">
            <v/>
          </cell>
          <cell r="Z123" t="str">
            <v/>
          </cell>
          <cell r="AA123" t="str">
            <v/>
          </cell>
          <cell r="AB123" t="str">
            <v/>
          </cell>
          <cell r="AC123" t="str">
            <v/>
          </cell>
          <cell r="AD123" t="str">
            <v/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 t="str">
            <v/>
          </cell>
          <cell r="AL123" t="str">
            <v/>
          </cell>
          <cell r="AM123" t="str">
            <v/>
          </cell>
          <cell r="AN123" t="str">
            <v/>
          </cell>
          <cell r="AO123" t="str">
            <v/>
          </cell>
          <cell r="AP123" t="str">
            <v/>
          </cell>
          <cell r="AQ123" t="str">
            <v/>
          </cell>
          <cell r="AR123" t="str">
            <v/>
          </cell>
          <cell r="AS123" t="str">
            <v/>
          </cell>
          <cell r="AT123" t="str">
            <v/>
          </cell>
          <cell r="AU123" t="str">
            <v/>
          </cell>
          <cell r="AV123" t="str">
            <v/>
          </cell>
          <cell r="AW123" t="str">
            <v/>
          </cell>
          <cell r="AX123" t="str">
            <v/>
          </cell>
          <cell r="AY123" t="str">
            <v/>
          </cell>
          <cell r="AZ123" t="str">
            <v/>
          </cell>
          <cell r="BA123" t="str">
            <v/>
          </cell>
          <cell r="BB123" t="str">
            <v/>
          </cell>
          <cell r="BC123" t="str">
            <v/>
          </cell>
          <cell r="BD123" t="str">
            <v/>
          </cell>
          <cell r="BE123" t="str">
            <v/>
          </cell>
          <cell r="BF123" t="str">
            <v/>
          </cell>
          <cell r="BG123" t="str">
            <v/>
          </cell>
          <cell r="BH123" t="str">
            <v/>
          </cell>
          <cell r="BI123" t="str">
            <v/>
          </cell>
          <cell r="BJ123" t="str">
            <v/>
          </cell>
          <cell r="BK123" t="str">
            <v/>
          </cell>
          <cell r="BL123" t="str">
            <v/>
          </cell>
          <cell r="BM123" t="str">
            <v/>
          </cell>
          <cell r="BN123" t="str">
            <v/>
          </cell>
          <cell r="BO123" t="str">
            <v/>
          </cell>
          <cell r="BP123" t="str">
            <v/>
          </cell>
          <cell r="BQ123" t="str">
            <v/>
          </cell>
          <cell r="BR123" t="str">
            <v/>
          </cell>
          <cell r="BS123" t="str">
            <v/>
          </cell>
          <cell r="BT123" t="str">
            <v/>
          </cell>
          <cell r="BU123" t="str">
            <v/>
          </cell>
          <cell r="BV123" t="str">
            <v/>
          </cell>
          <cell r="BW123" t="str">
            <v/>
          </cell>
          <cell r="BX123" t="str">
            <v/>
          </cell>
          <cell r="BY123" t="str">
            <v/>
          </cell>
          <cell r="BZ123" t="str">
            <v/>
          </cell>
          <cell r="CA123" t="str">
            <v/>
          </cell>
          <cell r="CB123" t="str">
            <v/>
          </cell>
          <cell r="CC123" t="str">
            <v/>
          </cell>
          <cell r="CD123" t="str">
            <v/>
          </cell>
          <cell r="CE123" t="str">
            <v/>
          </cell>
          <cell r="CF123" t="str">
            <v/>
          </cell>
          <cell r="CG123" t="str">
            <v/>
          </cell>
          <cell r="CH123" t="str">
            <v/>
          </cell>
          <cell r="CI123" t="str">
            <v/>
          </cell>
          <cell r="CJ123" t="str">
            <v/>
          </cell>
          <cell r="CK123" t="str">
            <v/>
          </cell>
          <cell r="CL123">
            <v>0</v>
          </cell>
          <cell r="CM123">
            <v>0</v>
          </cell>
          <cell r="CN123">
            <v>0</v>
          </cell>
          <cell r="CO123" t="str">
            <v>N.R</v>
          </cell>
          <cell r="CP123" t="str">
            <v/>
          </cell>
          <cell r="CQ123">
            <v>41</v>
          </cell>
          <cell r="CR123">
            <v>87</v>
          </cell>
          <cell r="CS123" t="e">
            <v>#VALUE!</v>
          </cell>
          <cell r="CT123" t="str">
            <v/>
          </cell>
          <cell r="CU123">
            <v>35</v>
          </cell>
          <cell r="CV123">
            <v>74</v>
          </cell>
          <cell r="CW123" t="e">
            <v>#VALUE!</v>
          </cell>
          <cell r="CX123" t="str">
            <v/>
          </cell>
          <cell r="CY123">
            <v>59</v>
          </cell>
          <cell r="CZ123">
            <v>97</v>
          </cell>
          <cell r="DA123" t="e">
            <v>#VALUE!</v>
          </cell>
          <cell r="DB123" t="str">
            <v/>
          </cell>
          <cell r="DC123">
            <v>0</v>
          </cell>
          <cell r="DD123">
            <v>0</v>
          </cell>
          <cell r="DE123" t="e">
            <v>#VALUE!</v>
          </cell>
          <cell r="DF123" t="str">
            <v/>
          </cell>
          <cell r="DG123">
            <v>33</v>
          </cell>
          <cell r="DH123">
            <v>87</v>
          </cell>
          <cell r="DI123" t="e">
            <v>#VALUE!</v>
          </cell>
          <cell r="DJ123" t="str">
            <v/>
          </cell>
          <cell r="DK123">
            <v>29</v>
          </cell>
          <cell r="DL123">
            <v>88</v>
          </cell>
          <cell r="DM123" t="e">
            <v>#VALUE!</v>
          </cell>
          <cell r="DN123" t="str">
            <v/>
          </cell>
          <cell r="DO123">
            <v>35</v>
          </cell>
          <cell r="DP123">
            <v>92</v>
          </cell>
          <cell r="DQ123" t="e">
            <v>#VALUE!</v>
          </cell>
          <cell r="DR123" t="str">
            <v/>
          </cell>
          <cell r="DS123">
            <v>0</v>
          </cell>
          <cell r="DT123">
            <v>81</v>
          </cell>
          <cell r="DU123" t="e">
            <v>#VALUE!</v>
          </cell>
          <cell r="DV123" t="str">
            <v/>
          </cell>
          <cell r="DW123">
            <v>0</v>
          </cell>
          <cell r="DX123">
            <v>0</v>
          </cell>
          <cell r="DY123" t="e">
            <v>#VALUE!</v>
          </cell>
          <cell r="DZ123" t="str">
            <v/>
          </cell>
          <cell r="EA123">
            <v>0</v>
          </cell>
          <cell r="EB123">
            <v>86</v>
          </cell>
          <cell r="EC123" t="e">
            <v>#VALUE!</v>
          </cell>
          <cell r="ED123" t="str">
            <v/>
          </cell>
          <cell r="EE123">
            <v>0</v>
          </cell>
          <cell r="EF123">
            <v>113</v>
          </cell>
          <cell r="EG123" t="e">
            <v>#VALUE!</v>
          </cell>
          <cell r="EH123" t="str">
            <v/>
          </cell>
          <cell r="EI123">
            <v>0</v>
          </cell>
          <cell r="EJ123">
            <v>89</v>
          </cell>
          <cell r="EK123" t="e">
            <v>#VALUE!</v>
          </cell>
          <cell r="EL123" t="str">
            <v/>
          </cell>
          <cell r="EM123">
            <v>0</v>
          </cell>
          <cell r="EN123">
            <v>91</v>
          </cell>
          <cell r="EO123" t="e">
            <v>#VALUE!</v>
          </cell>
          <cell r="EP123" t="str">
            <v/>
          </cell>
          <cell r="EQ123">
            <v>0</v>
          </cell>
          <cell r="ER123">
            <v>0</v>
          </cell>
          <cell r="ES123" t="e">
            <v>#VALUE!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  <cell r="Q124" t="str">
            <v/>
          </cell>
          <cell r="R124" t="str">
            <v/>
          </cell>
          <cell r="S124" t="str">
            <v/>
          </cell>
          <cell r="T124" t="str">
            <v/>
          </cell>
          <cell r="U124" t="str">
            <v/>
          </cell>
          <cell r="V124" t="str">
            <v/>
          </cell>
          <cell r="W124" t="str">
            <v/>
          </cell>
          <cell r="X124" t="str">
            <v/>
          </cell>
          <cell r="Y124" t="str">
            <v/>
          </cell>
          <cell r="Z124" t="str">
            <v/>
          </cell>
          <cell r="AA124" t="str">
            <v/>
          </cell>
          <cell r="AB124" t="str">
            <v/>
          </cell>
          <cell r="AC124" t="str">
            <v/>
          </cell>
          <cell r="AD124" t="str">
            <v/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 t="str">
            <v/>
          </cell>
          <cell r="AL124" t="str">
            <v/>
          </cell>
          <cell r="AM124" t="str">
            <v/>
          </cell>
          <cell r="AN124" t="str">
            <v/>
          </cell>
          <cell r="AO124" t="str">
            <v/>
          </cell>
          <cell r="AP124" t="str">
            <v/>
          </cell>
          <cell r="AQ124" t="str">
            <v/>
          </cell>
          <cell r="AR124" t="str">
            <v/>
          </cell>
          <cell r="AS124" t="str">
            <v/>
          </cell>
          <cell r="AT124" t="str">
            <v/>
          </cell>
          <cell r="AU124" t="str">
            <v/>
          </cell>
          <cell r="AV124" t="str">
            <v/>
          </cell>
          <cell r="AW124" t="str">
            <v/>
          </cell>
          <cell r="AX124" t="str">
            <v/>
          </cell>
          <cell r="AY124" t="str">
            <v/>
          </cell>
          <cell r="AZ124" t="str">
            <v/>
          </cell>
          <cell r="BA124" t="str">
            <v/>
          </cell>
          <cell r="BB124" t="str">
            <v/>
          </cell>
          <cell r="BC124" t="str">
            <v/>
          </cell>
          <cell r="BD124" t="str">
            <v/>
          </cell>
          <cell r="BE124" t="str">
            <v/>
          </cell>
          <cell r="BF124" t="str">
            <v/>
          </cell>
          <cell r="BG124" t="str">
            <v/>
          </cell>
          <cell r="BH124" t="str">
            <v/>
          </cell>
          <cell r="BI124" t="str">
            <v/>
          </cell>
          <cell r="BJ124" t="str">
            <v/>
          </cell>
          <cell r="BK124" t="str">
            <v/>
          </cell>
          <cell r="BL124" t="str">
            <v/>
          </cell>
          <cell r="BM124" t="str">
            <v/>
          </cell>
          <cell r="BN124" t="str">
            <v/>
          </cell>
          <cell r="BO124" t="str">
            <v/>
          </cell>
          <cell r="BP124" t="str">
            <v/>
          </cell>
          <cell r="BQ124" t="str">
            <v/>
          </cell>
          <cell r="BR124" t="str">
            <v/>
          </cell>
          <cell r="BS124" t="str">
            <v/>
          </cell>
          <cell r="BT124" t="str">
            <v/>
          </cell>
          <cell r="BU124" t="str">
            <v/>
          </cell>
          <cell r="BV124" t="str">
            <v/>
          </cell>
          <cell r="BW124" t="str">
            <v/>
          </cell>
          <cell r="BX124" t="str">
            <v/>
          </cell>
          <cell r="BY124" t="str">
            <v/>
          </cell>
          <cell r="BZ124" t="str">
            <v/>
          </cell>
          <cell r="CA124" t="str">
            <v/>
          </cell>
          <cell r="CB124" t="str">
            <v/>
          </cell>
          <cell r="CC124" t="str">
            <v/>
          </cell>
          <cell r="CD124" t="str">
            <v/>
          </cell>
          <cell r="CE124" t="str">
            <v/>
          </cell>
          <cell r="CF124" t="str">
            <v/>
          </cell>
          <cell r="CG124" t="str">
            <v/>
          </cell>
          <cell r="CH124" t="str">
            <v/>
          </cell>
          <cell r="CI124" t="str">
            <v/>
          </cell>
          <cell r="CJ124" t="str">
            <v/>
          </cell>
          <cell r="CK124" t="str">
            <v/>
          </cell>
          <cell r="CL124">
            <v>0</v>
          </cell>
          <cell r="CM124">
            <v>0</v>
          </cell>
          <cell r="CN124">
            <v>0</v>
          </cell>
          <cell r="CO124" t="str">
            <v>N.R</v>
          </cell>
          <cell r="CP124" t="str">
            <v/>
          </cell>
          <cell r="CQ124">
            <v>41</v>
          </cell>
          <cell r="CR124">
            <v>87</v>
          </cell>
          <cell r="CS124" t="e">
            <v>#VALUE!</v>
          </cell>
          <cell r="CT124" t="str">
            <v/>
          </cell>
          <cell r="CU124">
            <v>35</v>
          </cell>
          <cell r="CV124">
            <v>74</v>
          </cell>
          <cell r="CW124" t="e">
            <v>#VALUE!</v>
          </cell>
          <cell r="CX124" t="str">
            <v/>
          </cell>
          <cell r="CY124">
            <v>59</v>
          </cell>
          <cell r="CZ124">
            <v>97</v>
          </cell>
          <cell r="DA124" t="e">
            <v>#VALUE!</v>
          </cell>
          <cell r="DB124" t="str">
            <v/>
          </cell>
          <cell r="DC124">
            <v>0</v>
          </cell>
          <cell r="DD124">
            <v>0</v>
          </cell>
          <cell r="DE124" t="e">
            <v>#VALUE!</v>
          </cell>
          <cell r="DF124" t="str">
            <v/>
          </cell>
          <cell r="DG124">
            <v>33</v>
          </cell>
          <cell r="DH124">
            <v>87</v>
          </cell>
          <cell r="DI124" t="e">
            <v>#VALUE!</v>
          </cell>
          <cell r="DJ124" t="str">
            <v/>
          </cell>
          <cell r="DK124">
            <v>29</v>
          </cell>
          <cell r="DL124">
            <v>88</v>
          </cell>
          <cell r="DM124" t="e">
            <v>#VALUE!</v>
          </cell>
          <cell r="DN124" t="str">
            <v/>
          </cell>
          <cell r="DO124">
            <v>35</v>
          </cell>
          <cell r="DP124">
            <v>92</v>
          </cell>
          <cell r="DQ124" t="e">
            <v>#VALUE!</v>
          </cell>
          <cell r="DR124" t="str">
            <v/>
          </cell>
          <cell r="DS124">
            <v>0</v>
          </cell>
          <cell r="DT124">
            <v>81</v>
          </cell>
          <cell r="DU124" t="e">
            <v>#VALUE!</v>
          </cell>
          <cell r="DV124" t="str">
            <v/>
          </cell>
          <cell r="DW124">
            <v>0</v>
          </cell>
          <cell r="DX124">
            <v>0</v>
          </cell>
          <cell r="DY124" t="e">
            <v>#VALUE!</v>
          </cell>
          <cell r="DZ124" t="str">
            <v/>
          </cell>
          <cell r="EA124">
            <v>0</v>
          </cell>
          <cell r="EB124">
            <v>86</v>
          </cell>
          <cell r="EC124" t="e">
            <v>#VALUE!</v>
          </cell>
          <cell r="ED124" t="str">
            <v/>
          </cell>
          <cell r="EE124">
            <v>0</v>
          </cell>
          <cell r="EF124">
            <v>114</v>
          </cell>
          <cell r="EG124" t="e">
            <v>#VALUE!</v>
          </cell>
          <cell r="EH124" t="str">
            <v/>
          </cell>
          <cell r="EI124">
            <v>0</v>
          </cell>
          <cell r="EJ124">
            <v>89</v>
          </cell>
          <cell r="EK124" t="e">
            <v>#VALUE!</v>
          </cell>
          <cell r="EL124" t="str">
            <v/>
          </cell>
          <cell r="EM124">
            <v>0</v>
          </cell>
          <cell r="EN124">
            <v>91</v>
          </cell>
          <cell r="EO124" t="e">
            <v>#VALUE!</v>
          </cell>
          <cell r="EP124" t="str">
            <v/>
          </cell>
          <cell r="EQ124">
            <v>0</v>
          </cell>
          <cell r="ER124">
            <v>0</v>
          </cell>
          <cell r="ES124" t="e">
            <v>#VALUE!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 t="str">
            <v/>
          </cell>
          <cell r="P125" t="str">
            <v/>
          </cell>
          <cell r="Q125" t="str">
            <v/>
          </cell>
          <cell r="R125" t="str">
            <v/>
          </cell>
          <cell r="S125" t="str">
            <v/>
          </cell>
          <cell r="T125" t="str">
            <v/>
          </cell>
          <cell r="U125" t="str">
            <v/>
          </cell>
          <cell r="V125" t="str">
            <v/>
          </cell>
          <cell r="W125" t="str">
            <v/>
          </cell>
          <cell r="X125" t="str">
            <v/>
          </cell>
          <cell r="Y125" t="str">
            <v/>
          </cell>
          <cell r="Z125" t="str">
            <v/>
          </cell>
          <cell r="AA125" t="str">
            <v/>
          </cell>
          <cell r="AB125" t="str">
            <v/>
          </cell>
          <cell r="AC125" t="str">
            <v/>
          </cell>
          <cell r="AD125" t="str">
            <v/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 t="str">
            <v/>
          </cell>
          <cell r="AL125" t="str">
            <v/>
          </cell>
          <cell r="AM125" t="str">
            <v/>
          </cell>
          <cell r="AN125" t="str">
            <v/>
          </cell>
          <cell r="AO125" t="str">
            <v/>
          </cell>
          <cell r="AP125" t="str">
            <v/>
          </cell>
          <cell r="AQ125" t="str">
            <v/>
          </cell>
          <cell r="AR125" t="str">
            <v/>
          </cell>
          <cell r="AS125" t="str">
            <v/>
          </cell>
          <cell r="AT125" t="str">
            <v/>
          </cell>
          <cell r="AU125" t="str">
            <v/>
          </cell>
          <cell r="AV125" t="str">
            <v/>
          </cell>
          <cell r="AW125" t="str">
            <v/>
          </cell>
          <cell r="AX125" t="str">
            <v/>
          </cell>
          <cell r="AY125" t="str">
            <v/>
          </cell>
          <cell r="AZ125" t="str">
            <v/>
          </cell>
          <cell r="BA125" t="str">
            <v/>
          </cell>
          <cell r="BB125" t="str">
            <v/>
          </cell>
          <cell r="BC125" t="str">
            <v/>
          </cell>
          <cell r="BD125" t="str">
            <v/>
          </cell>
          <cell r="BE125" t="str">
            <v/>
          </cell>
          <cell r="BF125" t="str">
            <v/>
          </cell>
          <cell r="BG125" t="str">
            <v/>
          </cell>
          <cell r="BH125" t="str">
            <v/>
          </cell>
          <cell r="BI125" t="str">
            <v/>
          </cell>
          <cell r="BJ125" t="str">
            <v/>
          </cell>
          <cell r="BK125" t="str">
            <v/>
          </cell>
          <cell r="BL125" t="str">
            <v/>
          </cell>
          <cell r="BM125" t="str">
            <v/>
          </cell>
          <cell r="BN125" t="str">
            <v/>
          </cell>
          <cell r="BO125" t="str">
            <v/>
          </cell>
          <cell r="BP125" t="str">
            <v/>
          </cell>
          <cell r="BQ125" t="str">
            <v/>
          </cell>
          <cell r="BR125" t="str">
            <v/>
          </cell>
          <cell r="BS125" t="str">
            <v/>
          </cell>
          <cell r="BT125" t="str">
            <v/>
          </cell>
          <cell r="BU125" t="str">
            <v/>
          </cell>
          <cell r="BV125" t="str">
            <v/>
          </cell>
          <cell r="BW125" t="str">
            <v/>
          </cell>
          <cell r="BX125" t="str">
            <v/>
          </cell>
          <cell r="BY125" t="str">
            <v/>
          </cell>
          <cell r="BZ125" t="str">
            <v/>
          </cell>
          <cell r="CA125" t="str">
            <v/>
          </cell>
          <cell r="CB125" t="str">
            <v/>
          </cell>
          <cell r="CC125" t="str">
            <v/>
          </cell>
          <cell r="CD125" t="str">
            <v/>
          </cell>
          <cell r="CE125" t="str">
            <v/>
          </cell>
          <cell r="CF125" t="str">
            <v/>
          </cell>
          <cell r="CG125" t="str">
            <v/>
          </cell>
          <cell r="CH125" t="str">
            <v/>
          </cell>
          <cell r="CI125" t="str">
            <v/>
          </cell>
          <cell r="CJ125" t="str">
            <v/>
          </cell>
          <cell r="CK125" t="str">
            <v/>
          </cell>
          <cell r="CL125">
            <v>0</v>
          </cell>
          <cell r="CM125">
            <v>0</v>
          </cell>
          <cell r="CN125">
            <v>0</v>
          </cell>
          <cell r="CO125" t="str">
            <v>N.R</v>
          </cell>
          <cell r="CP125" t="str">
            <v/>
          </cell>
          <cell r="CQ125">
            <v>41</v>
          </cell>
          <cell r="CR125">
            <v>87</v>
          </cell>
          <cell r="CS125" t="e">
            <v>#VALUE!</v>
          </cell>
          <cell r="CT125" t="str">
            <v/>
          </cell>
          <cell r="CU125">
            <v>35</v>
          </cell>
          <cell r="CV125">
            <v>74</v>
          </cell>
          <cell r="CW125" t="e">
            <v>#VALUE!</v>
          </cell>
          <cell r="CX125" t="str">
            <v/>
          </cell>
          <cell r="CY125">
            <v>59</v>
          </cell>
          <cell r="CZ125">
            <v>97</v>
          </cell>
          <cell r="DA125" t="e">
            <v>#VALUE!</v>
          </cell>
          <cell r="DB125" t="str">
            <v/>
          </cell>
          <cell r="DC125">
            <v>0</v>
          </cell>
          <cell r="DD125">
            <v>0</v>
          </cell>
          <cell r="DE125" t="e">
            <v>#VALUE!</v>
          </cell>
          <cell r="DF125" t="str">
            <v/>
          </cell>
          <cell r="DG125">
            <v>33</v>
          </cell>
          <cell r="DH125">
            <v>87</v>
          </cell>
          <cell r="DI125" t="e">
            <v>#VALUE!</v>
          </cell>
          <cell r="DJ125" t="str">
            <v/>
          </cell>
          <cell r="DK125">
            <v>29</v>
          </cell>
          <cell r="DL125">
            <v>88</v>
          </cell>
          <cell r="DM125" t="e">
            <v>#VALUE!</v>
          </cell>
          <cell r="DN125" t="str">
            <v/>
          </cell>
          <cell r="DO125">
            <v>35</v>
          </cell>
          <cell r="DP125">
            <v>92</v>
          </cell>
          <cell r="DQ125" t="e">
            <v>#VALUE!</v>
          </cell>
          <cell r="DR125" t="str">
            <v/>
          </cell>
          <cell r="DS125">
            <v>0</v>
          </cell>
          <cell r="DT125">
            <v>81</v>
          </cell>
          <cell r="DU125" t="e">
            <v>#VALUE!</v>
          </cell>
          <cell r="DV125" t="str">
            <v/>
          </cell>
          <cell r="DW125">
            <v>0</v>
          </cell>
          <cell r="DX125">
            <v>0</v>
          </cell>
          <cell r="DY125" t="e">
            <v>#VALUE!</v>
          </cell>
          <cell r="DZ125" t="str">
            <v/>
          </cell>
          <cell r="EA125">
            <v>0</v>
          </cell>
          <cell r="EB125">
            <v>86</v>
          </cell>
          <cell r="EC125" t="e">
            <v>#VALUE!</v>
          </cell>
          <cell r="ED125" t="str">
            <v/>
          </cell>
          <cell r="EE125">
            <v>0</v>
          </cell>
          <cell r="EF125">
            <v>115</v>
          </cell>
          <cell r="EG125" t="e">
            <v>#VALUE!</v>
          </cell>
          <cell r="EH125" t="str">
            <v/>
          </cell>
          <cell r="EI125">
            <v>0</v>
          </cell>
          <cell r="EJ125">
            <v>89</v>
          </cell>
          <cell r="EK125" t="e">
            <v>#VALUE!</v>
          </cell>
          <cell r="EL125" t="str">
            <v/>
          </cell>
          <cell r="EM125">
            <v>0</v>
          </cell>
          <cell r="EN125">
            <v>91</v>
          </cell>
          <cell r="EO125" t="e">
            <v>#VALUE!</v>
          </cell>
          <cell r="EP125" t="str">
            <v/>
          </cell>
          <cell r="EQ125">
            <v>0</v>
          </cell>
          <cell r="ER125">
            <v>0</v>
          </cell>
          <cell r="ES125" t="e">
            <v>#VALUE!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  <cell r="S126" t="str">
            <v/>
          </cell>
          <cell r="T126" t="str">
            <v/>
          </cell>
          <cell r="U126" t="str">
            <v/>
          </cell>
          <cell r="V126" t="str">
            <v/>
          </cell>
          <cell r="W126" t="str">
            <v/>
          </cell>
          <cell r="X126" t="str">
            <v/>
          </cell>
          <cell r="Y126" t="str">
            <v/>
          </cell>
          <cell r="Z126" t="str">
            <v/>
          </cell>
          <cell r="AA126" t="str">
            <v/>
          </cell>
          <cell r="AB126" t="str">
            <v/>
          </cell>
          <cell r="AC126" t="str">
            <v/>
          </cell>
          <cell r="AD126" t="str">
            <v/>
          </cell>
          <cell r="AE126" t="str">
            <v/>
          </cell>
          <cell r="AF126" t="str">
            <v/>
          </cell>
          <cell r="AG126" t="str">
            <v/>
          </cell>
          <cell r="AH126" t="str">
            <v/>
          </cell>
          <cell r="AI126" t="str">
            <v/>
          </cell>
          <cell r="AJ126" t="str">
            <v/>
          </cell>
          <cell r="AK126" t="str">
            <v/>
          </cell>
          <cell r="AL126" t="str">
            <v/>
          </cell>
          <cell r="AM126" t="str">
            <v/>
          </cell>
          <cell r="AN126" t="str">
            <v/>
          </cell>
          <cell r="AO126" t="str">
            <v/>
          </cell>
          <cell r="AP126" t="str">
            <v/>
          </cell>
          <cell r="AQ126" t="str">
            <v/>
          </cell>
          <cell r="AR126" t="str">
            <v/>
          </cell>
          <cell r="AS126" t="str">
            <v/>
          </cell>
          <cell r="AT126" t="str">
            <v/>
          </cell>
          <cell r="AU126" t="str">
            <v/>
          </cell>
          <cell r="AV126" t="str">
            <v/>
          </cell>
          <cell r="AW126" t="str">
            <v/>
          </cell>
          <cell r="AX126" t="str">
            <v/>
          </cell>
          <cell r="AY126" t="str">
            <v/>
          </cell>
          <cell r="AZ126" t="str">
            <v/>
          </cell>
          <cell r="BA126" t="str">
            <v/>
          </cell>
          <cell r="BB126" t="str">
            <v/>
          </cell>
          <cell r="BC126" t="str">
            <v/>
          </cell>
          <cell r="BD126" t="str">
            <v/>
          </cell>
          <cell r="BE126" t="str">
            <v/>
          </cell>
          <cell r="BF126" t="str">
            <v/>
          </cell>
          <cell r="BG126" t="str">
            <v/>
          </cell>
          <cell r="BH126" t="str">
            <v/>
          </cell>
          <cell r="BI126" t="str">
            <v/>
          </cell>
          <cell r="BJ126" t="str">
            <v/>
          </cell>
          <cell r="BK126" t="str">
            <v/>
          </cell>
          <cell r="BL126" t="str">
            <v/>
          </cell>
          <cell r="BM126" t="str">
            <v/>
          </cell>
          <cell r="BN126" t="str">
            <v/>
          </cell>
          <cell r="BO126" t="str">
            <v/>
          </cell>
          <cell r="BP126" t="str">
            <v/>
          </cell>
          <cell r="BQ126" t="str">
            <v/>
          </cell>
          <cell r="BR126" t="str">
            <v/>
          </cell>
          <cell r="BS126" t="str">
            <v/>
          </cell>
          <cell r="BT126" t="str">
            <v/>
          </cell>
          <cell r="BU126" t="str">
            <v/>
          </cell>
          <cell r="BV126" t="str">
            <v/>
          </cell>
          <cell r="BW126" t="str">
            <v/>
          </cell>
          <cell r="BX126" t="str">
            <v/>
          </cell>
          <cell r="BY126" t="str">
            <v/>
          </cell>
          <cell r="BZ126" t="str">
            <v/>
          </cell>
          <cell r="CA126" t="str">
            <v/>
          </cell>
          <cell r="CB126" t="str">
            <v/>
          </cell>
          <cell r="CC126" t="str">
            <v/>
          </cell>
          <cell r="CD126" t="str">
            <v/>
          </cell>
          <cell r="CE126" t="str">
            <v/>
          </cell>
          <cell r="CF126" t="str">
            <v/>
          </cell>
          <cell r="CG126" t="str">
            <v/>
          </cell>
          <cell r="CH126" t="str">
            <v/>
          </cell>
          <cell r="CI126" t="str">
            <v/>
          </cell>
          <cell r="CJ126" t="str">
            <v/>
          </cell>
          <cell r="CK126" t="str">
            <v/>
          </cell>
          <cell r="CL126">
            <v>0</v>
          </cell>
          <cell r="CM126">
            <v>0</v>
          </cell>
          <cell r="CN126">
            <v>0</v>
          </cell>
          <cell r="CO126" t="str">
            <v>N.R</v>
          </cell>
          <cell r="CP126" t="str">
            <v/>
          </cell>
          <cell r="CQ126">
            <v>41</v>
          </cell>
          <cell r="CR126">
            <v>87</v>
          </cell>
          <cell r="CS126" t="e">
            <v>#VALUE!</v>
          </cell>
          <cell r="CT126" t="str">
            <v/>
          </cell>
          <cell r="CU126">
            <v>35</v>
          </cell>
          <cell r="CV126">
            <v>74</v>
          </cell>
          <cell r="CW126" t="e">
            <v>#VALUE!</v>
          </cell>
          <cell r="CX126" t="str">
            <v/>
          </cell>
          <cell r="CY126">
            <v>59</v>
          </cell>
          <cell r="CZ126">
            <v>97</v>
          </cell>
          <cell r="DA126" t="e">
            <v>#VALUE!</v>
          </cell>
          <cell r="DB126" t="str">
            <v/>
          </cell>
          <cell r="DC126">
            <v>0</v>
          </cell>
          <cell r="DD126">
            <v>0</v>
          </cell>
          <cell r="DE126" t="e">
            <v>#VALUE!</v>
          </cell>
          <cell r="DF126" t="str">
            <v/>
          </cell>
          <cell r="DG126">
            <v>33</v>
          </cell>
          <cell r="DH126">
            <v>87</v>
          </cell>
          <cell r="DI126" t="e">
            <v>#VALUE!</v>
          </cell>
          <cell r="DJ126" t="str">
            <v/>
          </cell>
          <cell r="DK126">
            <v>29</v>
          </cell>
          <cell r="DL126">
            <v>88</v>
          </cell>
          <cell r="DM126" t="e">
            <v>#VALUE!</v>
          </cell>
          <cell r="DN126" t="str">
            <v/>
          </cell>
          <cell r="DO126">
            <v>35</v>
          </cell>
          <cell r="DP126">
            <v>92</v>
          </cell>
          <cell r="DQ126" t="e">
            <v>#VALUE!</v>
          </cell>
          <cell r="DR126" t="str">
            <v/>
          </cell>
          <cell r="DS126">
            <v>0</v>
          </cell>
          <cell r="DT126">
            <v>81</v>
          </cell>
          <cell r="DU126" t="e">
            <v>#VALUE!</v>
          </cell>
          <cell r="DV126" t="str">
            <v/>
          </cell>
          <cell r="DW126">
            <v>0</v>
          </cell>
          <cell r="DX126">
            <v>0</v>
          </cell>
          <cell r="DY126" t="e">
            <v>#VALUE!</v>
          </cell>
          <cell r="DZ126" t="str">
            <v/>
          </cell>
          <cell r="EA126">
            <v>0</v>
          </cell>
          <cell r="EB126">
            <v>86</v>
          </cell>
          <cell r="EC126" t="e">
            <v>#VALUE!</v>
          </cell>
          <cell r="ED126" t="str">
            <v/>
          </cell>
          <cell r="EE126">
            <v>0</v>
          </cell>
          <cell r="EF126">
            <v>116</v>
          </cell>
          <cell r="EG126" t="e">
            <v>#VALUE!</v>
          </cell>
          <cell r="EH126" t="str">
            <v/>
          </cell>
          <cell r="EI126">
            <v>0</v>
          </cell>
          <cell r="EJ126">
            <v>89</v>
          </cell>
          <cell r="EK126" t="e">
            <v>#VALUE!</v>
          </cell>
          <cell r="EL126" t="str">
            <v/>
          </cell>
          <cell r="EM126">
            <v>0</v>
          </cell>
          <cell r="EN126">
            <v>91</v>
          </cell>
          <cell r="EO126" t="e">
            <v>#VALUE!</v>
          </cell>
          <cell r="EP126" t="str">
            <v/>
          </cell>
          <cell r="EQ126">
            <v>0</v>
          </cell>
          <cell r="ER126">
            <v>0</v>
          </cell>
          <cell r="ES126" t="e">
            <v>#VALUE!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 t="str">
            <v/>
          </cell>
          <cell r="P127" t="str">
            <v/>
          </cell>
          <cell r="Q127" t="str">
            <v/>
          </cell>
          <cell r="R127" t="str">
            <v/>
          </cell>
          <cell r="S127" t="str">
            <v/>
          </cell>
          <cell r="T127" t="str">
            <v/>
          </cell>
          <cell r="U127" t="str">
            <v/>
          </cell>
          <cell r="V127" t="str">
            <v/>
          </cell>
          <cell r="W127" t="str">
            <v/>
          </cell>
          <cell r="X127" t="str">
            <v/>
          </cell>
          <cell r="Y127" t="str">
            <v/>
          </cell>
          <cell r="Z127" t="str">
            <v/>
          </cell>
          <cell r="AA127" t="str">
            <v/>
          </cell>
          <cell r="AB127" t="str">
            <v/>
          </cell>
          <cell r="AC127" t="str">
            <v/>
          </cell>
          <cell r="AD127" t="str">
            <v/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 t="str">
            <v/>
          </cell>
          <cell r="AL127" t="str">
            <v/>
          </cell>
          <cell r="AM127" t="str">
            <v/>
          </cell>
          <cell r="AN127" t="str">
            <v/>
          </cell>
          <cell r="AO127" t="str">
            <v/>
          </cell>
          <cell r="AP127" t="str">
            <v/>
          </cell>
          <cell r="AQ127" t="str">
            <v/>
          </cell>
          <cell r="AR127" t="str">
            <v/>
          </cell>
          <cell r="AS127" t="str">
            <v/>
          </cell>
          <cell r="AT127" t="str">
            <v/>
          </cell>
          <cell r="AU127" t="str">
            <v/>
          </cell>
          <cell r="AV127" t="str">
            <v/>
          </cell>
          <cell r="AW127" t="str">
            <v/>
          </cell>
          <cell r="AX127" t="str">
            <v/>
          </cell>
          <cell r="AY127" t="str">
            <v/>
          </cell>
          <cell r="AZ127" t="str">
            <v/>
          </cell>
          <cell r="BA127" t="str">
            <v/>
          </cell>
          <cell r="BB127" t="str">
            <v/>
          </cell>
          <cell r="BC127" t="str">
            <v/>
          </cell>
          <cell r="BD127" t="str">
            <v/>
          </cell>
          <cell r="BE127" t="str">
            <v/>
          </cell>
          <cell r="BF127" t="str">
            <v/>
          </cell>
          <cell r="BG127" t="str">
            <v/>
          </cell>
          <cell r="BH127" t="str">
            <v/>
          </cell>
          <cell r="BI127" t="str">
            <v/>
          </cell>
          <cell r="BJ127" t="str">
            <v/>
          </cell>
          <cell r="BK127" t="str">
            <v/>
          </cell>
          <cell r="BL127" t="str">
            <v/>
          </cell>
          <cell r="BM127" t="str">
            <v/>
          </cell>
          <cell r="BN127" t="str">
            <v/>
          </cell>
          <cell r="BO127" t="str">
            <v/>
          </cell>
          <cell r="BP127" t="str">
            <v/>
          </cell>
          <cell r="BQ127" t="str">
            <v/>
          </cell>
          <cell r="BR127" t="str">
            <v/>
          </cell>
          <cell r="BS127" t="str">
            <v/>
          </cell>
          <cell r="BT127" t="str">
            <v/>
          </cell>
          <cell r="BU127" t="str">
            <v/>
          </cell>
          <cell r="BV127" t="str">
            <v/>
          </cell>
          <cell r="BW127" t="str">
            <v/>
          </cell>
          <cell r="BX127" t="str">
            <v/>
          </cell>
          <cell r="BY127" t="str">
            <v/>
          </cell>
          <cell r="BZ127" t="str">
            <v/>
          </cell>
          <cell r="CA127" t="str">
            <v/>
          </cell>
          <cell r="CB127" t="str">
            <v/>
          </cell>
          <cell r="CC127" t="str">
            <v/>
          </cell>
          <cell r="CD127" t="str">
            <v/>
          </cell>
          <cell r="CE127" t="str">
            <v/>
          </cell>
          <cell r="CF127" t="str">
            <v/>
          </cell>
          <cell r="CG127" t="str">
            <v/>
          </cell>
          <cell r="CH127" t="str">
            <v/>
          </cell>
          <cell r="CI127" t="str">
            <v/>
          </cell>
          <cell r="CJ127" t="str">
            <v/>
          </cell>
          <cell r="CK127" t="str">
            <v/>
          </cell>
          <cell r="CL127">
            <v>0</v>
          </cell>
          <cell r="CM127">
            <v>0</v>
          </cell>
          <cell r="CN127">
            <v>0</v>
          </cell>
          <cell r="CO127" t="str">
            <v>N.R</v>
          </cell>
          <cell r="CP127" t="str">
            <v/>
          </cell>
          <cell r="CQ127">
            <v>41</v>
          </cell>
          <cell r="CR127">
            <v>87</v>
          </cell>
          <cell r="CS127" t="e">
            <v>#VALUE!</v>
          </cell>
          <cell r="CT127" t="str">
            <v/>
          </cell>
          <cell r="CU127">
            <v>35</v>
          </cell>
          <cell r="CV127">
            <v>74</v>
          </cell>
          <cell r="CW127" t="e">
            <v>#VALUE!</v>
          </cell>
          <cell r="CX127" t="str">
            <v/>
          </cell>
          <cell r="CY127">
            <v>59</v>
          </cell>
          <cell r="CZ127">
            <v>97</v>
          </cell>
          <cell r="DA127" t="e">
            <v>#VALUE!</v>
          </cell>
          <cell r="DB127" t="str">
            <v/>
          </cell>
          <cell r="DC127">
            <v>0</v>
          </cell>
          <cell r="DD127">
            <v>0</v>
          </cell>
          <cell r="DE127" t="e">
            <v>#VALUE!</v>
          </cell>
          <cell r="DF127" t="str">
            <v/>
          </cell>
          <cell r="DG127">
            <v>33</v>
          </cell>
          <cell r="DH127">
            <v>87</v>
          </cell>
          <cell r="DI127" t="e">
            <v>#VALUE!</v>
          </cell>
          <cell r="DJ127" t="str">
            <v/>
          </cell>
          <cell r="DK127">
            <v>29</v>
          </cell>
          <cell r="DL127">
            <v>88</v>
          </cell>
          <cell r="DM127" t="e">
            <v>#VALUE!</v>
          </cell>
          <cell r="DN127" t="str">
            <v/>
          </cell>
          <cell r="DO127">
            <v>35</v>
          </cell>
          <cell r="DP127">
            <v>92</v>
          </cell>
          <cell r="DQ127" t="e">
            <v>#VALUE!</v>
          </cell>
          <cell r="DR127" t="str">
            <v/>
          </cell>
          <cell r="DS127">
            <v>0</v>
          </cell>
          <cell r="DT127">
            <v>81</v>
          </cell>
          <cell r="DU127" t="e">
            <v>#VALUE!</v>
          </cell>
          <cell r="DV127" t="str">
            <v/>
          </cell>
          <cell r="DW127">
            <v>0</v>
          </cell>
          <cell r="DX127">
            <v>0</v>
          </cell>
          <cell r="DY127" t="e">
            <v>#VALUE!</v>
          </cell>
          <cell r="DZ127" t="str">
            <v/>
          </cell>
          <cell r="EA127">
            <v>0</v>
          </cell>
          <cell r="EB127">
            <v>86</v>
          </cell>
          <cell r="EC127" t="e">
            <v>#VALUE!</v>
          </cell>
          <cell r="ED127" t="str">
            <v/>
          </cell>
          <cell r="EE127">
            <v>0</v>
          </cell>
          <cell r="EF127">
            <v>117</v>
          </cell>
          <cell r="EG127" t="e">
            <v>#VALUE!</v>
          </cell>
          <cell r="EH127" t="str">
            <v/>
          </cell>
          <cell r="EI127">
            <v>0</v>
          </cell>
          <cell r="EJ127">
            <v>89</v>
          </cell>
          <cell r="EK127" t="e">
            <v>#VALUE!</v>
          </cell>
          <cell r="EL127" t="str">
            <v/>
          </cell>
          <cell r="EM127">
            <v>0</v>
          </cell>
          <cell r="EN127">
            <v>91</v>
          </cell>
          <cell r="EO127" t="e">
            <v>#VALUE!</v>
          </cell>
          <cell r="EP127" t="str">
            <v/>
          </cell>
          <cell r="EQ127">
            <v>0</v>
          </cell>
          <cell r="ER127">
            <v>0</v>
          </cell>
          <cell r="ES127" t="e">
            <v>#VALUE!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 t="str">
            <v/>
          </cell>
          <cell r="P128" t="str">
            <v/>
          </cell>
          <cell r="Q128" t="str">
            <v/>
          </cell>
          <cell r="R128" t="str">
            <v/>
          </cell>
          <cell r="S128" t="str">
            <v/>
          </cell>
          <cell r="T128" t="str">
            <v/>
          </cell>
          <cell r="U128" t="str">
            <v/>
          </cell>
          <cell r="V128" t="str">
            <v/>
          </cell>
          <cell r="W128" t="str">
            <v/>
          </cell>
          <cell r="X128" t="str">
            <v/>
          </cell>
          <cell r="Y128" t="str">
            <v/>
          </cell>
          <cell r="Z128" t="str">
            <v/>
          </cell>
          <cell r="AA128" t="str">
            <v/>
          </cell>
          <cell r="AB128" t="str">
            <v/>
          </cell>
          <cell r="AC128" t="str">
            <v/>
          </cell>
          <cell r="AD128" t="str">
            <v/>
          </cell>
          <cell r="AE128" t="str">
            <v/>
          </cell>
          <cell r="AF128" t="str">
            <v/>
          </cell>
          <cell r="AG128" t="str">
            <v/>
          </cell>
          <cell r="AH128" t="str">
            <v/>
          </cell>
          <cell r="AI128" t="str">
            <v/>
          </cell>
          <cell r="AJ128" t="str">
            <v/>
          </cell>
          <cell r="AK128" t="str">
            <v/>
          </cell>
          <cell r="AL128" t="str">
            <v/>
          </cell>
          <cell r="AM128" t="str">
            <v/>
          </cell>
          <cell r="AN128" t="str">
            <v/>
          </cell>
          <cell r="AO128" t="str">
            <v/>
          </cell>
          <cell r="AP128" t="str">
            <v/>
          </cell>
          <cell r="AQ128" t="str">
            <v/>
          </cell>
          <cell r="AR128" t="str">
            <v/>
          </cell>
          <cell r="AS128" t="str">
            <v/>
          </cell>
          <cell r="AT128" t="str">
            <v/>
          </cell>
          <cell r="AU128" t="str">
            <v/>
          </cell>
          <cell r="AV128" t="str">
            <v/>
          </cell>
          <cell r="AW128" t="str">
            <v/>
          </cell>
          <cell r="AX128" t="str">
            <v/>
          </cell>
          <cell r="AY128" t="str">
            <v/>
          </cell>
          <cell r="AZ128" t="str">
            <v/>
          </cell>
          <cell r="BA128" t="str">
            <v/>
          </cell>
          <cell r="BB128" t="str">
            <v/>
          </cell>
          <cell r="BC128" t="str">
            <v/>
          </cell>
          <cell r="BD128" t="str">
            <v/>
          </cell>
          <cell r="BE128" t="str">
            <v/>
          </cell>
          <cell r="BF128" t="str">
            <v/>
          </cell>
          <cell r="BG128" t="str">
            <v/>
          </cell>
          <cell r="BH128" t="str">
            <v/>
          </cell>
          <cell r="BI128" t="str">
            <v/>
          </cell>
          <cell r="BJ128" t="str">
            <v/>
          </cell>
          <cell r="BK128" t="str">
            <v/>
          </cell>
          <cell r="BL128" t="str">
            <v/>
          </cell>
          <cell r="BM128" t="str">
            <v/>
          </cell>
          <cell r="BN128" t="str">
            <v/>
          </cell>
          <cell r="BO128" t="str">
            <v/>
          </cell>
          <cell r="BP128" t="str">
            <v/>
          </cell>
          <cell r="BQ128" t="str">
            <v/>
          </cell>
          <cell r="BR128" t="str">
            <v/>
          </cell>
          <cell r="BS128" t="str">
            <v/>
          </cell>
          <cell r="BT128" t="str">
            <v/>
          </cell>
          <cell r="BU128" t="str">
            <v/>
          </cell>
          <cell r="BV128" t="str">
            <v/>
          </cell>
          <cell r="BW128" t="str">
            <v/>
          </cell>
          <cell r="BX128" t="str">
            <v/>
          </cell>
          <cell r="BY128" t="str">
            <v/>
          </cell>
          <cell r="BZ128" t="str">
            <v/>
          </cell>
          <cell r="CA128" t="str">
            <v/>
          </cell>
          <cell r="CB128" t="str">
            <v/>
          </cell>
          <cell r="CC128" t="str">
            <v/>
          </cell>
          <cell r="CD128" t="str">
            <v/>
          </cell>
          <cell r="CE128" t="str">
            <v/>
          </cell>
          <cell r="CF128" t="str">
            <v/>
          </cell>
          <cell r="CG128" t="str">
            <v/>
          </cell>
          <cell r="CH128" t="str">
            <v/>
          </cell>
          <cell r="CI128" t="str">
            <v/>
          </cell>
          <cell r="CJ128" t="str">
            <v/>
          </cell>
          <cell r="CK128" t="str">
            <v/>
          </cell>
          <cell r="CL128">
            <v>0</v>
          </cell>
          <cell r="CM128">
            <v>0</v>
          </cell>
          <cell r="CN128">
            <v>0</v>
          </cell>
          <cell r="CO128" t="str">
            <v>N.R</v>
          </cell>
          <cell r="CP128" t="str">
            <v/>
          </cell>
          <cell r="CQ128">
            <v>41</v>
          </cell>
          <cell r="CR128">
            <v>87</v>
          </cell>
          <cell r="CS128" t="e">
            <v>#VALUE!</v>
          </cell>
          <cell r="CT128" t="str">
            <v/>
          </cell>
          <cell r="CU128">
            <v>35</v>
          </cell>
          <cell r="CV128">
            <v>74</v>
          </cell>
          <cell r="CW128" t="e">
            <v>#VALUE!</v>
          </cell>
          <cell r="CX128" t="str">
            <v/>
          </cell>
          <cell r="CY128">
            <v>59</v>
          </cell>
          <cell r="CZ128">
            <v>97</v>
          </cell>
          <cell r="DA128" t="e">
            <v>#VALUE!</v>
          </cell>
          <cell r="DB128" t="str">
            <v/>
          </cell>
          <cell r="DC128">
            <v>0</v>
          </cell>
          <cell r="DD128">
            <v>0</v>
          </cell>
          <cell r="DE128" t="e">
            <v>#VALUE!</v>
          </cell>
          <cell r="DF128" t="str">
            <v/>
          </cell>
          <cell r="DG128">
            <v>33</v>
          </cell>
          <cell r="DH128">
            <v>87</v>
          </cell>
          <cell r="DI128" t="e">
            <v>#VALUE!</v>
          </cell>
          <cell r="DJ128" t="str">
            <v/>
          </cell>
          <cell r="DK128">
            <v>29</v>
          </cell>
          <cell r="DL128">
            <v>88</v>
          </cell>
          <cell r="DM128" t="e">
            <v>#VALUE!</v>
          </cell>
          <cell r="DN128" t="str">
            <v/>
          </cell>
          <cell r="DO128">
            <v>35</v>
          </cell>
          <cell r="DP128">
            <v>92</v>
          </cell>
          <cell r="DQ128" t="e">
            <v>#VALUE!</v>
          </cell>
          <cell r="DR128" t="str">
            <v/>
          </cell>
          <cell r="DS128">
            <v>0</v>
          </cell>
          <cell r="DT128">
            <v>81</v>
          </cell>
          <cell r="DU128" t="e">
            <v>#VALUE!</v>
          </cell>
          <cell r="DV128" t="str">
            <v/>
          </cell>
          <cell r="DW128">
            <v>0</v>
          </cell>
          <cell r="DX128">
            <v>0</v>
          </cell>
          <cell r="DY128" t="e">
            <v>#VALUE!</v>
          </cell>
          <cell r="DZ128" t="str">
            <v/>
          </cell>
          <cell r="EA128">
            <v>0</v>
          </cell>
          <cell r="EB128">
            <v>86</v>
          </cell>
          <cell r="EC128" t="e">
            <v>#VALUE!</v>
          </cell>
          <cell r="ED128" t="str">
            <v/>
          </cell>
          <cell r="EE128">
            <v>0</v>
          </cell>
          <cell r="EF128">
            <v>118</v>
          </cell>
          <cell r="EG128" t="e">
            <v>#VALUE!</v>
          </cell>
          <cell r="EH128" t="str">
            <v/>
          </cell>
          <cell r="EI128">
            <v>0</v>
          </cell>
          <cell r="EJ128">
            <v>89</v>
          </cell>
          <cell r="EK128" t="e">
            <v>#VALUE!</v>
          </cell>
          <cell r="EL128" t="str">
            <v/>
          </cell>
          <cell r="EM128">
            <v>0</v>
          </cell>
          <cell r="EN128">
            <v>91</v>
          </cell>
          <cell r="EO128" t="e">
            <v>#VALUE!</v>
          </cell>
          <cell r="EP128" t="str">
            <v/>
          </cell>
          <cell r="EQ128">
            <v>0</v>
          </cell>
          <cell r="ER128">
            <v>0</v>
          </cell>
          <cell r="ES128" t="e">
            <v>#VALUE!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 t="str">
            <v/>
          </cell>
          <cell r="P129" t="str">
            <v/>
          </cell>
          <cell r="Q129" t="str">
            <v/>
          </cell>
          <cell r="R129" t="str">
            <v/>
          </cell>
          <cell r="S129" t="str">
            <v/>
          </cell>
          <cell r="T129" t="str">
            <v/>
          </cell>
          <cell r="U129" t="str">
            <v/>
          </cell>
          <cell r="V129" t="str">
            <v/>
          </cell>
          <cell r="W129" t="str">
            <v/>
          </cell>
          <cell r="X129" t="str">
            <v/>
          </cell>
          <cell r="Y129" t="str">
            <v/>
          </cell>
          <cell r="Z129" t="str">
            <v/>
          </cell>
          <cell r="AA129" t="str">
            <v/>
          </cell>
          <cell r="AB129" t="str">
            <v/>
          </cell>
          <cell r="AC129" t="str">
            <v/>
          </cell>
          <cell r="AD129" t="str">
            <v/>
          </cell>
          <cell r="AE129" t="str">
            <v/>
          </cell>
          <cell r="AF129" t="str">
            <v/>
          </cell>
          <cell r="AG129" t="str">
            <v/>
          </cell>
          <cell r="AH129" t="str">
            <v/>
          </cell>
          <cell r="AI129" t="str">
            <v/>
          </cell>
          <cell r="AJ129" t="str">
            <v/>
          </cell>
          <cell r="AK129" t="str">
            <v/>
          </cell>
          <cell r="AL129" t="str">
            <v/>
          </cell>
          <cell r="AM129" t="str">
            <v/>
          </cell>
          <cell r="AN129" t="str">
            <v/>
          </cell>
          <cell r="AO129" t="str">
            <v/>
          </cell>
          <cell r="AP129" t="str">
            <v/>
          </cell>
          <cell r="AQ129" t="str">
            <v/>
          </cell>
          <cell r="AR129" t="str">
            <v/>
          </cell>
          <cell r="AS129" t="str">
            <v/>
          </cell>
          <cell r="AT129" t="str">
            <v/>
          </cell>
          <cell r="AU129" t="str">
            <v/>
          </cell>
          <cell r="AV129" t="str">
            <v/>
          </cell>
          <cell r="AW129" t="str">
            <v/>
          </cell>
          <cell r="AX129" t="str">
            <v/>
          </cell>
          <cell r="AY129" t="str">
            <v/>
          </cell>
          <cell r="AZ129" t="str">
            <v/>
          </cell>
          <cell r="BA129" t="str">
            <v/>
          </cell>
          <cell r="BB129" t="str">
            <v/>
          </cell>
          <cell r="BC129" t="str">
            <v/>
          </cell>
          <cell r="BD129" t="str">
            <v/>
          </cell>
          <cell r="BE129" t="str">
            <v/>
          </cell>
          <cell r="BF129" t="str">
            <v/>
          </cell>
          <cell r="BG129" t="str">
            <v/>
          </cell>
          <cell r="BH129" t="str">
            <v/>
          </cell>
          <cell r="BI129" t="str">
            <v/>
          </cell>
          <cell r="BJ129" t="str">
            <v/>
          </cell>
          <cell r="BK129" t="str">
            <v/>
          </cell>
          <cell r="BL129" t="str">
            <v/>
          </cell>
          <cell r="BM129" t="str">
            <v/>
          </cell>
          <cell r="BN129" t="str">
            <v/>
          </cell>
          <cell r="BO129" t="str">
            <v/>
          </cell>
          <cell r="BP129" t="str">
            <v/>
          </cell>
          <cell r="BQ129" t="str">
            <v/>
          </cell>
          <cell r="BR129" t="str">
            <v/>
          </cell>
          <cell r="BS129" t="str">
            <v/>
          </cell>
          <cell r="BT129" t="str">
            <v/>
          </cell>
          <cell r="BU129" t="str">
            <v/>
          </cell>
          <cell r="BV129" t="str">
            <v/>
          </cell>
          <cell r="BW129" t="str">
            <v/>
          </cell>
          <cell r="BX129" t="str">
            <v/>
          </cell>
          <cell r="BY129" t="str">
            <v/>
          </cell>
          <cell r="BZ129" t="str">
            <v/>
          </cell>
          <cell r="CA129" t="str">
            <v/>
          </cell>
          <cell r="CB129" t="str">
            <v/>
          </cell>
          <cell r="CC129" t="str">
            <v/>
          </cell>
          <cell r="CD129" t="str">
            <v/>
          </cell>
          <cell r="CE129" t="str">
            <v/>
          </cell>
          <cell r="CF129" t="str">
            <v/>
          </cell>
          <cell r="CG129" t="str">
            <v/>
          </cell>
          <cell r="CH129" t="str">
            <v/>
          </cell>
          <cell r="CI129" t="str">
            <v/>
          </cell>
          <cell r="CJ129" t="str">
            <v/>
          </cell>
          <cell r="CK129" t="str">
            <v/>
          </cell>
          <cell r="CL129">
            <v>0</v>
          </cell>
          <cell r="CM129">
            <v>0</v>
          </cell>
          <cell r="CN129">
            <v>0</v>
          </cell>
          <cell r="CO129" t="str">
            <v>N.R</v>
          </cell>
          <cell r="CP129" t="str">
            <v/>
          </cell>
          <cell r="CQ129">
            <v>41</v>
          </cell>
          <cell r="CR129">
            <v>87</v>
          </cell>
          <cell r="CS129" t="e">
            <v>#VALUE!</v>
          </cell>
          <cell r="CT129" t="str">
            <v/>
          </cell>
          <cell r="CU129">
            <v>35</v>
          </cell>
          <cell r="CV129">
            <v>74</v>
          </cell>
          <cell r="CW129" t="e">
            <v>#VALUE!</v>
          </cell>
          <cell r="CX129" t="str">
            <v/>
          </cell>
          <cell r="CY129">
            <v>59</v>
          </cell>
          <cell r="CZ129">
            <v>97</v>
          </cell>
          <cell r="DA129" t="e">
            <v>#VALUE!</v>
          </cell>
          <cell r="DB129" t="str">
            <v/>
          </cell>
          <cell r="DC129">
            <v>0</v>
          </cell>
          <cell r="DD129">
            <v>0</v>
          </cell>
          <cell r="DE129" t="e">
            <v>#VALUE!</v>
          </cell>
          <cell r="DF129" t="str">
            <v/>
          </cell>
          <cell r="DG129">
            <v>33</v>
          </cell>
          <cell r="DH129">
            <v>87</v>
          </cell>
          <cell r="DI129" t="e">
            <v>#VALUE!</v>
          </cell>
          <cell r="DJ129" t="str">
            <v/>
          </cell>
          <cell r="DK129">
            <v>29</v>
          </cell>
          <cell r="DL129">
            <v>88</v>
          </cell>
          <cell r="DM129" t="e">
            <v>#VALUE!</v>
          </cell>
          <cell r="DN129" t="str">
            <v/>
          </cell>
          <cell r="DO129">
            <v>35</v>
          </cell>
          <cell r="DP129">
            <v>92</v>
          </cell>
          <cell r="DQ129" t="e">
            <v>#VALUE!</v>
          </cell>
          <cell r="DR129" t="str">
            <v/>
          </cell>
          <cell r="DS129">
            <v>0</v>
          </cell>
          <cell r="DT129">
            <v>81</v>
          </cell>
          <cell r="DU129" t="e">
            <v>#VALUE!</v>
          </cell>
          <cell r="DV129" t="str">
            <v/>
          </cell>
          <cell r="DW129">
            <v>0</v>
          </cell>
          <cell r="DX129">
            <v>0</v>
          </cell>
          <cell r="DY129" t="e">
            <v>#VALUE!</v>
          </cell>
          <cell r="DZ129" t="str">
            <v/>
          </cell>
          <cell r="EA129">
            <v>0</v>
          </cell>
          <cell r="EB129">
            <v>86</v>
          </cell>
          <cell r="EC129" t="e">
            <v>#VALUE!</v>
          </cell>
          <cell r="ED129" t="str">
            <v/>
          </cell>
          <cell r="EE129">
            <v>0</v>
          </cell>
          <cell r="EF129">
            <v>119</v>
          </cell>
          <cell r="EG129" t="e">
            <v>#VALUE!</v>
          </cell>
          <cell r="EH129" t="str">
            <v/>
          </cell>
          <cell r="EI129">
            <v>0</v>
          </cell>
          <cell r="EJ129">
            <v>89</v>
          </cell>
          <cell r="EK129" t="e">
            <v>#VALUE!</v>
          </cell>
          <cell r="EL129" t="str">
            <v/>
          </cell>
          <cell r="EM129">
            <v>0</v>
          </cell>
          <cell r="EN129">
            <v>91</v>
          </cell>
          <cell r="EO129" t="e">
            <v>#VALUE!</v>
          </cell>
          <cell r="EP129" t="str">
            <v/>
          </cell>
          <cell r="EQ129">
            <v>0</v>
          </cell>
          <cell r="ER129">
            <v>0</v>
          </cell>
          <cell r="ES129" t="e">
            <v>#VALUE!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  <cell r="Q130" t="str">
            <v/>
          </cell>
          <cell r="R130" t="str">
            <v/>
          </cell>
          <cell r="S130" t="str">
            <v/>
          </cell>
          <cell r="T130" t="str">
            <v/>
          </cell>
          <cell r="U130" t="str">
            <v/>
          </cell>
          <cell r="V130" t="str">
            <v/>
          </cell>
          <cell r="W130" t="str">
            <v/>
          </cell>
          <cell r="X130" t="str">
            <v/>
          </cell>
          <cell r="Y130" t="str">
            <v/>
          </cell>
          <cell r="Z130" t="str">
            <v/>
          </cell>
          <cell r="AA130" t="str">
            <v/>
          </cell>
          <cell r="AB130" t="str">
            <v/>
          </cell>
          <cell r="AC130" t="str">
            <v/>
          </cell>
          <cell r="AD130" t="str">
            <v/>
          </cell>
          <cell r="AE130" t="str">
            <v/>
          </cell>
          <cell r="AF130" t="str">
            <v/>
          </cell>
          <cell r="AG130" t="str">
            <v/>
          </cell>
          <cell r="AH130" t="str">
            <v/>
          </cell>
          <cell r="AI130" t="str">
            <v/>
          </cell>
          <cell r="AJ130" t="str">
            <v/>
          </cell>
          <cell r="AK130" t="str">
            <v/>
          </cell>
          <cell r="AL130" t="str">
            <v/>
          </cell>
          <cell r="AM130" t="str">
            <v/>
          </cell>
          <cell r="AN130" t="str">
            <v/>
          </cell>
          <cell r="AO130" t="str">
            <v/>
          </cell>
          <cell r="AP130" t="str">
            <v/>
          </cell>
          <cell r="AQ130" t="str">
            <v/>
          </cell>
          <cell r="AR130" t="str">
            <v/>
          </cell>
          <cell r="AS130" t="str">
            <v/>
          </cell>
          <cell r="AT130" t="str">
            <v/>
          </cell>
          <cell r="AU130" t="str">
            <v/>
          </cell>
          <cell r="AV130" t="str">
            <v/>
          </cell>
          <cell r="AW130" t="str">
            <v/>
          </cell>
          <cell r="AX130" t="str">
            <v/>
          </cell>
          <cell r="AY130" t="str">
            <v/>
          </cell>
          <cell r="AZ130" t="str">
            <v/>
          </cell>
          <cell r="BA130" t="str">
            <v/>
          </cell>
          <cell r="BB130" t="str">
            <v/>
          </cell>
          <cell r="BC130" t="str">
            <v/>
          </cell>
          <cell r="BD130" t="str">
            <v/>
          </cell>
          <cell r="BE130" t="str">
            <v/>
          </cell>
          <cell r="BF130" t="str">
            <v/>
          </cell>
          <cell r="BG130" t="str">
            <v/>
          </cell>
          <cell r="BH130" t="str">
            <v/>
          </cell>
          <cell r="BI130" t="str">
            <v/>
          </cell>
          <cell r="BJ130" t="str">
            <v/>
          </cell>
          <cell r="BK130" t="str">
            <v/>
          </cell>
          <cell r="BL130" t="str">
            <v/>
          </cell>
          <cell r="BM130" t="str">
            <v/>
          </cell>
          <cell r="BN130" t="str">
            <v/>
          </cell>
          <cell r="BO130" t="str">
            <v/>
          </cell>
          <cell r="BP130" t="str">
            <v/>
          </cell>
          <cell r="BQ130" t="str">
            <v/>
          </cell>
          <cell r="BR130" t="str">
            <v/>
          </cell>
          <cell r="BS130" t="str">
            <v/>
          </cell>
          <cell r="BT130" t="str">
            <v/>
          </cell>
          <cell r="BU130" t="str">
            <v/>
          </cell>
          <cell r="BV130" t="str">
            <v/>
          </cell>
          <cell r="BW130" t="str">
            <v/>
          </cell>
          <cell r="BX130" t="str">
            <v/>
          </cell>
          <cell r="BY130" t="str">
            <v/>
          </cell>
          <cell r="BZ130" t="str">
            <v/>
          </cell>
          <cell r="CA130" t="str">
            <v/>
          </cell>
          <cell r="CB130" t="str">
            <v/>
          </cell>
          <cell r="CC130" t="str">
            <v/>
          </cell>
          <cell r="CD130" t="str">
            <v/>
          </cell>
          <cell r="CE130" t="str">
            <v/>
          </cell>
          <cell r="CF130" t="str">
            <v/>
          </cell>
          <cell r="CG130" t="str">
            <v/>
          </cell>
          <cell r="CH130" t="str">
            <v/>
          </cell>
          <cell r="CI130" t="str">
            <v/>
          </cell>
          <cell r="CJ130" t="str">
            <v/>
          </cell>
          <cell r="CK130" t="str">
            <v/>
          </cell>
          <cell r="CL130">
            <v>0</v>
          </cell>
          <cell r="CM130">
            <v>0</v>
          </cell>
          <cell r="CN130">
            <v>0</v>
          </cell>
          <cell r="CO130" t="str">
            <v>N.R</v>
          </cell>
          <cell r="CP130" t="str">
            <v/>
          </cell>
          <cell r="CQ130">
            <v>41</v>
          </cell>
          <cell r="CR130">
            <v>87</v>
          </cell>
          <cell r="CS130" t="e">
            <v>#VALUE!</v>
          </cell>
          <cell r="CT130" t="str">
            <v/>
          </cell>
          <cell r="CU130">
            <v>35</v>
          </cell>
          <cell r="CV130">
            <v>74</v>
          </cell>
          <cell r="CW130" t="e">
            <v>#VALUE!</v>
          </cell>
          <cell r="CX130" t="str">
            <v/>
          </cell>
          <cell r="CY130">
            <v>59</v>
          </cell>
          <cell r="CZ130">
            <v>97</v>
          </cell>
          <cell r="DA130" t="e">
            <v>#VALUE!</v>
          </cell>
          <cell r="DB130" t="str">
            <v/>
          </cell>
          <cell r="DC130">
            <v>0</v>
          </cell>
          <cell r="DD130">
            <v>0</v>
          </cell>
          <cell r="DE130" t="e">
            <v>#VALUE!</v>
          </cell>
          <cell r="DF130" t="str">
            <v/>
          </cell>
          <cell r="DG130">
            <v>33</v>
          </cell>
          <cell r="DH130">
            <v>87</v>
          </cell>
          <cell r="DI130" t="e">
            <v>#VALUE!</v>
          </cell>
          <cell r="DJ130" t="str">
            <v/>
          </cell>
          <cell r="DK130">
            <v>29</v>
          </cell>
          <cell r="DL130">
            <v>88</v>
          </cell>
          <cell r="DM130" t="e">
            <v>#VALUE!</v>
          </cell>
          <cell r="DN130" t="str">
            <v/>
          </cell>
          <cell r="DO130">
            <v>35</v>
          </cell>
          <cell r="DP130">
            <v>92</v>
          </cell>
          <cell r="DQ130" t="e">
            <v>#VALUE!</v>
          </cell>
          <cell r="DR130" t="str">
            <v/>
          </cell>
          <cell r="DS130">
            <v>0</v>
          </cell>
          <cell r="DT130">
            <v>81</v>
          </cell>
          <cell r="DU130" t="e">
            <v>#VALUE!</v>
          </cell>
          <cell r="DV130" t="str">
            <v/>
          </cell>
          <cell r="DW130">
            <v>0</v>
          </cell>
          <cell r="DX130">
            <v>0</v>
          </cell>
          <cell r="DY130" t="e">
            <v>#VALUE!</v>
          </cell>
          <cell r="DZ130" t="str">
            <v/>
          </cell>
          <cell r="EA130">
            <v>0</v>
          </cell>
          <cell r="EB130">
            <v>86</v>
          </cell>
          <cell r="EC130" t="e">
            <v>#VALUE!</v>
          </cell>
          <cell r="ED130" t="str">
            <v/>
          </cell>
          <cell r="EE130">
            <v>0</v>
          </cell>
          <cell r="EF130">
            <v>120</v>
          </cell>
          <cell r="EG130" t="e">
            <v>#VALUE!</v>
          </cell>
          <cell r="EH130" t="str">
            <v/>
          </cell>
          <cell r="EI130">
            <v>0</v>
          </cell>
          <cell r="EJ130">
            <v>89</v>
          </cell>
          <cell r="EK130" t="e">
            <v>#VALUE!</v>
          </cell>
          <cell r="EL130" t="str">
            <v/>
          </cell>
          <cell r="EM130">
            <v>0</v>
          </cell>
          <cell r="EN130">
            <v>91</v>
          </cell>
          <cell r="EO130" t="e">
            <v>#VALUE!</v>
          </cell>
          <cell r="EP130" t="str">
            <v/>
          </cell>
          <cell r="EQ130">
            <v>0</v>
          </cell>
          <cell r="ER130">
            <v>0</v>
          </cell>
          <cell r="ES130" t="e">
            <v>#VALUE!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 t="str">
            <v/>
          </cell>
          <cell r="P131" t="str">
            <v/>
          </cell>
          <cell r="Q131" t="str">
            <v/>
          </cell>
          <cell r="R131" t="str">
            <v/>
          </cell>
          <cell r="S131" t="str">
            <v/>
          </cell>
          <cell r="T131" t="str">
            <v/>
          </cell>
          <cell r="U131" t="str">
            <v/>
          </cell>
          <cell r="V131" t="str">
            <v/>
          </cell>
          <cell r="W131" t="str">
            <v/>
          </cell>
          <cell r="X131" t="str">
            <v/>
          </cell>
          <cell r="Y131" t="str">
            <v/>
          </cell>
          <cell r="Z131" t="str">
            <v/>
          </cell>
          <cell r="AA131" t="str">
            <v/>
          </cell>
          <cell r="AB131" t="str">
            <v/>
          </cell>
          <cell r="AC131" t="str">
            <v/>
          </cell>
          <cell r="AD131" t="str">
            <v/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 t="str">
            <v/>
          </cell>
          <cell r="AL131" t="str">
            <v/>
          </cell>
          <cell r="AM131" t="str">
            <v/>
          </cell>
          <cell r="AN131" t="str">
            <v/>
          </cell>
          <cell r="AO131" t="str">
            <v/>
          </cell>
          <cell r="AP131" t="str">
            <v/>
          </cell>
          <cell r="AQ131" t="str">
            <v/>
          </cell>
          <cell r="AR131" t="str">
            <v/>
          </cell>
          <cell r="AS131" t="str">
            <v/>
          </cell>
          <cell r="AT131" t="str">
            <v/>
          </cell>
          <cell r="AU131" t="str">
            <v/>
          </cell>
          <cell r="AV131" t="str">
            <v/>
          </cell>
          <cell r="AW131" t="str">
            <v/>
          </cell>
          <cell r="AX131" t="str">
            <v/>
          </cell>
          <cell r="AY131" t="str">
            <v/>
          </cell>
          <cell r="AZ131" t="str">
            <v/>
          </cell>
          <cell r="BA131" t="str">
            <v/>
          </cell>
          <cell r="BB131" t="str">
            <v/>
          </cell>
          <cell r="BC131" t="str">
            <v/>
          </cell>
          <cell r="BD131" t="str">
            <v/>
          </cell>
          <cell r="BE131" t="str">
            <v/>
          </cell>
          <cell r="BF131" t="str">
            <v/>
          </cell>
          <cell r="BG131" t="str">
            <v/>
          </cell>
          <cell r="BH131" t="str">
            <v/>
          </cell>
          <cell r="BI131" t="str">
            <v/>
          </cell>
          <cell r="BJ131" t="str">
            <v/>
          </cell>
          <cell r="BK131" t="str">
            <v/>
          </cell>
          <cell r="BL131" t="str">
            <v/>
          </cell>
          <cell r="BM131" t="str">
            <v/>
          </cell>
          <cell r="BN131" t="str">
            <v/>
          </cell>
          <cell r="BO131" t="str">
            <v/>
          </cell>
          <cell r="BP131" t="str">
            <v/>
          </cell>
          <cell r="BQ131" t="str">
            <v/>
          </cell>
          <cell r="BR131" t="str">
            <v/>
          </cell>
          <cell r="BS131" t="str">
            <v/>
          </cell>
          <cell r="BT131" t="str">
            <v/>
          </cell>
          <cell r="BU131" t="str">
            <v/>
          </cell>
          <cell r="BV131" t="str">
            <v/>
          </cell>
          <cell r="BW131" t="str">
            <v/>
          </cell>
          <cell r="BX131" t="str">
            <v/>
          </cell>
          <cell r="BY131" t="str">
            <v/>
          </cell>
          <cell r="BZ131" t="str">
            <v/>
          </cell>
          <cell r="CA131" t="str">
            <v/>
          </cell>
          <cell r="CB131" t="str">
            <v/>
          </cell>
          <cell r="CC131" t="str">
            <v/>
          </cell>
          <cell r="CD131" t="str">
            <v/>
          </cell>
          <cell r="CE131" t="str">
            <v/>
          </cell>
          <cell r="CF131" t="str">
            <v/>
          </cell>
          <cell r="CG131" t="str">
            <v/>
          </cell>
          <cell r="CH131" t="str">
            <v/>
          </cell>
          <cell r="CI131" t="str">
            <v/>
          </cell>
          <cell r="CJ131" t="str">
            <v/>
          </cell>
          <cell r="CK131" t="str">
            <v/>
          </cell>
          <cell r="CL131">
            <v>0</v>
          </cell>
          <cell r="CM131">
            <v>0</v>
          </cell>
          <cell r="CN131">
            <v>0</v>
          </cell>
          <cell r="CO131" t="str">
            <v>N.R</v>
          </cell>
          <cell r="CP131" t="str">
            <v/>
          </cell>
          <cell r="CQ131">
            <v>41</v>
          </cell>
          <cell r="CR131">
            <v>87</v>
          </cell>
          <cell r="CS131" t="e">
            <v>#VALUE!</v>
          </cell>
          <cell r="CT131" t="str">
            <v/>
          </cell>
          <cell r="CU131">
            <v>35</v>
          </cell>
          <cell r="CV131">
            <v>74</v>
          </cell>
          <cell r="CW131" t="e">
            <v>#VALUE!</v>
          </cell>
          <cell r="CX131" t="str">
            <v/>
          </cell>
          <cell r="CY131">
            <v>59</v>
          </cell>
          <cell r="CZ131">
            <v>97</v>
          </cell>
          <cell r="DA131" t="e">
            <v>#VALUE!</v>
          </cell>
          <cell r="DB131" t="str">
            <v/>
          </cell>
          <cell r="DC131">
            <v>0</v>
          </cell>
          <cell r="DD131">
            <v>0</v>
          </cell>
          <cell r="DE131" t="e">
            <v>#VALUE!</v>
          </cell>
          <cell r="DF131" t="str">
            <v/>
          </cell>
          <cell r="DG131">
            <v>33</v>
          </cell>
          <cell r="DH131">
            <v>87</v>
          </cell>
          <cell r="DI131" t="e">
            <v>#VALUE!</v>
          </cell>
          <cell r="DJ131" t="str">
            <v/>
          </cell>
          <cell r="DK131">
            <v>29</v>
          </cell>
          <cell r="DL131">
            <v>88</v>
          </cell>
          <cell r="DM131" t="e">
            <v>#VALUE!</v>
          </cell>
          <cell r="DN131" t="str">
            <v/>
          </cell>
          <cell r="DO131">
            <v>35</v>
          </cell>
          <cell r="DP131">
            <v>92</v>
          </cell>
          <cell r="DQ131" t="e">
            <v>#VALUE!</v>
          </cell>
          <cell r="DR131" t="str">
            <v/>
          </cell>
          <cell r="DS131">
            <v>0</v>
          </cell>
          <cell r="DT131">
            <v>81</v>
          </cell>
          <cell r="DU131" t="e">
            <v>#VALUE!</v>
          </cell>
          <cell r="DV131" t="str">
            <v/>
          </cell>
          <cell r="DW131">
            <v>0</v>
          </cell>
          <cell r="DX131">
            <v>0</v>
          </cell>
          <cell r="DY131" t="e">
            <v>#VALUE!</v>
          </cell>
          <cell r="DZ131" t="str">
            <v/>
          </cell>
          <cell r="EA131">
            <v>0</v>
          </cell>
          <cell r="EB131">
            <v>86</v>
          </cell>
          <cell r="EC131" t="e">
            <v>#VALUE!</v>
          </cell>
          <cell r="ED131" t="str">
            <v/>
          </cell>
          <cell r="EE131">
            <v>0</v>
          </cell>
          <cell r="EF131">
            <v>121</v>
          </cell>
          <cell r="EG131" t="e">
            <v>#VALUE!</v>
          </cell>
          <cell r="EH131" t="str">
            <v/>
          </cell>
          <cell r="EI131">
            <v>0</v>
          </cell>
          <cell r="EJ131">
            <v>89</v>
          </cell>
          <cell r="EK131" t="e">
            <v>#VALUE!</v>
          </cell>
          <cell r="EL131" t="str">
            <v/>
          </cell>
          <cell r="EM131">
            <v>0</v>
          </cell>
          <cell r="EN131">
            <v>91</v>
          </cell>
          <cell r="EO131" t="e">
            <v>#VALUE!</v>
          </cell>
          <cell r="EP131" t="str">
            <v/>
          </cell>
          <cell r="EQ131">
            <v>0</v>
          </cell>
          <cell r="ER131">
            <v>0</v>
          </cell>
          <cell r="ES131" t="e">
            <v>#VALUE!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  <cell r="O132" t="str">
            <v/>
          </cell>
          <cell r="P132" t="str">
            <v/>
          </cell>
          <cell r="Q132" t="str">
            <v/>
          </cell>
          <cell r="R132" t="str">
            <v/>
          </cell>
          <cell r="S132" t="str">
            <v/>
          </cell>
          <cell r="T132" t="str">
            <v/>
          </cell>
          <cell r="U132" t="str">
            <v/>
          </cell>
          <cell r="V132" t="str">
            <v/>
          </cell>
          <cell r="W132" t="str">
            <v/>
          </cell>
          <cell r="X132" t="str">
            <v/>
          </cell>
          <cell r="Y132" t="str">
            <v/>
          </cell>
          <cell r="Z132" t="str">
            <v/>
          </cell>
          <cell r="AA132" t="str">
            <v/>
          </cell>
          <cell r="AB132" t="str">
            <v/>
          </cell>
          <cell r="AC132" t="str">
            <v/>
          </cell>
          <cell r="AD132" t="str">
            <v/>
          </cell>
          <cell r="AE132" t="str">
            <v/>
          </cell>
          <cell r="AF132" t="str">
            <v/>
          </cell>
          <cell r="AG132" t="str">
            <v/>
          </cell>
          <cell r="AH132" t="str">
            <v/>
          </cell>
          <cell r="AI132" t="str">
            <v/>
          </cell>
          <cell r="AJ132" t="str">
            <v/>
          </cell>
          <cell r="AK132" t="str">
            <v/>
          </cell>
          <cell r="AL132" t="str">
            <v/>
          </cell>
          <cell r="AM132" t="str">
            <v/>
          </cell>
          <cell r="AN132" t="str">
            <v/>
          </cell>
          <cell r="AO132" t="str">
            <v/>
          </cell>
          <cell r="AP132" t="str">
            <v/>
          </cell>
          <cell r="AQ132" t="str">
            <v/>
          </cell>
          <cell r="AR132" t="str">
            <v/>
          </cell>
          <cell r="AS132" t="str">
            <v/>
          </cell>
          <cell r="AT132" t="str">
            <v/>
          </cell>
          <cell r="AU132" t="str">
            <v/>
          </cell>
          <cell r="AV132" t="str">
            <v/>
          </cell>
          <cell r="AW132" t="str">
            <v/>
          </cell>
          <cell r="AX132" t="str">
            <v/>
          </cell>
          <cell r="AY132" t="str">
            <v/>
          </cell>
          <cell r="AZ132" t="str">
            <v/>
          </cell>
          <cell r="BA132" t="str">
            <v/>
          </cell>
          <cell r="BB132" t="str">
            <v/>
          </cell>
          <cell r="BC132" t="str">
            <v/>
          </cell>
          <cell r="BD132" t="str">
            <v/>
          </cell>
          <cell r="BE132" t="str">
            <v/>
          </cell>
          <cell r="BF132" t="str">
            <v/>
          </cell>
          <cell r="BG132" t="str">
            <v/>
          </cell>
          <cell r="BH132" t="str">
            <v/>
          </cell>
          <cell r="BI132" t="str">
            <v/>
          </cell>
          <cell r="BJ132" t="str">
            <v/>
          </cell>
          <cell r="BK132" t="str">
            <v/>
          </cell>
          <cell r="BL132" t="str">
            <v/>
          </cell>
          <cell r="BM132" t="str">
            <v/>
          </cell>
          <cell r="BN132" t="str">
            <v/>
          </cell>
          <cell r="BO132" t="str">
            <v/>
          </cell>
          <cell r="BP132" t="str">
            <v/>
          </cell>
          <cell r="BQ132" t="str">
            <v/>
          </cell>
          <cell r="BR132" t="str">
            <v/>
          </cell>
          <cell r="BS132" t="str">
            <v/>
          </cell>
          <cell r="BT132" t="str">
            <v/>
          </cell>
          <cell r="BU132" t="str">
            <v/>
          </cell>
          <cell r="BV132" t="str">
            <v/>
          </cell>
          <cell r="BW132" t="str">
            <v/>
          </cell>
          <cell r="BX132" t="str">
            <v/>
          </cell>
          <cell r="BY132" t="str">
            <v/>
          </cell>
          <cell r="BZ132" t="str">
            <v/>
          </cell>
          <cell r="CA132" t="str">
            <v/>
          </cell>
          <cell r="CB132" t="str">
            <v/>
          </cell>
          <cell r="CC132" t="str">
            <v/>
          </cell>
          <cell r="CD132" t="str">
            <v/>
          </cell>
          <cell r="CE132" t="str">
            <v/>
          </cell>
          <cell r="CF132" t="str">
            <v/>
          </cell>
          <cell r="CG132" t="str">
            <v/>
          </cell>
          <cell r="CH132" t="str">
            <v/>
          </cell>
          <cell r="CI132" t="str">
            <v/>
          </cell>
          <cell r="CJ132" t="str">
            <v/>
          </cell>
          <cell r="CK132" t="str">
            <v/>
          </cell>
          <cell r="CL132">
            <v>0</v>
          </cell>
          <cell r="CM132">
            <v>0</v>
          </cell>
          <cell r="CN132">
            <v>0</v>
          </cell>
          <cell r="CO132" t="str">
            <v>N.R</v>
          </cell>
          <cell r="CP132" t="str">
            <v/>
          </cell>
          <cell r="CQ132">
            <v>41</v>
          </cell>
          <cell r="CR132">
            <v>87</v>
          </cell>
          <cell r="CS132" t="e">
            <v>#VALUE!</v>
          </cell>
          <cell r="CT132" t="str">
            <v/>
          </cell>
          <cell r="CU132">
            <v>35</v>
          </cell>
          <cell r="CV132">
            <v>74</v>
          </cell>
          <cell r="CW132" t="e">
            <v>#VALUE!</v>
          </cell>
          <cell r="CX132" t="str">
            <v/>
          </cell>
          <cell r="CY132">
            <v>59</v>
          </cell>
          <cell r="CZ132">
            <v>97</v>
          </cell>
          <cell r="DA132" t="e">
            <v>#VALUE!</v>
          </cell>
          <cell r="DB132" t="str">
            <v/>
          </cell>
          <cell r="DC132">
            <v>0</v>
          </cell>
          <cell r="DD132">
            <v>0</v>
          </cell>
          <cell r="DE132" t="e">
            <v>#VALUE!</v>
          </cell>
          <cell r="DF132" t="str">
            <v/>
          </cell>
          <cell r="DG132">
            <v>33</v>
          </cell>
          <cell r="DH132">
            <v>87</v>
          </cell>
          <cell r="DI132" t="e">
            <v>#VALUE!</v>
          </cell>
          <cell r="DJ132" t="str">
            <v/>
          </cell>
          <cell r="DK132">
            <v>29</v>
          </cell>
          <cell r="DL132">
            <v>88</v>
          </cell>
          <cell r="DM132" t="e">
            <v>#VALUE!</v>
          </cell>
          <cell r="DN132" t="str">
            <v/>
          </cell>
          <cell r="DO132">
            <v>35</v>
          </cell>
          <cell r="DP132">
            <v>92</v>
          </cell>
          <cell r="DQ132" t="e">
            <v>#VALUE!</v>
          </cell>
          <cell r="DR132" t="str">
            <v/>
          </cell>
          <cell r="DS132">
            <v>0</v>
          </cell>
          <cell r="DT132">
            <v>81</v>
          </cell>
          <cell r="DU132" t="e">
            <v>#VALUE!</v>
          </cell>
          <cell r="DV132" t="str">
            <v/>
          </cell>
          <cell r="DW132">
            <v>0</v>
          </cell>
          <cell r="DX132">
            <v>0</v>
          </cell>
          <cell r="DY132" t="e">
            <v>#VALUE!</v>
          </cell>
          <cell r="DZ132" t="str">
            <v/>
          </cell>
          <cell r="EA132">
            <v>0</v>
          </cell>
          <cell r="EB132">
            <v>86</v>
          </cell>
          <cell r="EC132" t="e">
            <v>#VALUE!</v>
          </cell>
          <cell r="ED132" t="str">
            <v/>
          </cell>
          <cell r="EE132">
            <v>0</v>
          </cell>
          <cell r="EF132">
            <v>122</v>
          </cell>
          <cell r="EG132" t="e">
            <v>#VALUE!</v>
          </cell>
          <cell r="EH132" t="str">
            <v/>
          </cell>
          <cell r="EI132">
            <v>0</v>
          </cell>
          <cell r="EJ132">
            <v>89</v>
          </cell>
          <cell r="EK132" t="e">
            <v>#VALUE!</v>
          </cell>
          <cell r="EL132" t="str">
            <v/>
          </cell>
          <cell r="EM132">
            <v>0</v>
          </cell>
          <cell r="EN132">
            <v>91</v>
          </cell>
          <cell r="EO132" t="e">
            <v>#VALUE!</v>
          </cell>
          <cell r="EP132" t="str">
            <v/>
          </cell>
          <cell r="EQ132">
            <v>0</v>
          </cell>
          <cell r="ER132">
            <v>0</v>
          </cell>
          <cell r="ES132" t="e">
            <v>#VALUE!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  <cell r="O133" t="str">
            <v/>
          </cell>
          <cell r="P133" t="str">
            <v/>
          </cell>
          <cell r="Q133" t="str">
            <v/>
          </cell>
          <cell r="R133" t="str">
            <v/>
          </cell>
          <cell r="S133" t="str">
            <v/>
          </cell>
          <cell r="T133" t="str">
            <v/>
          </cell>
          <cell r="U133" t="str">
            <v/>
          </cell>
          <cell r="V133" t="str">
            <v/>
          </cell>
          <cell r="W133" t="str">
            <v/>
          </cell>
          <cell r="X133" t="str">
            <v/>
          </cell>
          <cell r="Y133" t="str">
            <v/>
          </cell>
          <cell r="Z133" t="str">
            <v/>
          </cell>
          <cell r="AA133" t="str">
            <v/>
          </cell>
          <cell r="AB133" t="str">
            <v/>
          </cell>
          <cell r="AC133" t="str">
            <v/>
          </cell>
          <cell r="AD133" t="str">
            <v/>
          </cell>
          <cell r="AE133" t="str">
            <v/>
          </cell>
          <cell r="AF133" t="str">
            <v/>
          </cell>
          <cell r="AG133" t="str">
            <v/>
          </cell>
          <cell r="AH133" t="str">
            <v/>
          </cell>
          <cell r="AI133" t="str">
            <v/>
          </cell>
          <cell r="AJ133" t="str">
            <v/>
          </cell>
          <cell r="AK133" t="str">
            <v/>
          </cell>
          <cell r="AL133" t="str">
            <v/>
          </cell>
          <cell r="AM133" t="str">
            <v/>
          </cell>
          <cell r="AN133" t="str">
            <v/>
          </cell>
          <cell r="AO133" t="str">
            <v/>
          </cell>
          <cell r="AP133" t="str">
            <v/>
          </cell>
          <cell r="AQ133" t="str">
            <v/>
          </cell>
          <cell r="AR133" t="str">
            <v/>
          </cell>
          <cell r="AS133" t="str">
            <v/>
          </cell>
          <cell r="AT133" t="str">
            <v/>
          </cell>
          <cell r="AU133" t="str">
            <v/>
          </cell>
          <cell r="AV133" t="str">
            <v/>
          </cell>
          <cell r="AW133" t="str">
            <v/>
          </cell>
          <cell r="AX133" t="str">
            <v/>
          </cell>
          <cell r="AY133" t="str">
            <v/>
          </cell>
          <cell r="AZ133" t="str">
            <v/>
          </cell>
          <cell r="BA133" t="str">
            <v/>
          </cell>
          <cell r="BB133" t="str">
            <v/>
          </cell>
          <cell r="BC133" t="str">
            <v/>
          </cell>
          <cell r="BD133" t="str">
            <v/>
          </cell>
          <cell r="BE133" t="str">
            <v/>
          </cell>
          <cell r="BF133" t="str">
            <v/>
          </cell>
          <cell r="BG133" t="str">
            <v/>
          </cell>
          <cell r="BH133" t="str">
            <v/>
          </cell>
          <cell r="BI133" t="str">
            <v/>
          </cell>
          <cell r="BJ133" t="str">
            <v/>
          </cell>
          <cell r="BK133" t="str">
            <v/>
          </cell>
          <cell r="BL133" t="str">
            <v/>
          </cell>
          <cell r="BM133" t="str">
            <v/>
          </cell>
          <cell r="BN133" t="str">
            <v/>
          </cell>
          <cell r="BO133" t="str">
            <v/>
          </cell>
          <cell r="BP133" t="str">
            <v/>
          </cell>
          <cell r="BQ133" t="str">
            <v/>
          </cell>
          <cell r="BR133" t="str">
            <v/>
          </cell>
          <cell r="BS133" t="str">
            <v/>
          </cell>
          <cell r="BT133" t="str">
            <v/>
          </cell>
          <cell r="BU133" t="str">
            <v/>
          </cell>
          <cell r="BV133" t="str">
            <v/>
          </cell>
          <cell r="BW133" t="str">
            <v/>
          </cell>
          <cell r="BX133" t="str">
            <v/>
          </cell>
          <cell r="BY133" t="str">
            <v/>
          </cell>
          <cell r="BZ133" t="str">
            <v/>
          </cell>
          <cell r="CA133" t="str">
            <v/>
          </cell>
          <cell r="CB133" t="str">
            <v/>
          </cell>
          <cell r="CC133" t="str">
            <v/>
          </cell>
          <cell r="CD133" t="str">
            <v/>
          </cell>
          <cell r="CE133" t="str">
            <v/>
          </cell>
          <cell r="CF133" t="str">
            <v/>
          </cell>
          <cell r="CG133" t="str">
            <v/>
          </cell>
          <cell r="CH133" t="str">
            <v/>
          </cell>
          <cell r="CI133" t="str">
            <v/>
          </cell>
          <cell r="CJ133" t="str">
            <v/>
          </cell>
          <cell r="CK133" t="str">
            <v/>
          </cell>
          <cell r="CL133">
            <v>0</v>
          </cell>
          <cell r="CM133">
            <v>0</v>
          </cell>
          <cell r="CN133">
            <v>0</v>
          </cell>
          <cell r="CO133" t="str">
            <v>N.R</v>
          </cell>
          <cell r="CP133" t="str">
            <v/>
          </cell>
          <cell r="CQ133">
            <v>41</v>
          </cell>
          <cell r="CR133">
            <v>87</v>
          </cell>
          <cell r="CS133" t="e">
            <v>#VALUE!</v>
          </cell>
          <cell r="CT133" t="str">
            <v/>
          </cell>
          <cell r="CU133">
            <v>35</v>
          </cell>
          <cell r="CV133">
            <v>74</v>
          </cell>
          <cell r="CW133" t="e">
            <v>#VALUE!</v>
          </cell>
          <cell r="CX133" t="str">
            <v/>
          </cell>
          <cell r="CY133">
            <v>59</v>
          </cell>
          <cell r="CZ133">
            <v>97</v>
          </cell>
          <cell r="DA133" t="e">
            <v>#VALUE!</v>
          </cell>
          <cell r="DB133" t="str">
            <v/>
          </cell>
          <cell r="DC133">
            <v>0</v>
          </cell>
          <cell r="DD133">
            <v>0</v>
          </cell>
          <cell r="DE133" t="e">
            <v>#VALUE!</v>
          </cell>
          <cell r="DF133" t="str">
            <v/>
          </cell>
          <cell r="DG133">
            <v>33</v>
          </cell>
          <cell r="DH133">
            <v>87</v>
          </cell>
          <cell r="DI133" t="e">
            <v>#VALUE!</v>
          </cell>
          <cell r="DJ133" t="str">
            <v/>
          </cell>
          <cell r="DK133">
            <v>29</v>
          </cell>
          <cell r="DL133">
            <v>88</v>
          </cell>
          <cell r="DM133" t="e">
            <v>#VALUE!</v>
          </cell>
          <cell r="DN133" t="str">
            <v/>
          </cell>
          <cell r="DO133">
            <v>35</v>
          </cell>
          <cell r="DP133">
            <v>92</v>
          </cell>
          <cell r="DQ133" t="e">
            <v>#VALUE!</v>
          </cell>
          <cell r="DR133" t="str">
            <v/>
          </cell>
          <cell r="DS133">
            <v>0</v>
          </cell>
          <cell r="DT133">
            <v>81</v>
          </cell>
          <cell r="DU133" t="e">
            <v>#VALUE!</v>
          </cell>
          <cell r="DV133" t="str">
            <v/>
          </cell>
          <cell r="DW133">
            <v>0</v>
          </cell>
          <cell r="DX133">
            <v>0</v>
          </cell>
          <cell r="DY133" t="e">
            <v>#VALUE!</v>
          </cell>
          <cell r="DZ133" t="str">
            <v/>
          </cell>
          <cell r="EA133">
            <v>0</v>
          </cell>
          <cell r="EB133">
            <v>86</v>
          </cell>
          <cell r="EC133" t="e">
            <v>#VALUE!</v>
          </cell>
          <cell r="ED133" t="str">
            <v/>
          </cell>
          <cell r="EE133">
            <v>0</v>
          </cell>
          <cell r="EF133">
            <v>123</v>
          </cell>
          <cell r="EG133" t="e">
            <v>#VALUE!</v>
          </cell>
          <cell r="EH133" t="str">
            <v/>
          </cell>
          <cell r="EI133">
            <v>0</v>
          </cell>
          <cell r="EJ133">
            <v>89</v>
          </cell>
          <cell r="EK133" t="e">
            <v>#VALUE!</v>
          </cell>
          <cell r="EL133" t="str">
            <v/>
          </cell>
          <cell r="EM133">
            <v>0</v>
          </cell>
          <cell r="EN133">
            <v>91</v>
          </cell>
          <cell r="EO133" t="e">
            <v>#VALUE!</v>
          </cell>
          <cell r="EP133" t="str">
            <v/>
          </cell>
          <cell r="EQ133">
            <v>0</v>
          </cell>
          <cell r="ER133">
            <v>0</v>
          </cell>
          <cell r="ES133" t="e">
            <v>#VALUE!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 t="str">
            <v/>
          </cell>
          <cell r="P134" t="str">
            <v/>
          </cell>
          <cell r="Q134" t="str">
            <v/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  <cell r="V134" t="str">
            <v/>
          </cell>
          <cell r="W134" t="str">
            <v/>
          </cell>
          <cell r="X134" t="str">
            <v/>
          </cell>
          <cell r="Y134" t="str">
            <v/>
          </cell>
          <cell r="Z134" t="str">
            <v/>
          </cell>
          <cell r="AA134" t="str">
            <v/>
          </cell>
          <cell r="AB134" t="str">
            <v/>
          </cell>
          <cell r="AC134" t="str">
            <v/>
          </cell>
          <cell r="AD134" t="str">
            <v/>
          </cell>
          <cell r="AE134" t="str">
            <v/>
          </cell>
          <cell r="AF134" t="str">
            <v/>
          </cell>
          <cell r="AG134" t="str">
            <v/>
          </cell>
          <cell r="AH134" t="str">
            <v/>
          </cell>
          <cell r="AI134" t="str">
            <v/>
          </cell>
          <cell r="AJ134" t="str">
            <v/>
          </cell>
          <cell r="AK134" t="str">
            <v/>
          </cell>
          <cell r="AL134" t="str">
            <v/>
          </cell>
          <cell r="AM134" t="str">
            <v/>
          </cell>
          <cell r="AN134" t="str">
            <v/>
          </cell>
          <cell r="AO134" t="str">
            <v/>
          </cell>
          <cell r="AP134" t="str">
            <v/>
          </cell>
          <cell r="AQ134" t="str">
            <v/>
          </cell>
          <cell r="AR134" t="str">
            <v/>
          </cell>
          <cell r="AS134" t="str">
            <v/>
          </cell>
          <cell r="AT134" t="str">
            <v/>
          </cell>
          <cell r="AU134" t="str">
            <v/>
          </cell>
          <cell r="AV134" t="str">
            <v/>
          </cell>
          <cell r="AW134" t="str">
            <v/>
          </cell>
          <cell r="AX134" t="str">
            <v/>
          </cell>
          <cell r="AY134" t="str">
            <v/>
          </cell>
          <cell r="AZ134" t="str">
            <v/>
          </cell>
          <cell r="BA134" t="str">
            <v/>
          </cell>
          <cell r="BB134" t="str">
            <v/>
          </cell>
          <cell r="BC134" t="str">
            <v/>
          </cell>
          <cell r="BD134" t="str">
            <v/>
          </cell>
          <cell r="BE134" t="str">
            <v/>
          </cell>
          <cell r="BF134" t="str">
            <v/>
          </cell>
          <cell r="BG134" t="str">
            <v/>
          </cell>
          <cell r="BH134" t="str">
            <v/>
          </cell>
          <cell r="BI134" t="str">
            <v/>
          </cell>
          <cell r="BJ134" t="str">
            <v/>
          </cell>
          <cell r="BK134" t="str">
            <v/>
          </cell>
          <cell r="BL134" t="str">
            <v/>
          </cell>
          <cell r="BM134" t="str">
            <v/>
          </cell>
          <cell r="BN134" t="str">
            <v/>
          </cell>
          <cell r="BO134" t="str">
            <v/>
          </cell>
          <cell r="BP134" t="str">
            <v/>
          </cell>
          <cell r="BQ134" t="str">
            <v/>
          </cell>
          <cell r="BR134" t="str">
            <v/>
          </cell>
          <cell r="BS134" t="str">
            <v/>
          </cell>
          <cell r="BT134" t="str">
            <v/>
          </cell>
          <cell r="BU134" t="str">
            <v/>
          </cell>
          <cell r="BV134" t="str">
            <v/>
          </cell>
          <cell r="BW134" t="str">
            <v/>
          </cell>
          <cell r="BX134" t="str">
            <v/>
          </cell>
          <cell r="BY134" t="str">
            <v/>
          </cell>
          <cell r="BZ134" t="str">
            <v/>
          </cell>
          <cell r="CA134" t="str">
            <v/>
          </cell>
          <cell r="CB134" t="str">
            <v/>
          </cell>
          <cell r="CC134" t="str">
            <v/>
          </cell>
          <cell r="CD134" t="str">
            <v/>
          </cell>
          <cell r="CE134" t="str">
            <v/>
          </cell>
          <cell r="CF134" t="str">
            <v/>
          </cell>
          <cell r="CG134" t="str">
            <v/>
          </cell>
          <cell r="CH134" t="str">
            <v/>
          </cell>
          <cell r="CI134" t="str">
            <v/>
          </cell>
          <cell r="CJ134" t="str">
            <v/>
          </cell>
          <cell r="CK134" t="str">
            <v/>
          </cell>
          <cell r="CL134">
            <v>0</v>
          </cell>
          <cell r="CM134">
            <v>0</v>
          </cell>
          <cell r="CN134">
            <v>0</v>
          </cell>
          <cell r="CO134" t="str">
            <v>N.R</v>
          </cell>
          <cell r="CP134" t="str">
            <v/>
          </cell>
          <cell r="CQ134">
            <v>41</v>
          </cell>
          <cell r="CR134">
            <v>87</v>
          </cell>
          <cell r="CS134" t="e">
            <v>#VALUE!</v>
          </cell>
          <cell r="CT134" t="str">
            <v/>
          </cell>
          <cell r="CU134">
            <v>35</v>
          </cell>
          <cell r="CV134">
            <v>74</v>
          </cell>
          <cell r="CW134" t="e">
            <v>#VALUE!</v>
          </cell>
          <cell r="CX134" t="str">
            <v/>
          </cell>
          <cell r="CY134">
            <v>59</v>
          </cell>
          <cell r="CZ134">
            <v>97</v>
          </cell>
          <cell r="DA134" t="e">
            <v>#VALUE!</v>
          </cell>
          <cell r="DB134" t="str">
            <v/>
          </cell>
          <cell r="DC134">
            <v>0</v>
          </cell>
          <cell r="DD134">
            <v>0</v>
          </cell>
          <cell r="DE134" t="e">
            <v>#VALUE!</v>
          </cell>
          <cell r="DF134" t="str">
            <v/>
          </cell>
          <cell r="DG134">
            <v>33</v>
          </cell>
          <cell r="DH134">
            <v>87</v>
          </cell>
          <cell r="DI134" t="e">
            <v>#VALUE!</v>
          </cell>
          <cell r="DJ134" t="str">
            <v/>
          </cell>
          <cell r="DK134">
            <v>29</v>
          </cell>
          <cell r="DL134">
            <v>88</v>
          </cell>
          <cell r="DM134" t="e">
            <v>#VALUE!</v>
          </cell>
          <cell r="DN134" t="str">
            <v/>
          </cell>
          <cell r="DO134">
            <v>35</v>
          </cell>
          <cell r="DP134">
            <v>92</v>
          </cell>
          <cell r="DQ134" t="e">
            <v>#VALUE!</v>
          </cell>
          <cell r="DR134" t="str">
            <v/>
          </cell>
          <cell r="DS134">
            <v>0</v>
          </cell>
          <cell r="DT134">
            <v>81</v>
          </cell>
          <cell r="DU134" t="e">
            <v>#VALUE!</v>
          </cell>
          <cell r="DV134" t="str">
            <v/>
          </cell>
          <cell r="DW134">
            <v>0</v>
          </cell>
          <cell r="DX134">
            <v>0</v>
          </cell>
          <cell r="DY134" t="e">
            <v>#VALUE!</v>
          </cell>
          <cell r="DZ134" t="str">
            <v/>
          </cell>
          <cell r="EA134">
            <v>0</v>
          </cell>
          <cell r="EB134">
            <v>86</v>
          </cell>
          <cell r="EC134" t="e">
            <v>#VALUE!</v>
          </cell>
          <cell r="ED134" t="str">
            <v/>
          </cell>
          <cell r="EE134">
            <v>0</v>
          </cell>
          <cell r="EF134">
            <v>124</v>
          </cell>
          <cell r="EG134" t="e">
            <v>#VALUE!</v>
          </cell>
          <cell r="EH134" t="str">
            <v/>
          </cell>
          <cell r="EI134">
            <v>0</v>
          </cell>
          <cell r="EJ134">
            <v>89</v>
          </cell>
          <cell r="EK134" t="e">
            <v>#VALUE!</v>
          </cell>
          <cell r="EL134" t="str">
            <v/>
          </cell>
          <cell r="EM134">
            <v>0</v>
          </cell>
          <cell r="EN134">
            <v>91</v>
          </cell>
          <cell r="EO134" t="e">
            <v>#VALUE!</v>
          </cell>
          <cell r="EP134" t="str">
            <v/>
          </cell>
          <cell r="EQ134">
            <v>0</v>
          </cell>
          <cell r="ER134">
            <v>0</v>
          </cell>
          <cell r="ES134" t="e">
            <v>#VALUE!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 t="str">
            <v/>
          </cell>
          <cell r="P135" t="str">
            <v/>
          </cell>
          <cell r="Q135" t="str">
            <v/>
          </cell>
          <cell r="R135" t="str">
            <v/>
          </cell>
          <cell r="S135" t="str">
            <v/>
          </cell>
          <cell r="T135" t="str">
            <v/>
          </cell>
          <cell r="U135" t="str">
            <v/>
          </cell>
          <cell r="V135" t="str">
            <v/>
          </cell>
          <cell r="W135" t="str">
            <v/>
          </cell>
          <cell r="X135" t="str">
            <v/>
          </cell>
          <cell r="Y135" t="str">
            <v/>
          </cell>
          <cell r="Z135" t="str">
            <v/>
          </cell>
          <cell r="AA135" t="str">
            <v/>
          </cell>
          <cell r="AB135" t="str">
            <v/>
          </cell>
          <cell r="AC135" t="str">
            <v/>
          </cell>
          <cell r="AD135" t="str">
            <v/>
          </cell>
          <cell r="AE135" t="str">
            <v/>
          </cell>
          <cell r="AF135" t="str">
            <v/>
          </cell>
          <cell r="AG135" t="str">
            <v/>
          </cell>
          <cell r="AH135" t="str">
            <v/>
          </cell>
          <cell r="AI135" t="str">
            <v/>
          </cell>
          <cell r="AJ135" t="str">
            <v/>
          </cell>
          <cell r="AK135" t="str">
            <v/>
          </cell>
          <cell r="AL135" t="str">
            <v/>
          </cell>
          <cell r="AM135" t="str">
            <v/>
          </cell>
          <cell r="AN135" t="str">
            <v/>
          </cell>
          <cell r="AO135" t="str">
            <v/>
          </cell>
          <cell r="AP135" t="str">
            <v/>
          </cell>
          <cell r="AQ135" t="str">
            <v/>
          </cell>
          <cell r="AR135" t="str">
            <v/>
          </cell>
          <cell r="AS135" t="str">
            <v/>
          </cell>
          <cell r="AT135" t="str">
            <v/>
          </cell>
          <cell r="AU135" t="str">
            <v/>
          </cell>
          <cell r="AV135" t="str">
            <v/>
          </cell>
          <cell r="AW135" t="str">
            <v/>
          </cell>
          <cell r="AX135" t="str">
            <v/>
          </cell>
          <cell r="AY135" t="str">
            <v/>
          </cell>
          <cell r="AZ135" t="str">
            <v/>
          </cell>
          <cell r="BA135" t="str">
            <v/>
          </cell>
          <cell r="BB135" t="str">
            <v/>
          </cell>
          <cell r="BC135" t="str">
            <v/>
          </cell>
          <cell r="BD135" t="str">
            <v/>
          </cell>
          <cell r="BE135" t="str">
            <v/>
          </cell>
          <cell r="BF135" t="str">
            <v/>
          </cell>
          <cell r="BG135" t="str">
            <v/>
          </cell>
          <cell r="BH135" t="str">
            <v/>
          </cell>
          <cell r="BI135" t="str">
            <v/>
          </cell>
          <cell r="BJ135" t="str">
            <v/>
          </cell>
          <cell r="BK135" t="str">
            <v/>
          </cell>
          <cell r="BL135" t="str">
            <v/>
          </cell>
          <cell r="BM135" t="str">
            <v/>
          </cell>
          <cell r="BN135" t="str">
            <v/>
          </cell>
          <cell r="BO135" t="str">
            <v/>
          </cell>
          <cell r="BP135" t="str">
            <v/>
          </cell>
          <cell r="BQ135" t="str">
            <v/>
          </cell>
          <cell r="BR135" t="str">
            <v/>
          </cell>
          <cell r="BS135" t="str">
            <v/>
          </cell>
          <cell r="BT135" t="str">
            <v/>
          </cell>
          <cell r="BU135" t="str">
            <v/>
          </cell>
          <cell r="BV135" t="str">
            <v/>
          </cell>
          <cell r="BW135" t="str">
            <v/>
          </cell>
          <cell r="BX135" t="str">
            <v/>
          </cell>
          <cell r="BY135" t="str">
            <v/>
          </cell>
          <cell r="BZ135" t="str">
            <v/>
          </cell>
          <cell r="CA135" t="str">
            <v/>
          </cell>
          <cell r="CB135" t="str">
            <v/>
          </cell>
          <cell r="CC135" t="str">
            <v/>
          </cell>
          <cell r="CD135" t="str">
            <v/>
          </cell>
          <cell r="CE135" t="str">
            <v/>
          </cell>
          <cell r="CF135" t="str">
            <v/>
          </cell>
          <cell r="CG135" t="str">
            <v/>
          </cell>
          <cell r="CH135" t="str">
            <v/>
          </cell>
          <cell r="CI135" t="str">
            <v/>
          </cell>
          <cell r="CJ135" t="str">
            <v/>
          </cell>
          <cell r="CK135" t="str">
            <v/>
          </cell>
          <cell r="CL135">
            <v>0</v>
          </cell>
          <cell r="CM135">
            <v>0</v>
          </cell>
          <cell r="CN135">
            <v>0</v>
          </cell>
          <cell r="CO135" t="str">
            <v>N.R</v>
          </cell>
          <cell r="CP135" t="str">
            <v/>
          </cell>
          <cell r="CQ135">
            <v>41</v>
          </cell>
          <cell r="CR135">
            <v>87</v>
          </cell>
          <cell r="CS135" t="e">
            <v>#VALUE!</v>
          </cell>
          <cell r="CT135" t="str">
            <v/>
          </cell>
          <cell r="CU135">
            <v>35</v>
          </cell>
          <cell r="CV135">
            <v>74</v>
          </cell>
          <cell r="CW135" t="e">
            <v>#VALUE!</v>
          </cell>
          <cell r="CX135" t="str">
            <v/>
          </cell>
          <cell r="CY135">
            <v>59</v>
          </cell>
          <cell r="CZ135">
            <v>97</v>
          </cell>
          <cell r="DA135" t="e">
            <v>#VALUE!</v>
          </cell>
          <cell r="DB135" t="str">
            <v/>
          </cell>
          <cell r="DC135">
            <v>0</v>
          </cell>
          <cell r="DD135">
            <v>0</v>
          </cell>
          <cell r="DE135" t="e">
            <v>#VALUE!</v>
          </cell>
          <cell r="DF135" t="str">
            <v/>
          </cell>
          <cell r="DG135">
            <v>33</v>
          </cell>
          <cell r="DH135">
            <v>87</v>
          </cell>
          <cell r="DI135" t="e">
            <v>#VALUE!</v>
          </cell>
          <cell r="DJ135" t="str">
            <v/>
          </cell>
          <cell r="DK135">
            <v>29</v>
          </cell>
          <cell r="DL135">
            <v>88</v>
          </cell>
          <cell r="DM135" t="e">
            <v>#VALUE!</v>
          </cell>
          <cell r="DN135" t="str">
            <v/>
          </cell>
          <cell r="DO135">
            <v>35</v>
          </cell>
          <cell r="DP135">
            <v>92</v>
          </cell>
          <cell r="DQ135" t="e">
            <v>#VALUE!</v>
          </cell>
          <cell r="DR135" t="str">
            <v/>
          </cell>
          <cell r="DS135">
            <v>0</v>
          </cell>
          <cell r="DT135">
            <v>81</v>
          </cell>
          <cell r="DU135" t="e">
            <v>#VALUE!</v>
          </cell>
          <cell r="DV135" t="str">
            <v/>
          </cell>
          <cell r="DW135">
            <v>0</v>
          </cell>
          <cell r="DX135">
            <v>0</v>
          </cell>
          <cell r="DY135" t="e">
            <v>#VALUE!</v>
          </cell>
          <cell r="DZ135" t="str">
            <v/>
          </cell>
          <cell r="EA135">
            <v>0</v>
          </cell>
          <cell r="EB135">
            <v>86</v>
          </cell>
          <cell r="EC135" t="e">
            <v>#VALUE!</v>
          </cell>
          <cell r="ED135" t="str">
            <v/>
          </cell>
          <cell r="EE135">
            <v>0</v>
          </cell>
          <cell r="EF135">
            <v>125</v>
          </cell>
          <cell r="EG135" t="e">
            <v>#VALUE!</v>
          </cell>
          <cell r="EH135" t="str">
            <v/>
          </cell>
          <cell r="EI135">
            <v>0</v>
          </cell>
          <cell r="EJ135">
            <v>89</v>
          </cell>
          <cell r="EK135" t="e">
            <v>#VALUE!</v>
          </cell>
          <cell r="EL135" t="str">
            <v/>
          </cell>
          <cell r="EM135">
            <v>0</v>
          </cell>
          <cell r="EN135">
            <v>91</v>
          </cell>
          <cell r="EO135" t="e">
            <v>#VALUE!</v>
          </cell>
          <cell r="EP135" t="str">
            <v/>
          </cell>
          <cell r="EQ135">
            <v>0</v>
          </cell>
          <cell r="ER135">
            <v>0</v>
          </cell>
          <cell r="ES135" t="e">
            <v>#VALUE!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 t="str">
            <v/>
          </cell>
          <cell r="P136" t="str">
            <v/>
          </cell>
          <cell r="Q136" t="str">
            <v/>
          </cell>
          <cell r="R136" t="str">
            <v/>
          </cell>
          <cell r="S136" t="str">
            <v/>
          </cell>
          <cell r="T136" t="str">
            <v/>
          </cell>
          <cell r="U136" t="str">
            <v/>
          </cell>
          <cell r="V136" t="str">
            <v/>
          </cell>
          <cell r="W136" t="str">
            <v/>
          </cell>
          <cell r="X136" t="str">
            <v/>
          </cell>
          <cell r="Y136" t="str">
            <v/>
          </cell>
          <cell r="Z136" t="str">
            <v/>
          </cell>
          <cell r="AA136" t="str">
            <v/>
          </cell>
          <cell r="AB136" t="str">
            <v/>
          </cell>
          <cell r="AC136" t="str">
            <v/>
          </cell>
          <cell r="AD136" t="str">
            <v/>
          </cell>
          <cell r="AE136" t="str">
            <v/>
          </cell>
          <cell r="AF136" t="str">
            <v/>
          </cell>
          <cell r="AG136" t="str">
            <v/>
          </cell>
          <cell r="AH136" t="str">
            <v/>
          </cell>
          <cell r="AI136" t="str">
            <v/>
          </cell>
          <cell r="AJ136" t="str">
            <v/>
          </cell>
          <cell r="AK136" t="str">
            <v/>
          </cell>
          <cell r="AL136" t="str">
            <v/>
          </cell>
          <cell r="AM136" t="str">
            <v/>
          </cell>
          <cell r="AN136" t="str">
            <v/>
          </cell>
          <cell r="AO136" t="str">
            <v/>
          </cell>
          <cell r="AP136" t="str">
            <v/>
          </cell>
          <cell r="AQ136" t="str">
            <v/>
          </cell>
          <cell r="AR136" t="str">
            <v/>
          </cell>
          <cell r="AS136" t="str">
            <v/>
          </cell>
          <cell r="AT136" t="str">
            <v/>
          </cell>
          <cell r="AU136" t="str">
            <v/>
          </cell>
          <cell r="AV136" t="str">
            <v/>
          </cell>
          <cell r="AW136" t="str">
            <v/>
          </cell>
          <cell r="AX136" t="str">
            <v/>
          </cell>
          <cell r="AY136" t="str">
            <v/>
          </cell>
          <cell r="AZ136" t="str">
            <v/>
          </cell>
          <cell r="BA136" t="str">
            <v/>
          </cell>
          <cell r="BB136" t="str">
            <v/>
          </cell>
          <cell r="BC136" t="str">
            <v/>
          </cell>
          <cell r="BD136" t="str">
            <v/>
          </cell>
          <cell r="BE136" t="str">
            <v/>
          </cell>
          <cell r="BF136" t="str">
            <v/>
          </cell>
          <cell r="BG136" t="str">
            <v/>
          </cell>
          <cell r="BH136" t="str">
            <v/>
          </cell>
          <cell r="BI136" t="str">
            <v/>
          </cell>
          <cell r="BJ136" t="str">
            <v/>
          </cell>
          <cell r="BK136" t="str">
            <v/>
          </cell>
          <cell r="BL136" t="str">
            <v/>
          </cell>
          <cell r="BM136" t="str">
            <v/>
          </cell>
          <cell r="BN136" t="str">
            <v/>
          </cell>
          <cell r="BO136" t="str">
            <v/>
          </cell>
          <cell r="BP136" t="str">
            <v/>
          </cell>
          <cell r="BQ136" t="str">
            <v/>
          </cell>
          <cell r="BR136" t="str">
            <v/>
          </cell>
          <cell r="BS136" t="str">
            <v/>
          </cell>
          <cell r="BT136" t="str">
            <v/>
          </cell>
          <cell r="BU136" t="str">
            <v/>
          </cell>
          <cell r="BV136" t="str">
            <v/>
          </cell>
          <cell r="BW136" t="str">
            <v/>
          </cell>
          <cell r="BX136" t="str">
            <v/>
          </cell>
          <cell r="BY136" t="str">
            <v/>
          </cell>
          <cell r="BZ136" t="str">
            <v/>
          </cell>
          <cell r="CA136" t="str">
            <v/>
          </cell>
          <cell r="CB136" t="str">
            <v/>
          </cell>
          <cell r="CC136" t="str">
            <v/>
          </cell>
          <cell r="CD136" t="str">
            <v/>
          </cell>
          <cell r="CE136" t="str">
            <v/>
          </cell>
          <cell r="CF136" t="str">
            <v/>
          </cell>
          <cell r="CG136" t="str">
            <v/>
          </cell>
          <cell r="CH136" t="str">
            <v/>
          </cell>
          <cell r="CI136" t="str">
            <v/>
          </cell>
          <cell r="CJ136" t="str">
            <v/>
          </cell>
          <cell r="CK136" t="str">
            <v/>
          </cell>
          <cell r="CL136">
            <v>0</v>
          </cell>
          <cell r="CM136">
            <v>0</v>
          </cell>
          <cell r="CN136">
            <v>0</v>
          </cell>
          <cell r="CO136" t="str">
            <v>N.R</v>
          </cell>
          <cell r="CP136" t="str">
            <v/>
          </cell>
          <cell r="CQ136">
            <v>41</v>
          </cell>
          <cell r="CR136">
            <v>87</v>
          </cell>
          <cell r="CS136" t="e">
            <v>#VALUE!</v>
          </cell>
          <cell r="CT136" t="str">
            <v/>
          </cell>
          <cell r="CU136">
            <v>35</v>
          </cell>
          <cell r="CV136">
            <v>74</v>
          </cell>
          <cell r="CW136" t="e">
            <v>#VALUE!</v>
          </cell>
          <cell r="CX136" t="str">
            <v/>
          </cell>
          <cell r="CY136">
            <v>59</v>
          </cell>
          <cell r="CZ136">
            <v>97</v>
          </cell>
          <cell r="DA136" t="e">
            <v>#VALUE!</v>
          </cell>
          <cell r="DB136" t="str">
            <v/>
          </cell>
          <cell r="DC136">
            <v>0</v>
          </cell>
          <cell r="DD136">
            <v>0</v>
          </cell>
          <cell r="DE136" t="e">
            <v>#VALUE!</v>
          </cell>
          <cell r="DF136" t="str">
            <v/>
          </cell>
          <cell r="DG136">
            <v>33</v>
          </cell>
          <cell r="DH136">
            <v>87</v>
          </cell>
          <cell r="DI136" t="e">
            <v>#VALUE!</v>
          </cell>
          <cell r="DJ136" t="str">
            <v/>
          </cell>
          <cell r="DK136">
            <v>29</v>
          </cell>
          <cell r="DL136">
            <v>88</v>
          </cell>
          <cell r="DM136" t="e">
            <v>#VALUE!</v>
          </cell>
          <cell r="DN136" t="str">
            <v/>
          </cell>
          <cell r="DO136">
            <v>35</v>
          </cell>
          <cell r="DP136">
            <v>92</v>
          </cell>
          <cell r="DQ136" t="e">
            <v>#VALUE!</v>
          </cell>
          <cell r="DR136" t="str">
            <v/>
          </cell>
          <cell r="DS136">
            <v>0</v>
          </cell>
          <cell r="DT136">
            <v>81</v>
          </cell>
          <cell r="DU136" t="e">
            <v>#VALUE!</v>
          </cell>
          <cell r="DV136" t="str">
            <v/>
          </cell>
          <cell r="DW136">
            <v>0</v>
          </cell>
          <cell r="DX136">
            <v>0</v>
          </cell>
          <cell r="DY136" t="e">
            <v>#VALUE!</v>
          </cell>
          <cell r="DZ136" t="str">
            <v/>
          </cell>
          <cell r="EA136">
            <v>0</v>
          </cell>
          <cell r="EB136">
            <v>86</v>
          </cell>
          <cell r="EC136" t="e">
            <v>#VALUE!</v>
          </cell>
          <cell r="ED136" t="str">
            <v/>
          </cell>
          <cell r="EE136">
            <v>0</v>
          </cell>
          <cell r="EF136">
            <v>126</v>
          </cell>
          <cell r="EG136" t="e">
            <v>#VALUE!</v>
          </cell>
          <cell r="EH136" t="str">
            <v/>
          </cell>
          <cell r="EI136">
            <v>0</v>
          </cell>
          <cell r="EJ136">
            <v>89</v>
          </cell>
          <cell r="EK136" t="e">
            <v>#VALUE!</v>
          </cell>
          <cell r="EL136" t="str">
            <v/>
          </cell>
          <cell r="EM136">
            <v>0</v>
          </cell>
          <cell r="EN136">
            <v>91</v>
          </cell>
          <cell r="EO136" t="e">
            <v>#VALUE!</v>
          </cell>
          <cell r="EP136" t="str">
            <v/>
          </cell>
          <cell r="EQ136">
            <v>0</v>
          </cell>
          <cell r="ER136">
            <v>0</v>
          </cell>
          <cell r="ES136" t="e">
            <v>#VALUE!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 t="str">
            <v/>
          </cell>
          <cell r="P137" t="str">
            <v/>
          </cell>
          <cell r="Q137" t="str">
            <v/>
          </cell>
          <cell r="R137" t="str">
            <v/>
          </cell>
          <cell r="S137" t="str">
            <v/>
          </cell>
          <cell r="T137" t="str">
            <v/>
          </cell>
          <cell r="U137" t="str">
            <v/>
          </cell>
          <cell r="V137" t="str">
            <v/>
          </cell>
          <cell r="W137" t="str">
            <v/>
          </cell>
          <cell r="X137" t="str">
            <v/>
          </cell>
          <cell r="Y137" t="str">
            <v/>
          </cell>
          <cell r="Z137" t="str">
            <v/>
          </cell>
          <cell r="AA137" t="str">
            <v/>
          </cell>
          <cell r="AB137" t="str">
            <v/>
          </cell>
          <cell r="AC137" t="str">
            <v/>
          </cell>
          <cell r="AD137" t="str">
            <v/>
          </cell>
          <cell r="AE137" t="str">
            <v/>
          </cell>
          <cell r="AF137" t="str">
            <v/>
          </cell>
          <cell r="AG137" t="str">
            <v/>
          </cell>
          <cell r="AH137" t="str">
            <v/>
          </cell>
          <cell r="AI137" t="str">
            <v/>
          </cell>
          <cell r="AJ137" t="str">
            <v/>
          </cell>
          <cell r="AK137" t="str">
            <v/>
          </cell>
          <cell r="AL137" t="str">
            <v/>
          </cell>
          <cell r="AM137" t="str">
            <v/>
          </cell>
          <cell r="AN137" t="str">
            <v/>
          </cell>
          <cell r="AO137" t="str">
            <v/>
          </cell>
          <cell r="AP137" t="str">
            <v/>
          </cell>
          <cell r="AQ137" t="str">
            <v/>
          </cell>
          <cell r="AR137" t="str">
            <v/>
          </cell>
          <cell r="AS137" t="str">
            <v/>
          </cell>
          <cell r="AT137" t="str">
            <v/>
          </cell>
          <cell r="AU137" t="str">
            <v/>
          </cell>
          <cell r="AV137" t="str">
            <v/>
          </cell>
          <cell r="AW137" t="str">
            <v/>
          </cell>
          <cell r="AX137" t="str">
            <v/>
          </cell>
          <cell r="AY137" t="str">
            <v/>
          </cell>
          <cell r="AZ137" t="str">
            <v/>
          </cell>
          <cell r="BA137" t="str">
            <v/>
          </cell>
          <cell r="BB137" t="str">
            <v/>
          </cell>
          <cell r="BC137" t="str">
            <v/>
          </cell>
          <cell r="BD137" t="str">
            <v/>
          </cell>
          <cell r="BE137" t="str">
            <v/>
          </cell>
          <cell r="BF137" t="str">
            <v/>
          </cell>
          <cell r="BG137" t="str">
            <v/>
          </cell>
          <cell r="BH137" t="str">
            <v/>
          </cell>
          <cell r="BI137" t="str">
            <v/>
          </cell>
          <cell r="BJ137" t="str">
            <v/>
          </cell>
          <cell r="BK137" t="str">
            <v/>
          </cell>
          <cell r="BL137" t="str">
            <v/>
          </cell>
          <cell r="BM137" t="str">
            <v/>
          </cell>
          <cell r="BN137" t="str">
            <v/>
          </cell>
          <cell r="BO137" t="str">
            <v/>
          </cell>
          <cell r="BP137" t="str">
            <v/>
          </cell>
          <cell r="BQ137" t="str">
            <v/>
          </cell>
          <cell r="BR137" t="str">
            <v/>
          </cell>
          <cell r="BS137" t="str">
            <v/>
          </cell>
          <cell r="BT137" t="str">
            <v/>
          </cell>
          <cell r="BU137" t="str">
            <v/>
          </cell>
          <cell r="BV137" t="str">
            <v/>
          </cell>
          <cell r="BW137" t="str">
            <v/>
          </cell>
          <cell r="BX137" t="str">
            <v/>
          </cell>
          <cell r="BY137" t="str">
            <v/>
          </cell>
          <cell r="BZ137" t="str">
            <v/>
          </cell>
          <cell r="CA137" t="str">
            <v/>
          </cell>
          <cell r="CB137" t="str">
            <v/>
          </cell>
          <cell r="CC137" t="str">
            <v/>
          </cell>
          <cell r="CD137" t="str">
            <v/>
          </cell>
          <cell r="CE137" t="str">
            <v/>
          </cell>
          <cell r="CF137" t="str">
            <v/>
          </cell>
          <cell r="CG137" t="str">
            <v/>
          </cell>
          <cell r="CH137" t="str">
            <v/>
          </cell>
          <cell r="CI137" t="str">
            <v/>
          </cell>
          <cell r="CJ137" t="str">
            <v/>
          </cell>
          <cell r="CK137" t="str">
            <v/>
          </cell>
          <cell r="CL137">
            <v>0</v>
          </cell>
          <cell r="CM137">
            <v>0</v>
          </cell>
          <cell r="CN137">
            <v>0</v>
          </cell>
          <cell r="CO137" t="str">
            <v>N.R</v>
          </cell>
          <cell r="CP137" t="str">
            <v/>
          </cell>
          <cell r="CQ137">
            <v>41</v>
          </cell>
          <cell r="CR137">
            <v>87</v>
          </cell>
          <cell r="CS137" t="e">
            <v>#VALUE!</v>
          </cell>
          <cell r="CT137" t="str">
            <v/>
          </cell>
          <cell r="CU137">
            <v>35</v>
          </cell>
          <cell r="CV137">
            <v>74</v>
          </cell>
          <cell r="CW137" t="e">
            <v>#VALUE!</v>
          </cell>
          <cell r="CX137" t="str">
            <v/>
          </cell>
          <cell r="CY137">
            <v>59</v>
          </cell>
          <cell r="CZ137">
            <v>97</v>
          </cell>
          <cell r="DA137" t="e">
            <v>#VALUE!</v>
          </cell>
          <cell r="DB137" t="str">
            <v/>
          </cell>
          <cell r="DC137">
            <v>0</v>
          </cell>
          <cell r="DD137">
            <v>0</v>
          </cell>
          <cell r="DE137" t="e">
            <v>#VALUE!</v>
          </cell>
          <cell r="DF137" t="str">
            <v/>
          </cell>
          <cell r="DG137">
            <v>33</v>
          </cell>
          <cell r="DH137">
            <v>87</v>
          </cell>
          <cell r="DI137" t="e">
            <v>#VALUE!</v>
          </cell>
          <cell r="DJ137" t="str">
            <v/>
          </cell>
          <cell r="DK137">
            <v>29</v>
          </cell>
          <cell r="DL137">
            <v>88</v>
          </cell>
          <cell r="DM137" t="e">
            <v>#VALUE!</v>
          </cell>
          <cell r="DN137" t="str">
            <v/>
          </cell>
          <cell r="DO137">
            <v>35</v>
          </cell>
          <cell r="DP137">
            <v>92</v>
          </cell>
          <cell r="DQ137" t="e">
            <v>#VALUE!</v>
          </cell>
          <cell r="DR137" t="str">
            <v/>
          </cell>
          <cell r="DS137">
            <v>0</v>
          </cell>
          <cell r="DT137">
            <v>81</v>
          </cell>
          <cell r="DU137" t="e">
            <v>#VALUE!</v>
          </cell>
          <cell r="DV137" t="str">
            <v/>
          </cell>
          <cell r="DW137">
            <v>0</v>
          </cell>
          <cell r="DX137">
            <v>0</v>
          </cell>
          <cell r="DY137" t="e">
            <v>#VALUE!</v>
          </cell>
          <cell r="DZ137" t="str">
            <v/>
          </cell>
          <cell r="EA137">
            <v>0</v>
          </cell>
          <cell r="EB137">
            <v>86</v>
          </cell>
          <cell r="EC137" t="e">
            <v>#VALUE!</v>
          </cell>
          <cell r="ED137" t="str">
            <v/>
          </cell>
          <cell r="EE137">
            <v>0</v>
          </cell>
          <cell r="EF137">
            <v>127</v>
          </cell>
          <cell r="EG137" t="e">
            <v>#VALUE!</v>
          </cell>
          <cell r="EH137" t="str">
            <v/>
          </cell>
          <cell r="EI137">
            <v>0</v>
          </cell>
          <cell r="EJ137">
            <v>89</v>
          </cell>
          <cell r="EK137" t="e">
            <v>#VALUE!</v>
          </cell>
          <cell r="EL137" t="str">
            <v/>
          </cell>
          <cell r="EM137">
            <v>0</v>
          </cell>
          <cell r="EN137">
            <v>91</v>
          </cell>
          <cell r="EO137" t="e">
            <v>#VALUE!</v>
          </cell>
          <cell r="EP137" t="str">
            <v/>
          </cell>
          <cell r="EQ137">
            <v>0</v>
          </cell>
          <cell r="ER137">
            <v>0</v>
          </cell>
          <cell r="ES137" t="e">
            <v>#VALUE!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str">
            <v/>
          </cell>
          <cell r="P138" t="str">
            <v/>
          </cell>
          <cell r="Q138" t="str">
            <v/>
          </cell>
          <cell r="R138" t="str">
            <v/>
          </cell>
          <cell r="S138" t="str">
            <v/>
          </cell>
          <cell r="T138" t="str">
            <v/>
          </cell>
          <cell r="U138" t="str">
            <v/>
          </cell>
          <cell r="V138" t="str">
            <v/>
          </cell>
          <cell r="W138" t="str">
            <v/>
          </cell>
          <cell r="X138" t="str">
            <v/>
          </cell>
          <cell r="Y138" t="str">
            <v/>
          </cell>
          <cell r="Z138" t="str">
            <v/>
          </cell>
          <cell r="AA138" t="str">
            <v/>
          </cell>
          <cell r="AB138" t="str">
            <v/>
          </cell>
          <cell r="AC138" t="str">
            <v/>
          </cell>
          <cell r="AD138" t="str">
            <v/>
          </cell>
          <cell r="AE138" t="str">
            <v/>
          </cell>
          <cell r="AF138" t="str">
            <v/>
          </cell>
          <cell r="AG138" t="str">
            <v/>
          </cell>
          <cell r="AH138" t="str">
            <v/>
          </cell>
          <cell r="AI138" t="str">
            <v/>
          </cell>
          <cell r="AJ138" t="str">
            <v/>
          </cell>
          <cell r="AK138" t="str">
            <v/>
          </cell>
          <cell r="AL138" t="str">
            <v/>
          </cell>
          <cell r="AM138" t="str">
            <v/>
          </cell>
          <cell r="AN138" t="str">
            <v/>
          </cell>
          <cell r="AO138" t="str">
            <v/>
          </cell>
          <cell r="AP138" t="str">
            <v/>
          </cell>
          <cell r="AQ138" t="str">
            <v/>
          </cell>
          <cell r="AR138" t="str">
            <v/>
          </cell>
          <cell r="AS138" t="str">
            <v/>
          </cell>
          <cell r="AT138" t="str">
            <v/>
          </cell>
          <cell r="AU138" t="str">
            <v/>
          </cell>
          <cell r="AV138" t="str">
            <v/>
          </cell>
          <cell r="AW138" t="str">
            <v/>
          </cell>
          <cell r="AX138" t="str">
            <v/>
          </cell>
          <cell r="AY138" t="str">
            <v/>
          </cell>
          <cell r="AZ138" t="str">
            <v/>
          </cell>
          <cell r="BA138" t="str">
            <v/>
          </cell>
          <cell r="BB138" t="str">
            <v/>
          </cell>
          <cell r="BC138" t="str">
            <v/>
          </cell>
          <cell r="BD138" t="str">
            <v/>
          </cell>
          <cell r="BE138" t="str">
            <v/>
          </cell>
          <cell r="BF138" t="str">
            <v/>
          </cell>
          <cell r="BG138" t="str">
            <v/>
          </cell>
          <cell r="BH138" t="str">
            <v/>
          </cell>
          <cell r="BI138" t="str">
            <v/>
          </cell>
          <cell r="BJ138" t="str">
            <v/>
          </cell>
          <cell r="BK138" t="str">
            <v/>
          </cell>
          <cell r="BL138" t="str">
            <v/>
          </cell>
          <cell r="BM138" t="str">
            <v/>
          </cell>
          <cell r="BN138" t="str">
            <v/>
          </cell>
          <cell r="BO138" t="str">
            <v/>
          </cell>
          <cell r="BP138" t="str">
            <v/>
          </cell>
          <cell r="BQ138" t="str">
            <v/>
          </cell>
          <cell r="BR138" t="str">
            <v/>
          </cell>
          <cell r="BS138" t="str">
            <v/>
          </cell>
          <cell r="BT138" t="str">
            <v/>
          </cell>
          <cell r="BU138" t="str">
            <v/>
          </cell>
          <cell r="BV138" t="str">
            <v/>
          </cell>
          <cell r="BW138" t="str">
            <v/>
          </cell>
          <cell r="BX138" t="str">
            <v/>
          </cell>
          <cell r="BY138" t="str">
            <v/>
          </cell>
          <cell r="BZ138" t="str">
            <v/>
          </cell>
          <cell r="CA138" t="str">
            <v/>
          </cell>
          <cell r="CB138" t="str">
            <v/>
          </cell>
          <cell r="CC138" t="str">
            <v/>
          </cell>
          <cell r="CD138" t="str">
            <v/>
          </cell>
          <cell r="CE138" t="str">
            <v/>
          </cell>
          <cell r="CF138" t="str">
            <v/>
          </cell>
          <cell r="CG138" t="str">
            <v/>
          </cell>
          <cell r="CH138" t="str">
            <v/>
          </cell>
          <cell r="CI138" t="str">
            <v/>
          </cell>
          <cell r="CJ138" t="str">
            <v/>
          </cell>
          <cell r="CK138" t="str">
            <v/>
          </cell>
          <cell r="CL138">
            <v>0</v>
          </cell>
          <cell r="CM138">
            <v>0</v>
          </cell>
          <cell r="CN138">
            <v>0</v>
          </cell>
          <cell r="CO138" t="str">
            <v>N.R</v>
          </cell>
          <cell r="CP138" t="str">
            <v/>
          </cell>
          <cell r="CQ138">
            <v>41</v>
          </cell>
          <cell r="CR138">
            <v>87</v>
          </cell>
          <cell r="CS138" t="e">
            <v>#VALUE!</v>
          </cell>
          <cell r="CT138" t="str">
            <v/>
          </cell>
          <cell r="CU138">
            <v>35</v>
          </cell>
          <cell r="CV138">
            <v>74</v>
          </cell>
          <cell r="CW138" t="e">
            <v>#VALUE!</v>
          </cell>
          <cell r="CX138" t="str">
            <v/>
          </cell>
          <cell r="CY138">
            <v>59</v>
          </cell>
          <cell r="CZ138">
            <v>97</v>
          </cell>
          <cell r="DA138" t="e">
            <v>#VALUE!</v>
          </cell>
          <cell r="DB138" t="str">
            <v/>
          </cell>
          <cell r="DC138">
            <v>0</v>
          </cell>
          <cell r="DD138">
            <v>0</v>
          </cell>
          <cell r="DE138" t="e">
            <v>#VALUE!</v>
          </cell>
          <cell r="DF138" t="str">
            <v/>
          </cell>
          <cell r="DG138">
            <v>33</v>
          </cell>
          <cell r="DH138">
            <v>87</v>
          </cell>
          <cell r="DI138" t="e">
            <v>#VALUE!</v>
          </cell>
          <cell r="DJ138" t="str">
            <v/>
          </cell>
          <cell r="DK138">
            <v>29</v>
          </cell>
          <cell r="DL138">
            <v>88</v>
          </cell>
          <cell r="DM138" t="e">
            <v>#VALUE!</v>
          </cell>
          <cell r="DN138" t="str">
            <v/>
          </cell>
          <cell r="DO138">
            <v>35</v>
          </cell>
          <cell r="DP138">
            <v>92</v>
          </cell>
          <cell r="DQ138" t="e">
            <v>#VALUE!</v>
          </cell>
          <cell r="DR138" t="str">
            <v/>
          </cell>
          <cell r="DS138">
            <v>0</v>
          </cell>
          <cell r="DT138">
            <v>81</v>
          </cell>
          <cell r="DU138" t="e">
            <v>#VALUE!</v>
          </cell>
          <cell r="DV138" t="str">
            <v/>
          </cell>
          <cell r="DW138">
            <v>0</v>
          </cell>
          <cell r="DX138">
            <v>0</v>
          </cell>
          <cell r="DY138" t="e">
            <v>#VALUE!</v>
          </cell>
          <cell r="DZ138" t="str">
            <v/>
          </cell>
          <cell r="EA138">
            <v>0</v>
          </cell>
          <cell r="EB138">
            <v>86</v>
          </cell>
          <cell r="EC138" t="e">
            <v>#VALUE!</v>
          </cell>
          <cell r="ED138" t="str">
            <v/>
          </cell>
          <cell r="EE138">
            <v>0</v>
          </cell>
          <cell r="EF138">
            <v>128</v>
          </cell>
          <cell r="EG138" t="e">
            <v>#VALUE!</v>
          </cell>
          <cell r="EH138" t="str">
            <v/>
          </cell>
          <cell r="EI138">
            <v>0</v>
          </cell>
          <cell r="EJ138">
            <v>89</v>
          </cell>
          <cell r="EK138" t="e">
            <v>#VALUE!</v>
          </cell>
          <cell r="EL138" t="str">
            <v/>
          </cell>
          <cell r="EM138">
            <v>0</v>
          </cell>
          <cell r="EN138">
            <v>91</v>
          </cell>
          <cell r="EO138" t="e">
            <v>#VALUE!</v>
          </cell>
          <cell r="EP138" t="str">
            <v/>
          </cell>
          <cell r="EQ138">
            <v>0</v>
          </cell>
          <cell r="ER138">
            <v>0</v>
          </cell>
          <cell r="ES138" t="e">
            <v>#VALUE!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str">
            <v/>
          </cell>
          <cell r="P139" t="str">
            <v/>
          </cell>
          <cell r="Q139" t="str">
            <v/>
          </cell>
          <cell r="R139" t="str">
            <v/>
          </cell>
          <cell r="S139" t="str">
            <v/>
          </cell>
          <cell r="T139" t="str">
            <v/>
          </cell>
          <cell r="U139" t="str">
            <v/>
          </cell>
          <cell r="V139" t="str">
            <v/>
          </cell>
          <cell r="W139" t="str">
            <v/>
          </cell>
          <cell r="X139" t="str">
            <v/>
          </cell>
          <cell r="Y139" t="str">
            <v/>
          </cell>
          <cell r="Z139" t="str">
            <v/>
          </cell>
          <cell r="AA139" t="str">
            <v/>
          </cell>
          <cell r="AB139" t="str">
            <v/>
          </cell>
          <cell r="AC139" t="str">
            <v/>
          </cell>
          <cell r="AD139" t="str">
            <v/>
          </cell>
          <cell r="AE139" t="str">
            <v/>
          </cell>
          <cell r="AF139" t="str">
            <v/>
          </cell>
          <cell r="AG139" t="str">
            <v/>
          </cell>
          <cell r="AH139" t="str">
            <v/>
          </cell>
          <cell r="AI139" t="str">
            <v/>
          </cell>
          <cell r="AJ139" t="str">
            <v/>
          </cell>
          <cell r="AK139" t="str">
            <v/>
          </cell>
          <cell r="AL139" t="str">
            <v/>
          </cell>
          <cell r="AM139" t="str">
            <v/>
          </cell>
          <cell r="AN139" t="str">
            <v/>
          </cell>
          <cell r="AO139" t="str">
            <v/>
          </cell>
          <cell r="AP139" t="str">
            <v/>
          </cell>
          <cell r="AQ139" t="str">
            <v/>
          </cell>
          <cell r="AR139" t="str">
            <v/>
          </cell>
          <cell r="AS139" t="str">
            <v/>
          </cell>
          <cell r="AT139" t="str">
            <v/>
          </cell>
          <cell r="AU139" t="str">
            <v/>
          </cell>
          <cell r="AV139" t="str">
            <v/>
          </cell>
          <cell r="AW139" t="str">
            <v/>
          </cell>
          <cell r="AX139" t="str">
            <v/>
          </cell>
          <cell r="AY139" t="str">
            <v/>
          </cell>
          <cell r="AZ139" t="str">
            <v/>
          </cell>
          <cell r="BA139" t="str">
            <v/>
          </cell>
          <cell r="BB139" t="str">
            <v/>
          </cell>
          <cell r="BC139" t="str">
            <v/>
          </cell>
          <cell r="BD139" t="str">
            <v/>
          </cell>
          <cell r="BE139" t="str">
            <v/>
          </cell>
          <cell r="BF139" t="str">
            <v/>
          </cell>
          <cell r="BG139" t="str">
            <v/>
          </cell>
          <cell r="BH139" t="str">
            <v/>
          </cell>
          <cell r="BI139" t="str">
            <v/>
          </cell>
          <cell r="BJ139" t="str">
            <v/>
          </cell>
          <cell r="BK139" t="str">
            <v/>
          </cell>
          <cell r="BL139" t="str">
            <v/>
          </cell>
          <cell r="BM139" t="str">
            <v/>
          </cell>
          <cell r="BN139" t="str">
            <v/>
          </cell>
          <cell r="BO139" t="str">
            <v/>
          </cell>
          <cell r="BP139" t="str">
            <v/>
          </cell>
          <cell r="BQ139" t="str">
            <v/>
          </cell>
          <cell r="BR139" t="str">
            <v/>
          </cell>
          <cell r="BS139" t="str">
            <v/>
          </cell>
          <cell r="BT139" t="str">
            <v/>
          </cell>
          <cell r="BU139" t="str">
            <v/>
          </cell>
          <cell r="BV139" t="str">
            <v/>
          </cell>
          <cell r="BW139" t="str">
            <v/>
          </cell>
          <cell r="BX139" t="str">
            <v/>
          </cell>
          <cell r="BY139" t="str">
            <v/>
          </cell>
          <cell r="BZ139" t="str">
            <v/>
          </cell>
          <cell r="CA139" t="str">
            <v/>
          </cell>
          <cell r="CB139" t="str">
            <v/>
          </cell>
          <cell r="CC139" t="str">
            <v/>
          </cell>
          <cell r="CD139" t="str">
            <v/>
          </cell>
          <cell r="CE139" t="str">
            <v/>
          </cell>
          <cell r="CF139" t="str">
            <v/>
          </cell>
          <cell r="CG139" t="str">
            <v/>
          </cell>
          <cell r="CH139" t="str">
            <v/>
          </cell>
          <cell r="CI139" t="str">
            <v/>
          </cell>
          <cell r="CJ139" t="str">
            <v/>
          </cell>
          <cell r="CK139" t="str">
            <v/>
          </cell>
          <cell r="CL139">
            <v>0</v>
          </cell>
          <cell r="CM139">
            <v>0</v>
          </cell>
          <cell r="CN139">
            <v>0</v>
          </cell>
          <cell r="CO139" t="str">
            <v>N.R</v>
          </cell>
          <cell r="CP139" t="str">
            <v/>
          </cell>
          <cell r="CQ139">
            <v>41</v>
          </cell>
          <cell r="CR139">
            <v>87</v>
          </cell>
          <cell r="CS139" t="e">
            <v>#VALUE!</v>
          </cell>
          <cell r="CT139" t="str">
            <v/>
          </cell>
          <cell r="CU139">
            <v>35</v>
          </cell>
          <cell r="CV139">
            <v>74</v>
          </cell>
          <cell r="CW139" t="e">
            <v>#VALUE!</v>
          </cell>
          <cell r="CX139" t="str">
            <v/>
          </cell>
          <cell r="CY139">
            <v>59</v>
          </cell>
          <cell r="CZ139">
            <v>97</v>
          </cell>
          <cell r="DA139" t="e">
            <v>#VALUE!</v>
          </cell>
          <cell r="DB139" t="str">
            <v/>
          </cell>
          <cell r="DC139">
            <v>0</v>
          </cell>
          <cell r="DD139">
            <v>0</v>
          </cell>
          <cell r="DE139" t="e">
            <v>#VALUE!</v>
          </cell>
          <cell r="DF139" t="str">
            <v/>
          </cell>
          <cell r="DG139">
            <v>33</v>
          </cell>
          <cell r="DH139">
            <v>87</v>
          </cell>
          <cell r="DI139" t="e">
            <v>#VALUE!</v>
          </cell>
          <cell r="DJ139" t="str">
            <v/>
          </cell>
          <cell r="DK139">
            <v>29</v>
          </cell>
          <cell r="DL139">
            <v>88</v>
          </cell>
          <cell r="DM139" t="e">
            <v>#VALUE!</v>
          </cell>
          <cell r="DN139" t="str">
            <v/>
          </cell>
          <cell r="DO139">
            <v>35</v>
          </cell>
          <cell r="DP139">
            <v>92</v>
          </cell>
          <cell r="DQ139" t="e">
            <v>#VALUE!</v>
          </cell>
          <cell r="DR139" t="str">
            <v/>
          </cell>
          <cell r="DS139">
            <v>0</v>
          </cell>
          <cell r="DT139">
            <v>81</v>
          </cell>
          <cell r="DU139" t="e">
            <v>#VALUE!</v>
          </cell>
          <cell r="DV139" t="str">
            <v/>
          </cell>
          <cell r="DW139">
            <v>0</v>
          </cell>
          <cell r="DX139">
            <v>0</v>
          </cell>
          <cell r="DY139" t="e">
            <v>#VALUE!</v>
          </cell>
          <cell r="DZ139" t="str">
            <v/>
          </cell>
          <cell r="EA139">
            <v>0</v>
          </cell>
          <cell r="EB139">
            <v>86</v>
          </cell>
          <cell r="EC139" t="e">
            <v>#VALUE!</v>
          </cell>
          <cell r="ED139" t="str">
            <v/>
          </cell>
          <cell r="EE139">
            <v>0</v>
          </cell>
          <cell r="EF139">
            <v>129</v>
          </cell>
          <cell r="EG139" t="e">
            <v>#VALUE!</v>
          </cell>
          <cell r="EH139" t="str">
            <v/>
          </cell>
          <cell r="EI139">
            <v>0</v>
          </cell>
          <cell r="EJ139">
            <v>89</v>
          </cell>
          <cell r="EK139" t="e">
            <v>#VALUE!</v>
          </cell>
          <cell r="EL139" t="str">
            <v/>
          </cell>
          <cell r="EM139">
            <v>0</v>
          </cell>
          <cell r="EN139">
            <v>91</v>
          </cell>
          <cell r="EO139" t="e">
            <v>#VALUE!</v>
          </cell>
          <cell r="EP139" t="str">
            <v/>
          </cell>
          <cell r="EQ139">
            <v>0</v>
          </cell>
          <cell r="ER139">
            <v>0</v>
          </cell>
          <cell r="ES139" t="e">
            <v>#VALUE!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  <cell r="V140" t="str">
            <v/>
          </cell>
          <cell r="W140" t="str">
            <v/>
          </cell>
          <cell r="X140" t="str">
            <v/>
          </cell>
          <cell r="Y140" t="str">
            <v/>
          </cell>
          <cell r="Z140" t="str">
            <v/>
          </cell>
          <cell r="AA140" t="str">
            <v/>
          </cell>
          <cell r="AB140" t="str">
            <v/>
          </cell>
          <cell r="AC140" t="str">
            <v/>
          </cell>
          <cell r="AD140" t="str">
            <v/>
          </cell>
          <cell r="AE140" t="str">
            <v/>
          </cell>
          <cell r="AF140" t="str">
            <v/>
          </cell>
          <cell r="AG140" t="str">
            <v/>
          </cell>
          <cell r="AH140" t="str">
            <v/>
          </cell>
          <cell r="AI140" t="str">
            <v/>
          </cell>
          <cell r="AJ140" t="str">
            <v/>
          </cell>
          <cell r="AK140" t="str">
            <v/>
          </cell>
          <cell r="AL140" t="str">
            <v/>
          </cell>
          <cell r="AM140" t="str">
            <v/>
          </cell>
          <cell r="AN140" t="str">
            <v/>
          </cell>
          <cell r="AO140" t="str">
            <v/>
          </cell>
          <cell r="AP140" t="str">
            <v/>
          </cell>
          <cell r="AQ140" t="str">
            <v/>
          </cell>
          <cell r="AR140" t="str">
            <v/>
          </cell>
          <cell r="AS140" t="str">
            <v/>
          </cell>
          <cell r="AT140" t="str">
            <v/>
          </cell>
          <cell r="AU140" t="str">
            <v/>
          </cell>
          <cell r="AV140" t="str">
            <v/>
          </cell>
          <cell r="AW140" t="str">
            <v/>
          </cell>
          <cell r="AX140" t="str">
            <v/>
          </cell>
          <cell r="AY140" t="str">
            <v/>
          </cell>
          <cell r="AZ140" t="str">
            <v/>
          </cell>
          <cell r="BA140" t="str">
            <v/>
          </cell>
          <cell r="BB140" t="str">
            <v/>
          </cell>
          <cell r="BC140" t="str">
            <v/>
          </cell>
          <cell r="BD140" t="str">
            <v/>
          </cell>
          <cell r="BE140" t="str">
            <v/>
          </cell>
          <cell r="BF140" t="str">
            <v/>
          </cell>
          <cell r="BG140" t="str">
            <v/>
          </cell>
          <cell r="BH140" t="str">
            <v/>
          </cell>
          <cell r="BI140" t="str">
            <v/>
          </cell>
          <cell r="BJ140" t="str">
            <v/>
          </cell>
          <cell r="BK140" t="str">
            <v/>
          </cell>
          <cell r="BL140" t="str">
            <v/>
          </cell>
          <cell r="BM140" t="str">
            <v/>
          </cell>
          <cell r="BN140" t="str">
            <v/>
          </cell>
          <cell r="BO140" t="str">
            <v/>
          </cell>
          <cell r="BP140" t="str">
            <v/>
          </cell>
          <cell r="BQ140" t="str">
            <v/>
          </cell>
          <cell r="BR140" t="str">
            <v/>
          </cell>
          <cell r="BS140" t="str">
            <v/>
          </cell>
          <cell r="BT140" t="str">
            <v/>
          </cell>
          <cell r="BU140" t="str">
            <v/>
          </cell>
          <cell r="BV140" t="str">
            <v/>
          </cell>
          <cell r="BW140" t="str">
            <v/>
          </cell>
          <cell r="BX140" t="str">
            <v/>
          </cell>
          <cell r="BY140" t="str">
            <v/>
          </cell>
          <cell r="BZ140" t="str">
            <v/>
          </cell>
          <cell r="CA140" t="str">
            <v/>
          </cell>
          <cell r="CB140" t="str">
            <v/>
          </cell>
          <cell r="CC140" t="str">
            <v/>
          </cell>
          <cell r="CD140" t="str">
            <v/>
          </cell>
          <cell r="CE140" t="str">
            <v/>
          </cell>
          <cell r="CF140" t="str">
            <v/>
          </cell>
          <cell r="CG140" t="str">
            <v/>
          </cell>
          <cell r="CH140" t="str">
            <v/>
          </cell>
          <cell r="CI140" t="str">
            <v/>
          </cell>
          <cell r="CJ140" t="str">
            <v/>
          </cell>
          <cell r="CK140" t="str">
            <v/>
          </cell>
          <cell r="CL140">
            <v>0</v>
          </cell>
          <cell r="CM140">
            <v>0</v>
          </cell>
          <cell r="CN140">
            <v>0</v>
          </cell>
          <cell r="CO140" t="str">
            <v>N.R</v>
          </cell>
          <cell r="CP140" t="str">
            <v/>
          </cell>
          <cell r="CQ140">
            <v>41</v>
          </cell>
          <cell r="CR140">
            <v>87</v>
          </cell>
          <cell r="CS140" t="e">
            <v>#VALUE!</v>
          </cell>
          <cell r="CT140" t="str">
            <v/>
          </cell>
          <cell r="CU140">
            <v>35</v>
          </cell>
          <cell r="CV140">
            <v>74</v>
          </cell>
          <cell r="CW140" t="e">
            <v>#VALUE!</v>
          </cell>
          <cell r="CX140" t="str">
            <v/>
          </cell>
          <cell r="CY140">
            <v>59</v>
          </cell>
          <cell r="CZ140">
            <v>97</v>
          </cell>
          <cell r="DA140" t="e">
            <v>#VALUE!</v>
          </cell>
          <cell r="DB140" t="str">
            <v/>
          </cell>
          <cell r="DC140">
            <v>0</v>
          </cell>
          <cell r="DD140">
            <v>0</v>
          </cell>
          <cell r="DE140" t="e">
            <v>#VALUE!</v>
          </cell>
          <cell r="DF140" t="str">
            <v/>
          </cell>
          <cell r="DG140">
            <v>33</v>
          </cell>
          <cell r="DH140">
            <v>87</v>
          </cell>
          <cell r="DI140" t="e">
            <v>#VALUE!</v>
          </cell>
          <cell r="DJ140" t="str">
            <v/>
          </cell>
          <cell r="DK140">
            <v>29</v>
          </cell>
          <cell r="DL140">
            <v>88</v>
          </cell>
          <cell r="DM140" t="e">
            <v>#VALUE!</v>
          </cell>
          <cell r="DN140" t="str">
            <v/>
          </cell>
          <cell r="DO140">
            <v>35</v>
          </cell>
          <cell r="DP140">
            <v>92</v>
          </cell>
          <cell r="DQ140" t="e">
            <v>#VALUE!</v>
          </cell>
          <cell r="DR140" t="str">
            <v/>
          </cell>
          <cell r="DS140">
            <v>0</v>
          </cell>
          <cell r="DT140">
            <v>81</v>
          </cell>
          <cell r="DU140" t="e">
            <v>#VALUE!</v>
          </cell>
          <cell r="DV140" t="str">
            <v/>
          </cell>
          <cell r="DW140">
            <v>0</v>
          </cell>
          <cell r="DX140">
            <v>0</v>
          </cell>
          <cell r="DY140" t="e">
            <v>#VALUE!</v>
          </cell>
          <cell r="DZ140" t="str">
            <v/>
          </cell>
          <cell r="EA140">
            <v>0</v>
          </cell>
          <cell r="EB140">
            <v>86</v>
          </cell>
          <cell r="EC140" t="e">
            <v>#VALUE!</v>
          </cell>
          <cell r="ED140" t="str">
            <v/>
          </cell>
          <cell r="EE140">
            <v>0</v>
          </cell>
          <cell r="EF140">
            <v>130</v>
          </cell>
          <cell r="EG140" t="e">
            <v>#VALUE!</v>
          </cell>
          <cell r="EH140" t="str">
            <v/>
          </cell>
          <cell r="EI140">
            <v>0</v>
          </cell>
          <cell r="EJ140">
            <v>89</v>
          </cell>
          <cell r="EK140" t="e">
            <v>#VALUE!</v>
          </cell>
          <cell r="EL140" t="str">
            <v/>
          </cell>
          <cell r="EM140">
            <v>0</v>
          </cell>
          <cell r="EN140">
            <v>91</v>
          </cell>
          <cell r="EO140" t="e">
            <v>#VALUE!</v>
          </cell>
          <cell r="EP140" t="str">
            <v/>
          </cell>
          <cell r="EQ140">
            <v>0</v>
          </cell>
          <cell r="ER140">
            <v>0</v>
          </cell>
          <cell r="ES140" t="e">
            <v>#VALUE!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  <cell r="S141" t="str">
            <v/>
          </cell>
          <cell r="T141" t="str">
            <v/>
          </cell>
          <cell r="U141" t="str">
            <v/>
          </cell>
          <cell r="V141" t="str">
            <v/>
          </cell>
          <cell r="W141" t="str">
            <v/>
          </cell>
          <cell r="X141" t="str">
            <v/>
          </cell>
          <cell r="Y141" t="str">
            <v/>
          </cell>
          <cell r="Z141" t="str">
            <v/>
          </cell>
          <cell r="AA141" t="str">
            <v/>
          </cell>
          <cell r="AB141" t="str">
            <v/>
          </cell>
          <cell r="AC141" t="str">
            <v/>
          </cell>
          <cell r="AD141" t="str">
            <v/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 t="str">
            <v/>
          </cell>
          <cell r="AL141" t="str">
            <v/>
          </cell>
          <cell r="AM141" t="str">
            <v/>
          </cell>
          <cell r="AN141" t="str">
            <v/>
          </cell>
          <cell r="AO141" t="str">
            <v/>
          </cell>
          <cell r="AP141" t="str">
            <v/>
          </cell>
          <cell r="AQ141" t="str">
            <v/>
          </cell>
          <cell r="AR141" t="str">
            <v/>
          </cell>
          <cell r="AS141" t="str">
            <v/>
          </cell>
          <cell r="AT141" t="str">
            <v/>
          </cell>
          <cell r="AU141" t="str">
            <v/>
          </cell>
          <cell r="AV141" t="str">
            <v/>
          </cell>
          <cell r="AW141" t="str">
            <v/>
          </cell>
          <cell r="AX141" t="str">
            <v/>
          </cell>
          <cell r="AY141" t="str">
            <v/>
          </cell>
          <cell r="AZ141" t="str">
            <v/>
          </cell>
          <cell r="BA141" t="str">
            <v/>
          </cell>
          <cell r="BB141" t="str">
            <v/>
          </cell>
          <cell r="BC141" t="str">
            <v/>
          </cell>
          <cell r="BD141" t="str">
            <v/>
          </cell>
          <cell r="BE141" t="str">
            <v/>
          </cell>
          <cell r="BF141" t="str">
            <v/>
          </cell>
          <cell r="BG141" t="str">
            <v/>
          </cell>
          <cell r="BH141" t="str">
            <v/>
          </cell>
          <cell r="BI141" t="str">
            <v/>
          </cell>
          <cell r="BJ141" t="str">
            <v/>
          </cell>
          <cell r="BK141" t="str">
            <v/>
          </cell>
          <cell r="BL141" t="str">
            <v/>
          </cell>
          <cell r="BM141" t="str">
            <v/>
          </cell>
          <cell r="BN141" t="str">
            <v/>
          </cell>
          <cell r="BO141" t="str">
            <v/>
          </cell>
          <cell r="BP141" t="str">
            <v/>
          </cell>
          <cell r="BQ141" t="str">
            <v/>
          </cell>
          <cell r="BR141" t="str">
            <v/>
          </cell>
          <cell r="BS141" t="str">
            <v/>
          </cell>
          <cell r="BT141" t="str">
            <v/>
          </cell>
          <cell r="BU141" t="str">
            <v/>
          </cell>
          <cell r="BV141" t="str">
            <v/>
          </cell>
          <cell r="BW141" t="str">
            <v/>
          </cell>
          <cell r="BX141" t="str">
            <v/>
          </cell>
          <cell r="BY141" t="str">
            <v/>
          </cell>
          <cell r="BZ141" t="str">
            <v/>
          </cell>
          <cell r="CA141" t="str">
            <v/>
          </cell>
          <cell r="CB141" t="str">
            <v/>
          </cell>
          <cell r="CC141" t="str">
            <v/>
          </cell>
          <cell r="CD141" t="str">
            <v/>
          </cell>
          <cell r="CE141" t="str">
            <v/>
          </cell>
          <cell r="CF141" t="str">
            <v/>
          </cell>
          <cell r="CG141" t="str">
            <v/>
          </cell>
          <cell r="CH141" t="str">
            <v/>
          </cell>
          <cell r="CI141" t="str">
            <v/>
          </cell>
          <cell r="CJ141" t="str">
            <v/>
          </cell>
          <cell r="CK141" t="str">
            <v/>
          </cell>
          <cell r="CL141">
            <v>0</v>
          </cell>
          <cell r="CM141">
            <v>0</v>
          </cell>
          <cell r="CN141">
            <v>0</v>
          </cell>
          <cell r="CO141" t="str">
            <v>N.R</v>
          </cell>
          <cell r="CP141" t="str">
            <v/>
          </cell>
          <cell r="CQ141">
            <v>41</v>
          </cell>
          <cell r="CR141">
            <v>87</v>
          </cell>
          <cell r="CS141" t="e">
            <v>#VALUE!</v>
          </cell>
          <cell r="CT141" t="str">
            <v/>
          </cell>
          <cell r="CU141">
            <v>35</v>
          </cell>
          <cell r="CV141">
            <v>74</v>
          </cell>
          <cell r="CW141" t="e">
            <v>#VALUE!</v>
          </cell>
          <cell r="CX141" t="str">
            <v/>
          </cell>
          <cell r="CY141">
            <v>59</v>
          </cell>
          <cell r="CZ141">
            <v>97</v>
          </cell>
          <cell r="DA141" t="e">
            <v>#VALUE!</v>
          </cell>
          <cell r="DB141" t="str">
            <v/>
          </cell>
          <cell r="DC141">
            <v>0</v>
          </cell>
          <cell r="DD141">
            <v>0</v>
          </cell>
          <cell r="DE141" t="e">
            <v>#VALUE!</v>
          </cell>
          <cell r="DF141" t="str">
            <v/>
          </cell>
          <cell r="DG141">
            <v>33</v>
          </cell>
          <cell r="DH141">
            <v>87</v>
          </cell>
          <cell r="DI141" t="e">
            <v>#VALUE!</v>
          </cell>
          <cell r="DJ141" t="str">
            <v/>
          </cell>
          <cell r="DK141">
            <v>29</v>
          </cell>
          <cell r="DL141">
            <v>88</v>
          </cell>
          <cell r="DM141" t="e">
            <v>#VALUE!</v>
          </cell>
          <cell r="DN141" t="str">
            <v/>
          </cell>
          <cell r="DO141">
            <v>35</v>
          </cell>
          <cell r="DP141">
            <v>92</v>
          </cell>
          <cell r="DQ141" t="e">
            <v>#VALUE!</v>
          </cell>
          <cell r="DR141" t="str">
            <v/>
          </cell>
          <cell r="DS141">
            <v>0</v>
          </cell>
          <cell r="DT141">
            <v>81</v>
          </cell>
          <cell r="DU141" t="e">
            <v>#VALUE!</v>
          </cell>
          <cell r="DV141" t="str">
            <v/>
          </cell>
          <cell r="DW141">
            <v>0</v>
          </cell>
          <cell r="DX141">
            <v>0</v>
          </cell>
          <cell r="DY141" t="e">
            <v>#VALUE!</v>
          </cell>
          <cell r="DZ141" t="str">
            <v/>
          </cell>
          <cell r="EA141">
            <v>0</v>
          </cell>
          <cell r="EB141">
            <v>86</v>
          </cell>
          <cell r="EC141" t="e">
            <v>#VALUE!</v>
          </cell>
          <cell r="ED141" t="str">
            <v/>
          </cell>
          <cell r="EE141">
            <v>0</v>
          </cell>
          <cell r="EF141">
            <v>131</v>
          </cell>
          <cell r="EG141" t="e">
            <v>#VALUE!</v>
          </cell>
          <cell r="EH141" t="str">
            <v/>
          </cell>
          <cell r="EI141">
            <v>0</v>
          </cell>
          <cell r="EJ141">
            <v>89</v>
          </cell>
          <cell r="EK141" t="e">
            <v>#VALUE!</v>
          </cell>
          <cell r="EL141" t="str">
            <v/>
          </cell>
          <cell r="EM141">
            <v>0</v>
          </cell>
          <cell r="EN141">
            <v>91</v>
          </cell>
          <cell r="EO141" t="e">
            <v>#VALUE!</v>
          </cell>
          <cell r="EP141" t="str">
            <v/>
          </cell>
          <cell r="EQ141">
            <v>0</v>
          </cell>
          <cell r="ER141">
            <v>0</v>
          </cell>
          <cell r="ES141" t="e">
            <v>#VALUE!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  <cell r="O142" t="str">
            <v/>
          </cell>
          <cell r="P142" t="str">
            <v/>
          </cell>
          <cell r="Q142" t="str">
            <v/>
          </cell>
          <cell r="R142" t="str">
            <v/>
          </cell>
          <cell r="S142" t="str">
            <v/>
          </cell>
          <cell r="T142" t="str">
            <v/>
          </cell>
          <cell r="U142" t="str">
            <v/>
          </cell>
          <cell r="V142" t="str">
            <v/>
          </cell>
          <cell r="W142" t="str">
            <v/>
          </cell>
          <cell r="X142" t="str">
            <v/>
          </cell>
          <cell r="Y142" t="str">
            <v/>
          </cell>
          <cell r="Z142" t="str">
            <v/>
          </cell>
          <cell r="AA142" t="str">
            <v/>
          </cell>
          <cell r="AB142" t="str">
            <v/>
          </cell>
          <cell r="AC142" t="str">
            <v/>
          </cell>
          <cell r="AD142" t="str">
            <v/>
          </cell>
          <cell r="AE142" t="str">
            <v/>
          </cell>
          <cell r="AF142" t="str">
            <v/>
          </cell>
          <cell r="AG142" t="str">
            <v/>
          </cell>
          <cell r="AH142" t="str">
            <v/>
          </cell>
          <cell r="AI142" t="str">
            <v/>
          </cell>
          <cell r="AJ142" t="str">
            <v/>
          </cell>
          <cell r="AK142" t="str">
            <v/>
          </cell>
          <cell r="AL142" t="str">
            <v/>
          </cell>
          <cell r="AM142" t="str">
            <v/>
          </cell>
          <cell r="AN142" t="str">
            <v/>
          </cell>
          <cell r="AO142" t="str">
            <v/>
          </cell>
          <cell r="AP142" t="str">
            <v/>
          </cell>
          <cell r="AQ142" t="str">
            <v/>
          </cell>
          <cell r="AR142" t="str">
            <v/>
          </cell>
          <cell r="AS142" t="str">
            <v/>
          </cell>
          <cell r="AT142" t="str">
            <v/>
          </cell>
          <cell r="AU142" t="str">
            <v/>
          </cell>
          <cell r="AV142" t="str">
            <v/>
          </cell>
          <cell r="AW142" t="str">
            <v/>
          </cell>
          <cell r="AX142" t="str">
            <v/>
          </cell>
          <cell r="AY142" t="str">
            <v/>
          </cell>
          <cell r="AZ142" t="str">
            <v/>
          </cell>
          <cell r="BA142" t="str">
            <v/>
          </cell>
          <cell r="BB142" t="str">
            <v/>
          </cell>
          <cell r="BC142" t="str">
            <v/>
          </cell>
          <cell r="BD142" t="str">
            <v/>
          </cell>
          <cell r="BE142" t="str">
            <v/>
          </cell>
          <cell r="BF142" t="str">
            <v/>
          </cell>
          <cell r="BG142" t="str">
            <v/>
          </cell>
          <cell r="BH142" t="str">
            <v/>
          </cell>
          <cell r="BI142" t="str">
            <v/>
          </cell>
          <cell r="BJ142" t="str">
            <v/>
          </cell>
          <cell r="BK142" t="str">
            <v/>
          </cell>
          <cell r="BL142" t="str">
            <v/>
          </cell>
          <cell r="BM142" t="str">
            <v/>
          </cell>
          <cell r="BN142" t="str">
            <v/>
          </cell>
          <cell r="BO142" t="str">
            <v/>
          </cell>
          <cell r="BP142" t="str">
            <v/>
          </cell>
          <cell r="BQ142" t="str">
            <v/>
          </cell>
          <cell r="BR142" t="str">
            <v/>
          </cell>
          <cell r="BS142" t="str">
            <v/>
          </cell>
          <cell r="BT142" t="str">
            <v/>
          </cell>
          <cell r="BU142" t="str">
            <v/>
          </cell>
          <cell r="BV142" t="str">
            <v/>
          </cell>
          <cell r="BW142" t="str">
            <v/>
          </cell>
          <cell r="BX142" t="str">
            <v/>
          </cell>
          <cell r="BY142" t="str">
            <v/>
          </cell>
          <cell r="BZ142" t="str">
            <v/>
          </cell>
          <cell r="CA142" t="str">
            <v/>
          </cell>
          <cell r="CB142" t="str">
            <v/>
          </cell>
          <cell r="CC142" t="str">
            <v/>
          </cell>
          <cell r="CD142" t="str">
            <v/>
          </cell>
          <cell r="CE142" t="str">
            <v/>
          </cell>
          <cell r="CF142" t="str">
            <v/>
          </cell>
          <cell r="CG142" t="str">
            <v/>
          </cell>
          <cell r="CH142" t="str">
            <v/>
          </cell>
          <cell r="CI142" t="str">
            <v/>
          </cell>
          <cell r="CJ142" t="str">
            <v/>
          </cell>
          <cell r="CK142" t="str">
            <v/>
          </cell>
          <cell r="CL142">
            <v>0</v>
          </cell>
          <cell r="CM142">
            <v>0</v>
          </cell>
          <cell r="CN142">
            <v>0</v>
          </cell>
          <cell r="CO142" t="str">
            <v>N.R</v>
          </cell>
          <cell r="CP142" t="str">
            <v/>
          </cell>
          <cell r="CQ142">
            <v>41</v>
          </cell>
          <cell r="CR142">
            <v>87</v>
          </cell>
          <cell r="CS142" t="e">
            <v>#VALUE!</v>
          </cell>
          <cell r="CT142" t="str">
            <v/>
          </cell>
          <cell r="CU142">
            <v>35</v>
          </cell>
          <cell r="CV142">
            <v>74</v>
          </cell>
          <cell r="CW142" t="e">
            <v>#VALUE!</v>
          </cell>
          <cell r="CX142" t="str">
            <v/>
          </cell>
          <cell r="CY142">
            <v>59</v>
          </cell>
          <cell r="CZ142">
            <v>97</v>
          </cell>
          <cell r="DA142" t="e">
            <v>#VALUE!</v>
          </cell>
          <cell r="DB142" t="str">
            <v/>
          </cell>
          <cell r="DC142">
            <v>0</v>
          </cell>
          <cell r="DD142">
            <v>0</v>
          </cell>
          <cell r="DE142" t="e">
            <v>#VALUE!</v>
          </cell>
          <cell r="DF142" t="str">
            <v/>
          </cell>
          <cell r="DG142">
            <v>33</v>
          </cell>
          <cell r="DH142">
            <v>87</v>
          </cell>
          <cell r="DI142" t="e">
            <v>#VALUE!</v>
          </cell>
          <cell r="DJ142" t="str">
            <v/>
          </cell>
          <cell r="DK142">
            <v>29</v>
          </cell>
          <cell r="DL142">
            <v>88</v>
          </cell>
          <cell r="DM142" t="e">
            <v>#VALUE!</v>
          </cell>
          <cell r="DN142" t="str">
            <v/>
          </cell>
          <cell r="DO142">
            <v>35</v>
          </cell>
          <cell r="DP142">
            <v>92</v>
          </cell>
          <cell r="DQ142" t="e">
            <v>#VALUE!</v>
          </cell>
          <cell r="DR142" t="str">
            <v/>
          </cell>
          <cell r="DS142">
            <v>0</v>
          </cell>
          <cell r="DT142">
            <v>81</v>
          </cell>
          <cell r="DU142" t="e">
            <v>#VALUE!</v>
          </cell>
          <cell r="DV142" t="str">
            <v/>
          </cell>
          <cell r="DW142">
            <v>0</v>
          </cell>
          <cell r="DX142">
            <v>0</v>
          </cell>
          <cell r="DY142" t="e">
            <v>#VALUE!</v>
          </cell>
          <cell r="DZ142" t="str">
            <v/>
          </cell>
          <cell r="EA142">
            <v>0</v>
          </cell>
          <cell r="EB142">
            <v>86</v>
          </cell>
          <cell r="EC142" t="e">
            <v>#VALUE!</v>
          </cell>
          <cell r="ED142" t="str">
            <v/>
          </cell>
          <cell r="EE142">
            <v>0</v>
          </cell>
          <cell r="EF142">
            <v>132</v>
          </cell>
          <cell r="EG142" t="e">
            <v>#VALUE!</v>
          </cell>
          <cell r="EH142" t="str">
            <v/>
          </cell>
          <cell r="EI142">
            <v>0</v>
          </cell>
          <cell r="EJ142">
            <v>89</v>
          </cell>
          <cell r="EK142" t="e">
            <v>#VALUE!</v>
          </cell>
          <cell r="EL142" t="str">
            <v/>
          </cell>
          <cell r="EM142">
            <v>0</v>
          </cell>
          <cell r="EN142">
            <v>91</v>
          </cell>
          <cell r="EO142" t="e">
            <v>#VALUE!</v>
          </cell>
          <cell r="EP142" t="str">
            <v/>
          </cell>
          <cell r="EQ142">
            <v>0</v>
          </cell>
          <cell r="ER142">
            <v>0</v>
          </cell>
          <cell r="ES142" t="e">
            <v>#VALUE!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 t="str">
            <v/>
          </cell>
          <cell r="P143" t="str">
            <v/>
          </cell>
          <cell r="Q143" t="str">
            <v/>
          </cell>
          <cell r="R143" t="str">
            <v/>
          </cell>
          <cell r="S143" t="str">
            <v/>
          </cell>
          <cell r="T143" t="str">
            <v/>
          </cell>
          <cell r="U143" t="str">
            <v/>
          </cell>
          <cell r="V143" t="str">
            <v/>
          </cell>
          <cell r="W143" t="str">
            <v/>
          </cell>
          <cell r="X143" t="str">
            <v/>
          </cell>
          <cell r="Y143" t="str">
            <v/>
          </cell>
          <cell r="Z143" t="str">
            <v/>
          </cell>
          <cell r="AA143" t="str">
            <v/>
          </cell>
          <cell r="AB143" t="str">
            <v/>
          </cell>
          <cell r="AC143" t="str">
            <v/>
          </cell>
          <cell r="AD143" t="str">
            <v/>
          </cell>
          <cell r="AE143" t="str">
            <v/>
          </cell>
          <cell r="AF143" t="str">
            <v/>
          </cell>
          <cell r="AG143" t="str">
            <v/>
          </cell>
          <cell r="AH143" t="str">
            <v/>
          </cell>
          <cell r="AI143" t="str">
            <v/>
          </cell>
          <cell r="AJ143" t="str">
            <v/>
          </cell>
          <cell r="AK143" t="str">
            <v/>
          </cell>
          <cell r="AL143" t="str">
            <v/>
          </cell>
          <cell r="AM143" t="str">
            <v/>
          </cell>
          <cell r="AN143" t="str">
            <v/>
          </cell>
          <cell r="AO143" t="str">
            <v/>
          </cell>
          <cell r="AP143" t="str">
            <v/>
          </cell>
          <cell r="AQ143" t="str">
            <v/>
          </cell>
          <cell r="AR143" t="str">
            <v/>
          </cell>
          <cell r="AS143" t="str">
            <v/>
          </cell>
          <cell r="AT143" t="str">
            <v/>
          </cell>
          <cell r="AU143" t="str">
            <v/>
          </cell>
          <cell r="AV143" t="str">
            <v/>
          </cell>
          <cell r="AW143" t="str">
            <v/>
          </cell>
          <cell r="AX143" t="str">
            <v/>
          </cell>
          <cell r="AY143" t="str">
            <v/>
          </cell>
          <cell r="AZ143" t="str">
            <v/>
          </cell>
          <cell r="BA143" t="str">
            <v/>
          </cell>
          <cell r="BB143" t="str">
            <v/>
          </cell>
          <cell r="BC143" t="str">
            <v/>
          </cell>
          <cell r="BD143" t="str">
            <v/>
          </cell>
          <cell r="BE143" t="str">
            <v/>
          </cell>
          <cell r="BF143" t="str">
            <v/>
          </cell>
          <cell r="BG143" t="str">
            <v/>
          </cell>
          <cell r="BH143" t="str">
            <v/>
          </cell>
          <cell r="BI143" t="str">
            <v/>
          </cell>
          <cell r="BJ143" t="str">
            <v/>
          </cell>
          <cell r="BK143" t="str">
            <v/>
          </cell>
          <cell r="BL143" t="str">
            <v/>
          </cell>
          <cell r="BM143" t="str">
            <v/>
          </cell>
          <cell r="BN143" t="str">
            <v/>
          </cell>
          <cell r="BO143" t="str">
            <v/>
          </cell>
          <cell r="BP143" t="str">
            <v/>
          </cell>
          <cell r="BQ143" t="str">
            <v/>
          </cell>
          <cell r="BR143" t="str">
            <v/>
          </cell>
          <cell r="BS143" t="str">
            <v/>
          </cell>
          <cell r="BT143" t="str">
            <v/>
          </cell>
          <cell r="BU143" t="str">
            <v/>
          </cell>
          <cell r="BV143" t="str">
            <v/>
          </cell>
          <cell r="BW143" t="str">
            <v/>
          </cell>
          <cell r="BX143" t="str">
            <v/>
          </cell>
          <cell r="BY143" t="str">
            <v/>
          </cell>
          <cell r="BZ143" t="str">
            <v/>
          </cell>
          <cell r="CA143" t="str">
            <v/>
          </cell>
          <cell r="CB143" t="str">
            <v/>
          </cell>
          <cell r="CC143" t="str">
            <v/>
          </cell>
          <cell r="CD143" t="str">
            <v/>
          </cell>
          <cell r="CE143" t="str">
            <v/>
          </cell>
          <cell r="CF143" t="str">
            <v/>
          </cell>
          <cell r="CG143" t="str">
            <v/>
          </cell>
          <cell r="CH143" t="str">
            <v/>
          </cell>
          <cell r="CI143" t="str">
            <v/>
          </cell>
          <cell r="CJ143" t="str">
            <v/>
          </cell>
          <cell r="CK143" t="str">
            <v/>
          </cell>
          <cell r="CL143">
            <v>0</v>
          </cell>
          <cell r="CM143">
            <v>0</v>
          </cell>
          <cell r="CN143">
            <v>0</v>
          </cell>
          <cell r="CO143" t="str">
            <v>N.R</v>
          </cell>
          <cell r="CP143" t="str">
            <v/>
          </cell>
          <cell r="CQ143">
            <v>41</v>
          </cell>
          <cell r="CR143">
            <v>87</v>
          </cell>
          <cell r="CS143" t="e">
            <v>#VALUE!</v>
          </cell>
          <cell r="CT143" t="str">
            <v/>
          </cell>
          <cell r="CU143">
            <v>35</v>
          </cell>
          <cell r="CV143">
            <v>74</v>
          </cell>
          <cell r="CW143" t="e">
            <v>#VALUE!</v>
          </cell>
          <cell r="CX143" t="str">
            <v/>
          </cell>
          <cell r="CY143">
            <v>59</v>
          </cell>
          <cell r="CZ143">
            <v>97</v>
          </cell>
          <cell r="DA143" t="e">
            <v>#VALUE!</v>
          </cell>
          <cell r="DB143" t="str">
            <v/>
          </cell>
          <cell r="DC143">
            <v>0</v>
          </cell>
          <cell r="DD143">
            <v>0</v>
          </cell>
          <cell r="DE143" t="e">
            <v>#VALUE!</v>
          </cell>
          <cell r="DF143" t="str">
            <v/>
          </cell>
          <cell r="DG143">
            <v>33</v>
          </cell>
          <cell r="DH143">
            <v>87</v>
          </cell>
          <cell r="DI143" t="e">
            <v>#VALUE!</v>
          </cell>
          <cell r="DJ143" t="str">
            <v/>
          </cell>
          <cell r="DK143">
            <v>29</v>
          </cell>
          <cell r="DL143">
            <v>88</v>
          </cell>
          <cell r="DM143" t="e">
            <v>#VALUE!</v>
          </cell>
          <cell r="DN143" t="str">
            <v/>
          </cell>
          <cell r="DO143">
            <v>35</v>
          </cell>
          <cell r="DP143">
            <v>92</v>
          </cell>
          <cell r="DQ143" t="e">
            <v>#VALUE!</v>
          </cell>
          <cell r="DR143" t="str">
            <v/>
          </cell>
          <cell r="DS143">
            <v>0</v>
          </cell>
          <cell r="DT143">
            <v>81</v>
          </cell>
          <cell r="DU143" t="e">
            <v>#VALUE!</v>
          </cell>
          <cell r="DV143" t="str">
            <v/>
          </cell>
          <cell r="DW143">
            <v>0</v>
          </cell>
          <cell r="DX143">
            <v>0</v>
          </cell>
          <cell r="DY143" t="e">
            <v>#VALUE!</v>
          </cell>
          <cell r="DZ143" t="str">
            <v/>
          </cell>
          <cell r="EA143">
            <v>0</v>
          </cell>
          <cell r="EB143">
            <v>86</v>
          </cell>
          <cell r="EC143" t="e">
            <v>#VALUE!</v>
          </cell>
          <cell r="ED143" t="str">
            <v/>
          </cell>
          <cell r="EE143">
            <v>0</v>
          </cell>
          <cell r="EF143">
            <v>133</v>
          </cell>
          <cell r="EG143" t="e">
            <v>#VALUE!</v>
          </cell>
          <cell r="EH143" t="str">
            <v/>
          </cell>
          <cell r="EI143">
            <v>0</v>
          </cell>
          <cell r="EJ143">
            <v>89</v>
          </cell>
          <cell r="EK143" t="e">
            <v>#VALUE!</v>
          </cell>
          <cell r="EL143" t="str">
            <v/>
          </cell>
          <cell r="EM143">
            <v>0</v>
          </cell>
          <cell r="EN143">
            <v>91</v>
          </cell>
          <cell r="EO143" t="e">
            <v>#VALUE!</v>
          </cell>
          <cell r="EP143" t="str">
            <v/>
          </cell>
          <cell r="EQ143">
            <v>0</v>
          </cell>
          <cell r="ER143">
            <v>0</v>
          </cell>
          <cell r="ES143" t="e">
            <v>#VALUE!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 t="str">
            <v/>
          </cell>
          <cell r="P144" t="str">
            <v/>
          </cell>
          <cell r="Q144" t="str">
            <v/>
          </cell>
          <cell r="R144" t="str">
            <v/>
          </cell>
          <cell r="S144" t="str">
            <v/>
          </cell>
          <cell r="T144" t="str">
            <v/>
          </cell>
          <cell r="U144" t="str">
            <v/>
          </cell>
          <cell r="V144" t="str">
            <v/>
          </cell>
          <cell r="W144" t="str">
            <v/>
          </cell>
          <cell r="X144" t="str">
            <v/>
          </cell>
          <cell r="Y144" t="str">
            <v/>
          </cell>
          <cell r="Z144" t="str">
            <v/>
          </cell>
          <cell r="AA144" t="str">
            <v/>
          </cell>
          <cell r="AB144" t="str">
            <v/>
          </cell>
          <cell r="AC144" t="str">
            <v/>
          </cell>
          <cell r="AD144" t="str">
            <v/>
          </cell>
          <cell r="AE144" t="str">
            <v/>
          </cell>
          <cell r="AF144" t="str">
            <v/>
          </cell>
          <cell r="AG144" t="str">
            <v/>
          </cell>
          <cell r="AH144" t="str">
            <v/>
          </cell>
          <cell r="AI144" t="str">
            <v/>
          </cell>
          <cell r="AJ144" t="str">
            <v/>
          </cell>
          <cell r="AK144" t="str">
            <v/>
          </cell>
          <cell r="AL144" t="str">
            <v/>
          </cell>
          <cell r="AM144" t="str">
            <v/>
          </cell>
          <cell r="AN144" t="str">
            <v/>
          </cell>
          <cell r="AO144" t="str">
            <v/>
          </cell>
          <cell r="AP144" t="str">
            <v/>
          </cell>
          <cell r="AQ144" t="str">
            <v/>
          </cell>
          <cell r="AR144" t="str">
            <v/>
          </cell>
          <cell r="AS144" t="str">
            <v/>
          </cell>
          <cell r="AT144" t="str">
            <v/>
          </cell>
          <cell r="AU144" t="str">
            <v/>
          </cell>
          <cell r="AV144" t="str">
            <v/>
          </cell>
          <cell r="AW144" t="str">
            <v/>
          </cell>
          <cell r="AX144" t="str">
            <v/>
          </cell>
          <cell r="AY144" t="str">
            <v/>
          </cell>
          <cell r="AZ144" t="str">
            <v/>
          </cell>
          <cell r="BA144" t="str">
            <v/>
          </cell>
          <cell r="BB144" t="str">
            <v/>
          </cell>
          <cell r="BC144" t="str">
            <v/>
          </cell>
          <cell r="BD144" t="str">
            <v/>
          </cell>
          <cell r="BE144" t="str">
            <v/>
          </cell>
          <cell r="BF144" t="str">
            <v/>
          </cell>
          <cell r="BG144" t="str">
            <v/>
          </cell>
          <cell r="BH144" t="str">
            <v/>
          </cell>
          <cell r="BI144" t="str">
            <v/>
          </cell>
          <cell r="BJ144" t="str">
            <v/>
          </cell>
          <cell r="BK144" t="str">
            <v/>
          </cell>
          <cell r="BL144" t="str">
            <v/>
          </cell>
          <cell r="BM144" t="str">
            <v/>
          </cell>
          <cell r="BN144" t="str">
            <v/>
          </cell>
          <cell r="BO144" t="str">
            <v/>
          </cell>
          <cell r="BP144" t="str">
            <v/>
          </cell>
          <cell r="BQ144" t="str">
            <v/>
          </cell>
          <cell r="BR144" t="str">
            <v/>
          </cell>
          <cell r="BS144" t="str">
            <v/>
          </cell>
          <cell r="BT144" t="str">
            <v/>
          </cell>
          <cell r="BU144" t="str">
            <v/>
          </cell>
          <cell r="BV144" t="str">
            <v/>
          </cell>
          <cell r="BW144" t="str">
            <v/>
          </cell>
          <cell r="BX144" t="str">
            <v/>
          </cell>
          <cell r="BY144" t="str">
            <v/>
          </cell>
          <cell r="BZ144" t="str">
            <v/>
          </cell>
          <cell r="CA144" t="str">
            <v/>
          </cell>
          <cell r="CB144" t="str">
            <v/>
          </cell>
          <cell r="CC144" t="str">
            <v/>
          </cell>
          <cell r="CD144" t="str">
            <v/>
          </cell>
          <cell r="CE144" t="str">
            <v/>
          </cell>
          <cell r="CF144" t="str">
            <v/>
          </cell>
          <cell r="CG144" t="str">
            <v/>
          </cell>
          <cell r="CH144" t="str">
            <v/>
          </cell>
          <cell r="CI144" t="str">
            <v/>
          </cell>
          <cell r="CJ144" t="str">
            <v/>
          </cell>
          <cell r="CK144" t="str">
            <v/>
          </cell>
          <cell r="CL144">
            <v>0</v>
          </cell>
          <cell r="CM144">
            <v>0</v>
          </cell>
          <cell r="CN144">
            <v>0</v>
          </cell>
          <cell r="CO144" t="str">
            <v>N.R</v>
          </cell>
          <cell r="CP144" t="str">
            <v/>
          </cell>
          <cell r="CQ144">
            <v>41</v>
          </cell>
          <cell r="CR144">
            <v>87</v>
          </cell>
          <cell r="CS144" t="e">
            <v>#VALUE!</v>
          </cell>
          <cell r="CT144" t="str">
            <v/>
          </cell>
          <cell r="CU144">
            <v>35</v>
          </cell>
          <cell r="CV144">
            <v>74</v>
          </cell>
          <cell r="CW144" t="e">
            <v>#VALUE!</v>
          </cell>
          <cell r="CX144" t="str">
            <v/>
          </cell>
          <cell r="CY144">
            <v>59</v>
          </cell>
          <cell r="CZ144">
            <v>97</v>
          </cell>
          <cell r="DA144" t="e">
            <v>#VALUE!</v>
          </cell>
          <cell r="DB144" t="str">
            <v/>
          </cell>
          <cell r="DC144">
            <v>0</v>
          </cell>
          <cell r="DD144">
            <v>0</v>
          </cell>
          <cell r="DE144" t="e">
            <v>#VALUE!</v>
          </cell>
          <cell r="DF144" t="str">
            <v/>
          </cell>
          <cell r="DG144">
            <v>33</v>
          </cell>
          <cell r="DH144">
            <v>87</v>
          </cell>
          <cell r="DI144" t="e">
            <v>#VALUE!</v>
          </cell>
          <cell r="DJ144" t="str">
            <v/>
          </cell>
          <cell r="DK144">
            <v>29</v>
          </cell>
          <cell r="DL144">
            <v>88</v>
          </cell>
          <cell r="DM144" t="e">
            <v>#VALUE!</v>
          </cell>
          <cell r="DN144" t="str">
            <v/>
          </cell>
          <cell r="DO144">
            <v>35</v>
          </cell>
          <cell r="DP144">
            <v>92</v>
          </cell>
          <cell r="DQ144" t="e">
            <v>#VALUE!</v>
          </cell>
          <cell r="DR144" t="str">
            <v/>
          </cell>
          <cell r="DS144">
            <v>0</v>
          </cell>
          <cell r="DT144">
            <v>81</v>
          </cell>
          <cell r="DU144" t="e">
            <v>#VALUE!</v>
          </cell>
          <cell r="DV144" t="str">
            <v/>
          </cell>
          <cell r="DW144">
            <v>0</v>
          </cell>
          <cell r="DX144">
            <v>0</v>
          </cell>
          <cell r="DY144" t="e">
            <v>#VALUE!</v>
          </cell>
          <cell r="DZ144" t="str">
            <v/>
          </cell>
          <cell r="EA144">
            <v>0</v>
          </cell>
          <cell r="EB144">
            <v>86</v>
          </cell>
          <cell r="EC144" t="e">
            <v>#VALUE!</v>
          </cell>
          <cell r="ED144" t="str">
            <v/>
          </cell>
          <cell r="EE144">
            <v>0</v>
          </cell>
          <cell r="EF144">
            <v>134</v>
          </cell>
          <cell r="EG144" t="e">
            <v>#VALUE!</v>
          </cell>
          <cell r="EH144" t="str">
            <v/>
          </cell>
          <cell r="EI144">
            <v>0</v>
          </cell>
          <cell r="EJ144">
            <v>89</v>
          </cell>
          <cell r="EK144" t="e">
            <v>#VALUE!</v>
          </cell>
          <cell r="EL144" t="str">
            <v/>
          </cell>
          <cell r="EM144">
            <v>0</v>
          </cell>
          <cell r="EN144">
            <v>91</v>
          </cell>
          <cell r="EO144" t="e">
            <v>#VALUE!</v>
          </cell>
          <cell r="EP144" t="str">
            <v/>
          </cell>
          <cell r="EQ144">
            <v>0</v>
          </cell>
          <cell r="ER144">
            <v>0</v>
          </cell>
          <cell r="ES144" t="e">
            <v>#VALUE!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  <cell r="S145" t="str">
            <v/>
          </cell>
          <cell r="T145" t="str">
            <v/>
          </cell>
          <cell r="U145" t="str">
            <v/>
          </cell>
          <cell r="V145" t="str">
            <v/>
          </cell>
          <cell r="W145" t="str">
            <v/>
          </cell>
          <cell r="X145" t="str">
            <v/>
          </cell>
          <cell r="Y145" t="str">
            <v/>
          </cell>
          <cell r="Z145" t="str">
            <v/>
          </cell>
          <cell r="AA145" t="str">
            <v/>
          </cell>
          <cell r="AB145" t="str">
            <v/>
          </cell>
          <cell r="AC145" t="str">
            <v/>
          </cell>
          <cell r="AD145" t="str">
            <v/>
          </cell>
          <cell r="AE145" t="str">
            <v/>
          </cell>
          <cell r="AF145" t="str">
            <v/>
          </cell>
          <cell r="AG145" t="str">
            <v/>
          </cell>
          <cell r="AH145" t="str">
            <v/>
          </cell>
          <cell r="AI145" t="str">
            <v/>
          </cell>
          <cell r="AJ145" t="str">
            <v/>
          </cell>
          <cell r="AK145" t="str">
            <v/>
          </cell>
          <cell r="AL145" t="str">
            <v/>
          </cell>
          <cell r="AM145" t="str">
            <v/>
          </cell>
          <cell r="AN145" t="str">
            <v/>
          </cell>
          <cell r="AO145" t="str">
            <v/>
          </cell>
          <cell r="AP145" t="str">
            <v/>
          </cell>
          <cell r="AQ145" t="str">
            <v/>
          </cell>
          <cell r="AR145" t="str">
            <v/>
          </cell>
          <cell r="AS145" t="str">
            <v/>
          </cell>
          <cell r="AT145" t="str">
            <v/>
          </cell>
          <cell r="AU145" t="str">
            <v/>
          </cell>
          <cell r="AV145" t="str">
            <v/>
          </cell>
          <cell r="AW145" t="str">
            <v/>
          </cell>
          <cell r="AX145" t="str">
            <v/>
          </cell>
          <cell r="AY145" t="str">
            <v/>
          </cell>
          <cell r="AZ145" t="str">
            <v/>
          </cell>
          <cell r="BA145" t="str">
            <v/>
          </cell>
          <cell r="BB145" t="str">
            <v/>
          </cell>
          <cell r="BC145" t="str">
            <v/>
          </cell>
          <cell r="BD145" t="str">
            <v/>
          </cell>
          <cell r="BE145" t="str">
            <v/>
          </cell>
          <cell r="BF145" t="str">
            <v/>
          </cell>
          <cell r="BG145" t="str">
            <v/>
          </cell>
          <cell r="BH145" t="str">
            <v/>
          </cell>
          <cell r="BI145" t="str">
            <v/>
          </cell>
          <cell r="BJ145" t="str">
            <v/>
          </cell>
          <cell r="BK145" t="str">
            <v/>
          </cell>
          <cell r="BL145" t="str">
            <v/>
          </cell>
          <cell r="BM145" t="str">
            <v/>
          </cell>
          <cell r="BN145" t="str">
            <v/>
          </cell>
          <cell r="BO145" t="str">
            <v/>
          </cell>
          <cell r="BP145" t="str">
            <v/>
          </cell>
          <cell r="BQ145" t="str">
            <v/>
          </cell>
          <cell r="BR145" t="str">
            <v/>
          </cell>
          <cell r="BS145" t="str">
            <v/>
          </cell>
          <cell r="BT145" t="str">
            <v/>
          </cell>
          <cell r="BU145" t="str">
            <v/>
          </cell>
          <cell r="BV145" t="str">
            <v/>
          </cell>
          <cell r="BW145" t="str">
            <v/>
          </cell>
          <cell r="BX145" t="str">
            <v/>
          </cell>
          <cell r="BY145" t="str">
            <v/>
          </cell>
          <cell r="BZ145" t="str">
            <v/>
          </cell>
          <cell r="CA145" t="str">
            <v/>
          </cell>
          <cell r="CB145" t="str">
            <v/>
          </cell>
          <cell r="CC145" t="str">
            <v/>
          </cell>
          <cell r="CD145" t="str">
            <v/>
          </cell>
          <cell r="CE145" t="str">
            <v/>
          </cell>
          <cell r="CF145" t="str">
            <v/>
          </cell>
          <cell r="CG145" t="str">
            <v/>
          </cell>
          <cell r="CH145" t="str">
            <v/>
          </cell>
          <cell r="CI145" t="str">
            <v/>
          </cell>
          <cell r="CJ145" t="str">
            <v/>
          </cell>
          <cell r="CK145" t="str">
            <v/>
          </cell>
          <cell r="CL145">
            <v>0</v>
          </cell>
          <cell r="CM145">
            <v>0</v>
          </cell>
          <cell r="CN145">
            <v>0</v>
          </cell>
          <cell r="CO145" t="str">
            <v>N.R</v>
          </cell>
          <cell r="CP145" t="str">
            <v/>
          </cell>
          <cell r="CQ145">
            <v>41</v>
          </cell>
          <cell r="CR145">
            <v>87</v>
          </cell>
          <cell r="CS145" t="e">
            <v>#VALUE!</v>
          </cell>
          <cell r="CT145" t="str">
            <v/>
          </cell>
          <cell r="CU145">
            <v>35</v>
          </cell>
          <cell r="CV145">
            <v>74</v>
          </cell>
          <cell r="CW145" t="e">
            <v>#VALUE!</v>
          </cell>
          <cell r="CX145" t="str">
            <v/>
          </cell>
          <cell r="CY145">
            <v>59</v>
          </cell>
          <cell r="CZ145">
            <v>97</v>
          </cell>
          <cell r="DA145" t="e">
            <v>#VALUE!</v>
          </cell>
          <cell r="DB145" t="str">
            <v/>
          </cell>
          <cell r="DC145">
            <v>0</v>
          </cell>
          <cell r="DD145">
            <v>0</v>
          </cell>
          <cell r="DE145" t="e">
            <v>#VALUE!</v>
          </cell>
          <cell r="DF145" t="str">
            <v/>
          </cell>
          <cell r="DG145">
            <v>33</v>
          </cell>
          <cell r="DH145">
            <v>87</v>
          </cell>
          <cell r="DI145" t="e">
            <v>#VALUE!</v>
          </cell>
          <cell r="DJ145" t="str">
            <v/>
          </cell>
          <cell r="DK145">
            <v>29</v>
          </cell>
          <cell r="DL145">
            <v>88</v>
          </cell>
          <cell r="DM145" t="e">
            <v>#VALUE!</v>
          </cell>
          <cell r="DN145" t="str">
            <v/>
          </cell>
          <cell r="DO145">
            <v>35</v>
          </cell>
          <cell r="DP145">
            <v>92</v>
          </cell>
          <cell r="DQ145" t="e">
            <v>#VALUE!</v>
          </cell>
          <cell r="DR145" t="str">
            <v/>
          </cell>
          <cell r="DS145">
            <v>0</v>
          </cell>
          <cell r="DT145">
            <v>81</v>
          </cell>
          <cell r="DU145" t="e">
            <v>#VALUE!</v>
          </cell>
          <cell r="DV145" t="str">
            <v/>
          </cell>
          <cell r="DW145">
            <v>0</v>
          </cell>
          <cell r="DX145">
            <v>0</v>
          </cell>
          <cell r="DY145" t="e">
            <v>#VALUE!</v>
          </cell>
          <cell r="DZ145" t="str">
            <v/>
          </cell>
          <cell r="EA145">
            <v>0</v>
          </cell>
          <cell r="EB145">
            <v>86</v>
          </cell>
          <cell r="EC145" t="e">
            <v>#VALUE!</v>
          </cell>
          <cell r="ED145" t="str">
            <v/>
          </cell>
          <cell r="EE145">
            <v>0</v>
          </cell>
          <cell r="EF145">
            <v>135</v>
          </cell>
          <cell r="EG145" t="e">
            <v>#VALUE!</v>
          </cell>
          <cell r="EH145" t="str">
            <v/>
          </cell>
          <cell r="EI145">
            <v>0</v>
          </cell>
          <cell r="EJ145">
            <v>89</v>
          </cell>
          <cell r="EK145" t="e">
            <v>#VALUE!</v>
          </cell>
          <cell r="EL145" t="str">
            <v/>
          </cell>
          <cell r="EM145">
            <v>0</v>
          </cell>
          <cell r="EN145">
            <v>91</v>
          </cell>
          <cell r="EO145" t="e">
            <v>#VALUE!</v>
          </cell>
          <cell r="EP145" t="str">
            <v/>
          </cell>
          <cell r="EQ145">
            <v>0</v>
          </cell>
          <cell r="ER145">
            <v>0</v>
          </cell>
          <cell r="ES145" t="e">
            <v>#VALUE!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  <cell r="R146" t="str">
            <v/>
          </cell>
          <cell r="S146" t="str">
            <v/>
          </cell>
          <cell r="T146" t="str">
            <v/>
          </cell>
          <cell r="U146" t="str">
            <v/>
          </cell>
          <cell r="V146" t="str">
            <v/>
          </cell>
          <cell r="W146" t="str">
            <v/>
          </cell>
          <cell r="X146" t="str">
            <v/>
          </cell>
          <cell r="Y146" t="str">
            <v/>
          </cell>
          <cell r="Z146" t="str">
            <v/>
          </cell>
          <cell r="AA146" t="str">
            <v/>
          </cell>
          <cell r="AB146" t="str">
            <v/>
          </cell>
          <cell r="AC146" t="str">
            <v/>
          </cell>
          <cell r="AD146" t="str">
            <v/>
          </cell>
          <cell r="AE146" t="str">
            <v/>
          </cell>
          <cell r="AF146" t="str">
            <v/>
          </cell>
          <cell r="AG146" t="str">
            <v/>
          </cell>
          <cell r="AH146" t="str">
            <v/>
          </cell>
          <cell r="AI146" t="str">
            <v/>
          </cell>
          <cell r="AJ146" t="str">
            <v/>
          </cell>
          <cell r="AK146" t="str">
            <v/>
          </cell>
          <cell r="AL146" t="str">
            <v/>
          </cell>
          <cell r="AM146" t="str">
            <v/>
          </cell>
          <cell r="AN146" t="str">
            <v/>
          </cell>
          <cell r="AO146" t="str">
            <v/>
          </cell>
          <cell r="AP146" t="str">
            <v/>
          </cell>
          <cell r="AQ146" t="str">
            <v/>
          </cell>
          <cell r="AR146" t="str">
            <v/>
          </cell>
          <cell r="AS146" t="str">
            <v/>
          </cell>
          <cell r="AT146" t="str">
            <v/>
          </cell>
          <cell r="AU146" t="str">
            <v/>
          </cell>
          <cell r="AV146" t="str">
            <v/>
          </cell>
          <cell r="AW146" t="str">
            <v/>
          </cell>
          <cell r="AX146" t="str">
            <v/>
          </cell>
          <cell r="AY146" t="str">
            <v/>
          </cell>
          <cell r="AZ146" t="str">
            <v/>
          </cell>
          <cell r="BA146" t="str">
            <v/>
          </cell>
          <cell r="BB146" t="str">
            <v/>
          </cell>
          <cell r="BC146" t="str">
            <v/>
          </cell>
          <cell r="BD146" t="str">
            <v/>
          </cell>
          <cell r="BE146" t="str">
            <v/>
          </cell>
          <cell r="BF146" t="str">
            <v/>
          </cell>
          <cell r="BG146" t="str">
            <v/>
          </cell>
          <cell r="BH146" t="str">
            <v/>
          </cell>
          <cell r="BI146" t="str">
            <v/>
          </cell>
          <cell r="BJ146" t="str">
            <v/>
          </cell>
          <cell r="BK146" t="str">
            <v/>
          </cell>
          <cell r="BL146" t="str">
            <v/>
          </cell>
          <cell r="BM146" t="str">
            <v/>
          </cell>
          <cell r="BN146" t="str">
            <v/>
          </cell>
          <cell r="BO146" t="str">
            <v/>
          </cell>
          <cell r="BP146" t="str">
            <v/>
          </cell>
          <cell r="BQ146" t="str">
            <v/>
          </cell>
          <cell r="BR146" t="str">
            <v/>
          </cell>
          <cell r="BS146" t="str">
            <v/>
          </cell>
          <cell r="BT146" t="str">
            <v/>
          </cell>
          <cell r="BU146" t="str">
            <v/>
          </cell>
          <cell r="BV146" t="str">
            <v/>
          </cell>
          <cell r="BW146" t="str">
            <v/>
          </cell>
          <cell r="BX146" t="str">
            <v/>
          </cell>
          <cell r="BY146" t="str">
            <v/>
          </cell>
          <cell r="BZ146" t="str">
            <v/>
          </cell>
          <cell r="CA146" t="str">
            <v/>
          </cell>
          <cell r="CB146" t="str">
            <v/>
          </cell>
          <cell r="CC146" t="str">
            <v/>
          </cell>
          <cell r="CD146" t="str">
            <v/>
          </cell>
          <cell r="CE146" t="str">
            <v/>
          </cell>
          <cell r="CF146" t="str">
            <v/>
          </cell>
          <cell r="CG146" t="str">
            <v/>
          </cell>
          <cell r="CH146" t="str">
            <v/>
          </cell>
          <cell r="CI146" t="str">
            <v/>
          </cell>
          <cell r="CJ146" t="str">
            <v/>
          </cell>
          <cell r="CK146" t="str">
            <v/>
          </cell>
          <cell r="CL146">
            <v>0</v>
          </cell>
          <cell r="CM146">
            <v>0</v>
          </cell>
          <cell r="CN146">
            <v>0</v>
          </cell>
          <cell r="CO146" t="str">
            <v>N.R</v>
          </cell>
          <cell r="CP146" t="str">
            <v/>
          </cell>
          <cell r="CQ146">
            <v>41</v>
          </cell>
          <cell r="CR146">
            <v>87</v>
          </cell>
          <cell r="CS146" t="e">
            <v>#VALUE!</v>
          </cell>
          <cell r="CT146" t="str">
            <v/>
          </cell>
          <cell r="CU146">
            <v>35</v>
          </cell>
          <cell r="CV146">
            <v>74</v>
          </cell>
          <cell r="CW146" t="e">
            <v>#VALUE!</v>
          </cell>
          <cell r="CX146" t="str">
            <v/>
          </cell>
          <cell r="CY146">
            <v>59</v>
          </cell>
          <cell r="CZ146">
            <v>97</v>
          </cell>
          <cell r="DA146" t="e">
            <v>#VALUE!</v>
          </cell>
          <cell r="DB146" t="str">
            <v/>
          </cell>
          <cell r="DC146">
            <v>0</v>
          </cell>
          <cell r="DD146">
            <v>0</v>
          </cell>
          <cell r="DE146" t="e">
            <v>#VALUE!</v>
          </cell>
          <cell r="DF146" t="str">
            <v/>
          </cell>
          <cell r="DG146">
            <v>33</v>
          </cell>
          <cell r="DH146">
            <v>87</v>
          </cell>
          <cell r="DI146" t="e">
            <v>#VALUE!</v>
          </cell>
          <cell r="DJ146" t="str">
            <v/>
          </cell>
          <cell r="DK146">
            <v>29</v>
          </cell>
          <cell r="DL146">
            <v>88</v>
          </cell>
          <cell r="DM146" t="e">
            <v>#VALUE!</v>
          </cell>
          <cell r="DN146" t="str">
            <v/>
          </cell>
          <cell r="DO146">
            <v>35</v>
          </cell>
          <cell r="DP146">
            <v>92</v>
          </cell>
          <cell r="DQ146" t="e">
            <v>#VALUE!</v>
          </cell>
          <cell r="DR146" t="str">
            <v/>
          </cell>
          <cell r="DS146">
            <v>0</v>
          </cell>
          <cell r="DT146">
            <v>81</v>
          </cell>
          <cell r="DU146" t="e">
            <v>#VALUE!</v>
          </cell>
          <cell r="DV146" t="str">
            <v/>
          </cell>
          <cell r="DW146">
            <v>0</v>
          </cell>
          <cell r="DX146">
            <v>0</v>
          </cell>
          <cell r="DY146" t="e">
            <v>#VALUE!</v>
          </cell>
          <cell r="DZ146" t="str">
            <v/>
          </cell>
          <cell r="EA146">
            <v>0</v>
          </cell>
          <cell r="EB146">
            <v>86</v>
          </cell>
          <cell r="EC146" t="e">
            <v>#VALUE!</v>
          </cell>
          <cell r="ED146" t="str">
            <v/>
          </cell>
          <cell r="EE146">
            <v>0</v>
          </cell>
          <cell r="EF146">
            <v>136</v>
          </cell>
          <cell r="EG146" t="e">
            <v>#VALUE!</v>
          </cell>
          <cell r="EH146" t="str">
            <v/>
          </cell>
          <cell r="EI146">
            <v>0</v>
          </cell>
          <cell r="EJ146">
            <v>89</v>
          </cell>
          <cell r="EK146" t="e">
            <v>#VALUE!</v>
          </cell>
          <cell r="EL146" t="str">
            <v/>
          </cell>
          <cell r="EM146">
            <v>0</v>
          </cell>
          <cell r="EN146">
            <v>91</v>
          </cell>
          <cell r="EO146" t="e">
            <v>#VALUE!</v>
          </cell>
          <cell r="EP146" t="str">
            <v/>
          </cell>
          <cell r="EQ146">
            <v>0</v>
          </cell>
          <cell r="ER146">
            <v>0</v>
          </cell>
          <cell r="ES146" t="e">
            <v>#VALUE!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 t="str">
            <v/>
          </cell>
          <cell r="U147" t="str">
            <v/>
          </cell>
          <cell r="V147" t="str">
            <v/>
          </cell>
          <cell r="W147" t="str">
            <v/>
          </cell>
          <cell r="X147" t="str">
            <v/>
          </cell>
          <cell r="Y147" t="str">
            <v/>
          </cell>
          <cell r="Z147" t="str">
            <v/>
          </cell>
          <cell r="AA147" t="str">
            <v/>
          </cell>
          <cell r="AB147" t="str">
            <v/>
          </cell>
          <cell r="AC147" t="str">
            <v/>
          </cell>
          <cell r="AD147" t="str">
            <v/>
          </cell>
          <cell r="AE147" t="str">
            <v/>
          </cell>
          <cell r="AF147" t="str">
            <v/>
          </cell>
          <cell r="AG147" t="str">
            <v/>
          </cell>
          <cell r="AH147" t="str">
            <v/>
          </cell>
          <cell r="AI147" t="str">
            <v/>
          </cell>
          <cell r="AJ147" t="str">
            <v/>
          </cell>
          <cell r="AK147" t="str">
            <v/>
          </cell>
          <cell r="AL147" t="str">
            <v/>
          </cell>
          <cell r="AM147" t="str">
            <v/>
          </cell>
          <cell r="AN147" t="str">
            <v/>
          </cell>
          <cell r="AO147" t="str">
            <v/>
          </cell>
          <cell r="AP147" t="str">
            <v/>
          </cell>
          <cell r="AQ147" t="str">
            <v/>
          </cell>
          <cell r="AR147" t="str">
            <v/>
          </cell>
          <cell r="AS147" t="str">
            <v/>
          </cell>
          <cell r="AT147" t="str">
            <v/>
          </cell>
          <cell r="AU147" t="str">
            <v/>
          </cell>
          <cell r="AV147" t="str">
            <v/>
          </cell>
          <cell r="AW147" t="str">
            <v/>
          </cell>
          <cell r="AX147" t="str">
            <v/>
          </cell>
          <cell r="AY147" t="str">
            <v/>
          </cell>
          <cell r="AZ147" t="str">
            <v/>
          </cell>
          <cell r="BA147" t="str">
            <v/>
          </cell>
          <cell r="BB147" t="str">
            <v/>
          </cell>
          <cell r="BC147" t="str">
            <v/>
          </cell>
          <cell r="BD147" t="str">
            <v/>
          </cell>
          <cell r="BE147" t="str">
            <v/>
          </cell>
          <cell r="BF147" t="str">
            <v/>
          </cell>
          <cell r="BG147" t="str">
            <v/>
          </cell>
          <cell r="BH147" t="str">
            <v/>
          </cell>
          <cell r="BI147" t="str">
            <v/>
          </cell>
          <cell r="BJ147" t="str">
            <v/>
          </cell>
          <cell r="BK147" t="str">
            <v/>
          </cell>
          <cell r="BL147" t="str">
            <v/>
          </cell>
          <cell r="BM147" t="str">
            <v/>
          </cell>
          <cell r="BN147" t="str">
            <v/>
          </cell>
          <cell r="BO147" t="str">
            <v/>
          </cell>
          <cell r="BP147" t="str">
            <v/>
          </cell>
          <cell r="BQ147" t="str">
            <v/>
          </cell>
          <cell r="BR147" t="str">
            <v/>
          </cell>
          <cell r="BS147" t="str">
            <v/>
          </cell>
          <cell r="BT147" t="str">
            <v/>
          </cell>
          <cell r="BU147" t="str">
            <v/>
          </cell>
          <cell r="BV147" t="str">
            <v/>
          </cell>
          <cell r="BW147" t="str">
            <v/>
          </cell>
          <cell r="BX147" t="str">
            <v/>
          </cell>
          <cell r="BY147" t="str">
            <v/>
          </cell>
          <cell r="BZ147" t="str">
            <v/>
          </cell>
          <cell r="CA147" t="str">
            <v/>
          </cell>
          <cell r="CB147" t="str">
            <v/>
          </cell>
          <cell r="CC147" t="str">
            <v/>
          </cell>
          <cell r="CD147" t="str">
            <v/>
          </cell>
          <cell r="CE147" t="str">
            <v/>
          </cell>
          <cell r="CF147" t="str">
            <v/>
          </cell>
          <cell r="CG147" t="str">
            <v/>
          </cell>
          <cell r="CH147" t="str">
            <v/>
          </cell>
          <cell r="CI147" t="str">
            <v/>
          </cell>
          <cell r="CJ147" t="str">
            <v/>
          </cell>
          <cell r="CK147" t="str">
            <v/>
          </cell>
          <cell r="CL147">
            <v>0</v>
          </cell>
          <cell r="CM147">
            <v>0</v>
          </cell>
          <cell r="CN147">
            <v>0</v>
          </cell>
          <cell r="CO147" t="str">
            <v>N.R</v>
          </cell>
          <cell r="CP147" t="str">
            <v/>
          </cell>
          <cell r="CQ147">
            <v>41</v>
          </cell>
          <cell r="CR147">
            <v>87</v>
          </cell>
          <cell r="CS147" t="e">
            <v>#VALUE!</v>
          </cell>
          <cell r="CT147" t="str">
            <v/>
          </cell>
          <cell r="CU147">
            <v>35</v>
          </cell>
          <cell r="CV147">
            <v>74</v>
          </cell>
          <cell r="CW147" t="e">
            <v>#VALUE!</v>
          </cell>
          <cell r="CX147" t="str">
            <v/>
          </cell>
          <cell r="CY147">
            <v>59</v>
          </cell>
          <cell r="CZ147">
            <v>97</v>
          </cell>
          <cell r="DA147" t="e">
            <v>#VALUE!</v>
          </cell>
          <cell r="DB147" t="str">
            <v/>
          </cell>
          <cell r="DC147">
            <v>0</v>
          </cell>
          <cell r="DD147">
            <v>0</v>
          </cell>
          <cell r="DE147" t="e">
            <v>#VALUE!</v>
          </cell>
          <cell r="DF147" t="str">
            <v/>
          </cell>
          <cell r="DG147">
            <v>33</v>
          </cell>
          <cell r="DH147">
            <v>87</v>
          </cell>
          <cell r="DI147" t="e">
            <v>#VALUE!</v>
          </cell>
          <cell r="DJ147" t="str">
            <v/>
          </cell>
          <cell r="DK147">
            <v>29</v>
          </cell>
          <cell r="DL147">
            <v>88</v>
          </cell>
          <cell r="DM147" t="e">
            <v>#VALUE!</v>
          </cell>
          <cell r="DN147" t="str">
            <v/>
          </cell>
          <cell r="DO147">
            <v>35</v>
          </cell>
          <cell r="DP147">
            <v>92</v>
          </cell>
          <cell r="DQ147" t="e">
            <v>#VALUE!</v>
          </cell>
          <cell r="DR147" t="str">
            <v/>
          </cell>
          <cell r="DS147">
            <v>0</v>
          </cell>
          <cell r="DT147">
            <v>81</v>
          </cell>
          <cell r="DU147" t="e">
            <v>#VALUE!</v>
          </cell>
          <cell r="DV147" t="str">
            <v/>
          </cell>
          <cell r="DW147">
            <v>0</v>
          </cell>
          <cell r="DX147">
            <v>0</v>
          </cell>
          <cell r="DY147" t="e">
            <v>#VALUE!</v>
          </cell>
          <cell r="DZ147" t="str">
            <v/>
          </cell>
          <cell r="EA147">
            <v>0</v>
          </cell>
          <cell r="EB147">
            <v>86</v>
          </cell>
          <cell r="EC147" t="e">
            <v>#VALUE!</v>
          </cell>
          <cell r="ED147" t="str">
            <v/>
          </cell>
          <cell r="EE147">
            <v>0</v>
          </cell>
          <cell r="EF147">
            <v>137</v>
          </cell>
          <cell r="EG147" t="e">
            <v>#VALUE!</v>
          </cell>
          <cell r="EH147" t="str">
            <v/>
          </cell>
          <cell r="EI147">
            <v>0</v>
          </cell>
          <cell r="EJ147">
            <v>89</v>
          </cell>
          <cell r="EK147" t="e">
            <v>#VALUE!</v>
          </cell>
          <cell r="EL147" t="str">
            <v/>
          </cell>
          <cell r="EM147">
            <v>0</v>
          </cell>
          <cell r="EN147">
            <v>91</v>
          </cell>
          <cell r="EO147" t="e">
            <v>#VALUE!</v>
          </cell>
          <cell r="EP147" t="str">
            <v/>
          </cell>
          <cell r="EQ147">
            <v>0</v>
          </cell>
          <cell r="ER147">
            <v>0</v>
          </cell>
          <cell r="ES147" t="e">
            <v>#VALUE!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 t="str">
            <v/>
          </cell>
          <cell r="P148" t="str">
            <v/>
          </cell>
          <cell r="Q148" t="str">
            <v/>
          </cell>
          <cell r="R148" t="str">
            <v/>
          </cell>
          <cell r="S148" t="str">
            <v/>
          </cell>
          <cell r="T148" t="str">
            <v/>
          </cell>
          <cell r="U148" t="str">
            <v/>
          </cell>
          <cell r="V148" t="str">
            <v/>
          </cell>
          <cell r="W148" t="str">
            <v/>
          </cell>
          <cell r="X148" t="str">
            <v/>
          </cell>
          <cell r="Y148" t="str">
            <v/>
          </cell>
          <cell r="Z148" t="str">
            <v/>
          </cell>
          <cell r="AA148" t="str">
            <v/>
          </cell>
          <cell r="AB148" t="str">
            <v/>
          </cell>
          <cell r="AC148" t="str">
            <v/>
          </cell>
          <cell r="AD148" t="str">
            <v/>
          </cell>
          <cell r="AE148" t="str">
            <v/>
          </cell>
          <cell r="AF148" t="str">
            <v/>
          </cell>
          <cell r="AG148" t="str">
            <v/>
          </cell>
          <cell r="AH148" t="str">
            <v/>
          </cell>
          <cell r="AI148" t="str">
            <v/>
          </cell>
          <cell r="AJ148" t="str">
            <v/>
          </cell>
          <cell r="AK148" t="str">
            <v/>
          </cell>
          <cell r="AL148" t="str">
            <v/>
          </cell>
          <cell r="AM148" t="str">
            <v/>
          </cell>
          <cell r="AN148" t="str">
            <v/>
          </cell>
          <cell r="AO148" t="str">
            <v/>
          </cell>
          <cell r="AP148" t="str">
            <v/>
          </cell>
          <cell r="AQ148" t="str">
            <v/>
          </cell>
          <cell r="AR148" t="str">
            <v/>
          </cell>
          <cell r="AS148" t="str">
            <v/>
          </cell>
          <cell r="AT148" t="str">
            <v/>
          </cell>
          <cell r="AU148" t="str">
            <v/>
          </cell>
          <cell r="AV148" t="str">
            <v/>
          </cell>
          <cell r="AW148" t="str">
            <v/>
          </cell>
          <cell r="AX148" t="str">
            <v/>
          </cell>
          <cell r="AY148" t="str">
            <v/>
          </cell>
          <cell r="AZ148" t="str">
            <v/>
          </cell>
          <cell r="BA148" t="str">
            <v/>
          </cell>
          <cell r="BB148" t="str">
            <v/>
          </cell>
          <cell r="BC148" t="str">
            <v/>
          </cell>
          <cell r="BD148" t="str">
            <v/>
          </cell>
          <cell r="BE148" t="str">
            <v/>
          </cell>
          <cell r="BF148" t="str">
            <v/>
          </cell>
          <cell r="BG148" t="str">
            <v/>
          </cell>
          <cell r="BH148" t="str">
            <v/>
          </cell>
          <cell r="BI148" t="str">
            <v/>
          </cell>
          <cell r="BJ148" t="str">
            <v/>
          </cell>
          <cell r="BK148" t="str">
            <v/>
          </cell>
          <cell r="BL148" t="str">
            <v/>
          </cell>
          <cell r="BM148" t="str">
            <v/>
          </cell>
          <cell r="BN148" t="str">
            <v/>
          </cell>
          <cell r="BO148" t="str">
            <v/>
          </cell>
          <cell r="BP148" t="str">
            <v/>
          </cell>
          <cell r="BQ148" t="str">
            <v/>
          </cell>
          <cell r="BR148" t="str">
            <v/>
          </cell>
          <cell r="BS148" t="str">
            <v/>
          </cell>
          <cell r="BT148" t="str">
            <v/>
          </cell>
          <cell r="BU148" t="str">
            <v/>
          </cell>
          <cell r="BV148" t="str">
            <v/>
          </cell>
          <cell r="BW148" t="str">
            <v/>
          </cell>
          <cell r="BX148" t="str">
            <v/>
          </cell>
          <cell r="BY148" t="str">
            <v/>
          </cell>
          <cell r="BZ148" t="str">
            <v/>
          </cell>
          <cell r="CA148" t="str">
            <v/>
          </cell>
          <cell r="CB148" t="str">
            <v/>
          </cell>
          <cell r="CC148" t="str">
            <v/>
          </cell>
          <cell r="CD148" t="str">
            <v/>
          </cell>
          <cell r="CE148" t="str">
            <v/>
          </cell>
          <cell r="CF148" t="str">
            <v/>
          </cell>
          <cell r="CG148" t="str">
            <v/>
          </cell>
          <cell r="CH148" t="str">
            <v/>
          </cell>
          <cell r="CI148" t="str">
            <v/>
          </cell>
          <cell r="CJ148" t="str">
            <v/>
          </cell>
          <cell r="CK148" t="str">
            <v/>
          </cell>
          <cell r="CL148">
            <v>0</v>
          </cell>
          <cell r="CM148">
            <v>0</v>
          </cell>
          <cell r="CN148">
            <v>0</v>
          </cell>
          <cell r="CO148" t="str">
            <v>N.R</v>
          </cell>
          <cell r="CP148" t="str">
            <v/>
          </cell>
          <cell r="CQ148">
            <v>41</v>
          </cell>
          <cell r="CR148">
            <v>87</v>
          </cell>
          <cell r="CS148" t="e">
            <v>#VALUE!</v>
          </cell>
          <cell r="CT148" t="str">
            <v/>
          </cell>
          <cell r="CU148">
            <v>35</v>
          </cell>
          <cell r="CV148">
            <v>74</v>
          </cell>
          <cell r="CW148" t="e">
            <v>#VALUE!</v>
          </cell>
          <cell r="CX148" t="str">
            <v/>
          </cell>
          <cell r="CY148">
            <v>59</v>
          </cell>
          <cell r="CZ148">
            <v>97</v>
          </cell>
          <cell r="DA148" t="e">
            <v>#VALUE!</v>
          </cell>
          <cell r="DB148" t="str">
            <v/>
          </cell>
          <cell r="DC148">
            <v>0</v>
          </cell>
          <cell r="DD148">
            <v>0</v>
          </cell>
          <cell r="DE148" t="e">
            <v>#VALUE!</v>
          </cell>
          <cell r="DF148" t="str">
            <v/>
          </cell>
          <cell r="DG148">
            <v>33</v>
          </cell>
          <cell r="DH148">
            <v>87</v>
          </cell>
          <cell r="DI148" t="e">
            <v>#VALUE!</v>
          </cell>
          <cell r="DJ148" t="str">
            <v/>
          </cell>
          <cell r="DK148">
            <v>29</v>
          </cell>
          <cell r="DL148">
            <v>88</v>
          </cell>
          <cell r="DM148" t="e">
            <v>#VALUE!</v>
          </cell>
          <cell r="DN148" t="str">
            <v/>
          </cell>
          <cell r="DO148">
            <v>35</v>
          </cell>
          <cell r="DP148">
            <v>92</v>
          </cell>
          <cell r="DQ148" t="e">
            <v>#VALUE!</v>
          </cell>
          <cell r="DR148" t="str">
            <v/>
          </cell>
          <cell r="DS148">
            <v>0</v>
          </cell>
          <cell r="DT148">
            <v>81</v>
          </cell>
          <cell r="DU148" t="e">
            <v>#VALUE!</v>
          </cell>
          <cell r="DV148" t="str">
            <v/>
          </cell>
          <cell r="DW148">
            <v>0</v>
          </cell>
          <cell r="DX148">
            <v>0</v>
          </cell>
          <cell r="DY148" t="e">
            <v>#VALUE!</v>
          </cell>
          <cell r="DZ148" t="str">
            <v/>
          </cell>
          <cell r="EA148">
            <v>0</v>
          </cell>
          <cell r="EB148">
            <v>86</v>
          </cell>
          <cell r="EC148" t="e">
            <v>#VALUE!</v>
          </cell>
          <cell r="ED148" t="str">
            <v/>
          </cell>
          <cell r="EE148">
            <v>0</v>
          </cell>
          <cell r="EF148">
            <v>138</v>
          </cell>
          <cell r="EG148" t="e">
            <v>#VALUE!</v>
          </cell>
          <cell r="EH148" t="str">
            <v/>
          </cell>
          <cell r="EI148">
            <v>0</v>
          </cell>
          <cell r="EJ148">
            <v>89</v>
          </cell>
          <cell r="EK148" t="e">
            <v>#VALUE!</v>
          </cell>
          <cell r="EL148" t="str">
            <v/>
          </cell>
          <cell r="EM148">
            <v>0</v>
          </cell>
          <cell r="EN148">
            <v>91</v>
          </cell>
          <cell r="EO148" t="e">
            <v>#VALUE!</v>
          </cell>
          <cell r="EP148" t="str">
            <v/>
          </cell>
          <cell r="EQ148">
            <v>0</v>
          </cell>
          <cell r="ER148">
            <v>0</v>
          </cell>
          <cell r="ES148" t="e">
            <v>#VALUE!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 t="str">
            <v/>
          </cell>
          <cell r="P149" t="str">
            <v/>
          </cell>
          <cell r="Q149" t="str">
            <v/>
          </cell>
          <cell r="R149" t="str">
            <v/>
          </cell>
          <cell r="S149" t="str">
            <v/>
          </cell>
          <cell r="T149" t="str">
            <v/>
          </cell>
          <cell r="U149" t="str">
            <v/>
          </cell>
          <cell r="V149" t="str">
            <v/>
          </cell>
          <cell r="W149" t="str">
            <v/>
          </cell>
          <cell r="X149" t="str">
            <v/>
          </cell>
          <cell r="Y149" t="str">
            <v/>
          </cell>
          <cell r="Z149" t="str">
            <v/>
          </cell>
          <cell r="AA149" t="str">
            <v/>
          </cell>
          <cell r="AB149" t="str">
            <v/>
          </cell>
          <cell r="AC149" t="str">
            <v/>
          </cell>
          <cell r="AD149" t="str">
            <v/>
          </cell>
          <cell r="AE149" t="str">
            <v/>
          </cell>
          <cell r="AF149" t="str">
            <v/>
          </cell>
          <cell r="AG149" t="str">
            <v/>
          </cell>
          <cell r="AH149" t="str">
            <v/>
          </cell>
          <cell r="AI149" t="str">
            <v/>
          </cell>
          <cell r="AJ149" t="str">
            <v/>
          </cell>
          <cell r="AK149" t="str">
            <v/>
          </cell>
          <cell r="AL149" t="str">
            <v/>
          </cell>
          <cell r="AM149" t="str">
            <v/>
          </cell>
          <cell r="AN149" t="str">
            <v/>
          </cell>
          <cell r="AO149" t="str">
            <v/>
          </cell>
          <cell r="AP149" t="str">
            <v/>
          </cell>
          <cell r="AQ149" t="str">
            <v/>
          </cell>
          <cell r="AR149" t="str">
            <v/>
          </cell>
          <cell r="AS149" t="str">
            <v/>
          </cell>
          <cell r="AT149" t="str">
            <v/>
          </cell>
          <cell r="AU149" t="str">
            <v/>
          </cell>
          <cell r="AV149" t="str">
            <v/>
          </cell>
          <cell r="AW149" t="str">
            <v/>
          </cell>
          <cell r="AX149" t="str">
            <v/>
          </cell>
          <cell r="AY149" t="str">
            <v/>
          </cell>
          <cell r="AZ149" t="str">
            <v/>
          </cell>
          <cell r="BA149" t="str">
            <v/>
          </cell>
          <cell r="BB149" t="str">
            <v/>
          </cell>
          <cell r="BC149" t="str">
            <v/>
          </cell>
          <cell r="BD149" t="str">
            <v/>
          </cell>
          <cell r="BE149" t="str">
            <v/>
          </cell>
          <cell r="BF149" t="str">
            <v/>
          </cell>
          <cell r="BG149" t="str">
            <v/>
          </cell>
          <cell r="BH149" t="str">
            <v/>
          </cell>
          <cell r="BI149" t="str">
            <v/>
          </cell>
          <cell r="BJ149" t="str">
            <v/>
          </cell>
          <cell r="BK149" t="str">
            <v/>
          </cell>
          <cell r="BL149" t="str">
            <v/>
          </cell>
          <cell r="BM149" t="str">
            <v/>
          </cell>
          <cell r="BN149" t="str">
            <v/>
          </cell>
          <cell r="BO149" t="str">
            <v/>
          </cell>
          <cell r="BP149" t="str">
            <v/>
          </cell>
          <cell r="BQ149" t="str">
            <v/>
          </cell>
          <cell r="BR149" t="str">
            <v/>
          </cell>
          <cell r="BS149" t="str">
            <v/>
          </cell>
          <cell r="BT149" t="str">
            <v/>
          </cell>
          <cell r="BU149" t="str">
            <v/>
          </cell>
          <cell r="BV149" t="str">
            <v/>
          </cell>
          <cell r="BW149" t="str">
            <v/>
          </cell>
          <cell r="BX149" t="str">
            <v/>
          </cell>
          <cell r="BY149" t="str">
            <v/>
          </cell>
          <cell r="BZ149" t="str">
            <v/>
          </cell>
          <cell r="CA149" t="str">
            <v/>
          </cell>
          <cell r="CB149" t="str">
            <v/>
          </cell>
          <cell r="CC149" t="str">
            <v/>
          </cell>
          <cell r="CD149" t="str">
            <v/>
          </cell>
          <cell r="CE149" t="str">
            <v/>
          </cell>
          <cell r="CF149" t="str">
            <v/>
          </cell>
          <cell r="CG149" t="str">
            <v/>
          </cell>
          <cell r="CH149" t="str">
            <v/>
          </cell>
          <cell r="CI149" t="str">
            <v/>
          </cell>
          <cell r="CJ149" t="str">
            <v/>
          </cell>
          <cell r="CK149" t="str">
            <v/>
          </cell>
          <cell r="CL149">
            <v>0</v>
          </cell>
          <cell r="CM149">
            <v>0</v>
          </cell>
          <cell r="CN149">
            <v>0</v>
          </cell>
          <cell r="CO149" t="str">
            <v>N.R</v>
          </cell>
          <cell r="CP149" t="str">
            <v/>
          </cell>
          <cell r="CQ149">
            <v>41</v>
          </cell>
          <cell r="CR149">
            <v>87</v>
          </cell>
          <cell r="CS149" t="e">
            <v>#VALUE!</v>
          </cell>
          <cell r="CT149" t="str">
            <v/>
          </cell>
          <cell r="CU149">
            <v>35</v>
          </cell>
          <cell r="CV149">
            <v>74</v>
          </cell>
          <cell r="CW149" t="e">
            <v>#VALUE!</v>
          </cell>
          <cell r="CX149" t="str">
            <v/>
          </cell>
          <cell r="CY149">
            <v>59</v>
          </cell>
          <cell r="CZ149">
            <v>97</v>
          </cell>
          <cell r="DA149" t="e">
            <v>#VALUE!</v>
          </cell>
          <cell r="DB149" t="str">
            <v/>
          </cell>
          <cell r="DC149">
            <v>0</v>
          </cell>
          <cell r="DD149">
            <v>0</v>
          </cell>
          <cell r="DE149" t="e">
            <v>#VALUE!</v>
          </cell>
          <cell r="DF149" t="str">
            <v/>
          </cell>
          <cell r="DG149">
            <v>33</v>
          </cell>
          <cell r="DH149">
            <v>87</v>
          </cell>
          <cell r="DI149" t="e">
            <v>#VALUE!</v>
          </cell>
          <cell r="DJ149" t="str">
            <v/>
          </cell>
          <cell r="DK149">
            <v>29</v>
          </cell>
          <cell r="DL149">
            <v>88</v>
          </cell>
          <cell r="DM149" t="e">
            <v>#VALUE!</v>
          </cell>
          <cell r="DN149" t="str">
            <v/>
          </cell>
          <cell r="DO149">
            <v>35</v>
          </cell>
          <cell r="DP149">
            <v>92</v>
          </cell>
          <cell r="DQ149" t="e">
            <v>#VALUE!</v>
          </cell>
          <cell r="DR149" t="str">
            <v/>
          </cell>
          <cell r="DS149">
            <v>0</v>
          </cell>
          <cell r="DT149">
            <v>81</v>
          </cell>
          <cell r="DU149" t="e">
            <v>#VALUE!</v>
          </cell>
          <cell r="DV149" t="str">
            <v/>
          </cell>
          <cell r="DW149">
            <v>0</v>
          </cell>
          <cell r="DX149">
            <v>0</v>
          </cell>
          <cell r="DY149" t="e">
            <v>#VALUE!</v>
          </cell>
          <cell r="DZ149" t="str">
            <v/>
          </cell>
          <cell r="EA149">
            <v>0</v>
          </cell>
          <cell r="EB149">
            <v>86</v>
          </cell>
          <cell r="EC149" t="e">
            <v>#VALUE!</v>
          </cell>
          <cell r="ED149" t="str">
            <v/>
          </cell>
          <cell r="EE149">
            <v>0</v>
          </cell>
          <cell r="EF149">
            <v>139</v>
          </cell>
          <cell r="EG149" t="e">
            <v>#VALUE!</v>
          </cell>
          <cell r="EH149" t="str">
            <v/>
          </cell>
          <cell r="EI149">
            <v>0</v>
          </cell>
          <cell r="EJ149">
            <v>89</v>
          </cell>
          <cell r="EK149" t="e">
            <v>#VALUE!</v>
          </cell>
          <cell r="EL149" t="str">
            <v/>
          </cell>
          <cell r="EM149">
            <v>0</v>
          </cell>
          <cell r="EN149">
            <v>91</v>
          </cell>
          <cell r="EO149" t="e">
            <v>#VALUE!</v>
          </cell>
          <cell r="EP149" t="str">
            <v/>
          </cell>
          <cell r="EQ149">
            <v>0</v>
          </cell>
          <cell r="ER149">
            <v>0</v>
          </cell>
          <cell r="ES149" t="e">
            <v>#VALUE!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str">
            <v/>
          </cell>
          <cell r="P150" t="str">
            <v/>
          </cell>
          <cell r="Q150" t="str">
            <v/>
          </cell>
          <cell r="R150" t="str">
            <v/>
          </cell>
          <cell r="S150" t="str">
            <v/>
          </cell>
          <cell r="T150" t="str">
            <v/>
          </cell>
          <cell r="U150" t="str">
            <v/>
          </cell>
          <cell r="V150" t="str">
            <v/>
          </cell>
          <cell r="W150" t="str">
            <v/>
          </cell>
          <cell r="X150" t="str">
            <v/>
          </cell>
          <cell r="Y150" t="str">
            <v/>
          </cell>
          <cell r="Z150" t="str">
            <v/>
          </cell>
          <cell r="AA150" t="str">
            <v/>
          </cell>
          <cell r="AB150" t="str">
            <v/>
          </cell>
          <cell r="AC150" t="str">
            <v/>
          </cell>
          <cell r="AD150" t="str">
            <v/>
          </cell>
          <cell r="AE150" t="str">
            <v/>
          </cell>
          <cell r="AF150" t="str">
            <v/>
          </cell>
          <cell r="AG150" t="str">
            <v/>
          </cell>
          <cell r="AH150" t="str">
            <v/>
          </cell>
          <cell r="AI150" t="str">
            <v/>
          </cell>
          <cell r="AJ150" t="str">
            <v/>
          </cell>
          <cell r="AK150" t="str">
            <v/>
          </cell>
          <cell r="AL150" t="str">
            <v/>
          </cell>
          <cell r="AM150" t="str">
            <v/>
          </cell>
          <cell r="AN150" t="str">
            <v/>
          </cell>
          <cell r="AO150" t="str">
            <v/>
          </cell>
          <cell r="AP150" t="str">
            <v/>
          </cell>
          <cell r="AQ150" t="str">
            <v/>
          </cell>
          <cell r="AR150" t="str">
            <v/>
          </cell>
          <cell r="AS150" t="str">
            <v/>
          </cell>
          <cell r="AT150" t="str">
            <v/>
          </cell>
          <cell r="AU150" t="str">
            <v/>
          </cell>
          <cell r="AV150" t="str">
            <v/>
          </cell>
          <cell r="AW150" t="str">
            <v/>
          </cell>
          <cell r="AX150" t="str">
            <v/>
          </cell>
          <cell r="AY150" t="str">
            <v/>
          </cell>
          <cell r="AZ150" t="str">
            <v/>
          </cell>
          <cell r="BA150" t="str">
            <v/>
          </cell>
          <cell r="BB150" t="str">
            <v/>
          </cell>
          <cell r="BC150" t="str">
            <v/>
          </cell>
          <cell r="BD150" t="str">
            <v/>
          </cell>
          <cell r="BE150" t="str">
            <v/>
          </cell>
          <cell r="BF150" t="str">
            <v/>
          </cell>
          <cell r="BG150" t="str">
            <v/>
          </cell>
          <cell r="BH150" t="str">
            <v/>
          </cell>
          <cell r="BI150" t="str">
            <v/>
          </cell>
          <cell r="BJ150" t="str">
            <v/>
          </cell>
          <cell r="BK150" t="str">
            <v/>
          </cell>
          <cell r="BL150" t="str">
            <v/>
          </cell>
          <cell r="BM150" t="str">
            <v/>
          </cell>
          <cell r="BN150" t="str">
            <v/>
          </cell>
          <cell r="BO150" t="str">
            <v/>
          </cell>
          <cell r="BP150" t="str">
            <v/>
          </cell>
          <cell r="BQ150" t="str">
            <v/>
          </cell>
          <cell r="BR150" t="str">
            <v/>
          </cell>
          <cell r="BS150" t="str">
            <v/>
          </cell>
          <cell r="BT150" t="str">
            <v/>
          </cell>
          <cell r="BU150" t="str">
            <v/>
          </cell>
          <cell r="BV150" t="str">
            <v/>
          </cell>
          <cell r="BW150" t="str">
            <v/>
          </cell>
          <cell r="BX150" t="str">
            <v/>
          </cell>
          <cell r="BY150" t="str">
            <v/>
          </cell>
          <cell r="BZ150" t="str">
            <v/>
          </cell>
          <cell r="CA150" t="str">
            <v/>
          </cell>
          <cell r="CB150" t="str">
            <v/>
          </cell>
          <cell r="CC150" t="str">
            <v/>
          </cell>
          <cell r="CD150" t="str">
            <v/>
          </cell>
          <cell r="CE150" t="str">
            <v/>
          </cell>
          <cell r="CF150" t="str">
            <v/>
          </cell>
          <cell r="CG150" t="str">
            <v/>
          </cell>
          <cell r="CH150" t="str">
            <v/>
          </cell>
          <cell r="CI150" t="str">
            <v/>
          </cell>
          <cell r="CJ150" t="str">
            <v/>
          </cell>
          <cell r="CK150" t="str">
            <v/>
          </cell>
          <cell r="CL150">
            <v>0</v>
          </cell>
          <cell r="CM150">
            <v>0</v>
          </cell>
          <cell r="CN150">
            <v>0</v>
          </cell>
          <cell r="CO150" t="str">
            <v>N.R</v>
          </cell>
          <cell r="CP150" t="str">
            <v/>
          </cell>
          <cell r="CQ150">
            <v>41</v>
          </cell>
          <cell r="CR150">
            <v>87</v>
          </cell>
          <cell r="CS150" t="e">
            <v>#VALUE!</v>
          </cell>
          <cell r="CT150" t="str">
            <v/>
          </cell>
          <cell r="CU150">
            <v>35</v>
          </cell>
          <cell r="CV150">
            <v>74</v>
          </cell>
          <cell r="CW150" t="e">
            <v>#VALUE!</v>
          </cell>
          <cell r="CX150" t="str">
            <v/>
          </cell>
          <cell r="CY150">
            <v>59</v>
          </cell>
          <cell r="CZ150">
            <v>97</v>
          </cell>
          <cell r="DA150" t="e">
            <v>#VALUE!</v>
          </cell>
          <cell r="DB150" t="str">
            <v/>
          </cell>
          <cell r="DC150">
            <v>0</v>
          </cell>
          <cell r="DD150">
            <v>0</v>
          </cell>
          <cell r="DE150" t="e">
            <v>#VALUE!</v>
          </cell>
          <cell r="DF150" t="str">
            <v/>
          </cell>
          <cell r="DG150">
            <v>33</v>
          </cell>
          <cell r="DH150">
            <v>87</v>
          </cell>
          <cell r="DI150" t="e">
            <v>#VALUE!</v>
          </cell>
          <cell r="DJ150" t="str">
            <v/>
          </cell>
          <cell r="DK150">
            <v>29</v>
          </cell>
          <cell r="DL150">
            <v>88</v>
          </cell>
          <cell r="DM150" t="e">
            <v>#VALUE!</v>
          </cell>
          <cell r="DN150" t="str">
            <v/>
          </cell>
          <cell r="DO150">
            <v>35</v>
          </cell>
          <cell r="DP150">
            <v>92</v>
          </cell>
          <cell r="DQ150" t="e">
            <v>#VALUE!</v>
          </cell>
          <cell r="DR150" t="str">
            <v/>
          </cell>
          <cell r="DS150">
            <v>0</v>
          </cell>
          <cell r="DT150">
            <v>81</v>
          </cell>
          <cell r="DU150" t="e">
            <v>#VALUE!</v>
          </cell>
          <cell r="DV150" t="str">
            <v/>
          </cell>
          <cell r="DW150">
            <v>0</v>
          </cell>
          <cell r="DX150">
            <v>0</v>
          </cell>
          <cell r="DY150" t="e">
            <v>#VALUE!</v>
          </cell>
          <cell r="DZ150" t="str">
            <v/>
          </cell>
          <cell r="EA150">
            <v>0</v>
          </cell>
          <cell r="EB150">
            <v>86</v>
          </cell>
          <cell r="EC150" t="e">
            <v>#VALUE!</v>
          </cell>
          <cell r="ED150" t="str">
            <v/>
          </cell>
          <cell r="EE150">
            <v>0</v>
          </cell>
          <cell r="EF150">
            <v>140</v>
          </cell>
          <cell r="EG150" t="e">
            <v>#VALUE!</v>
          </cell>
          <cell r="EH150" t="str">
            <v/>
          </cell>
          <cell r="EI150">
            <v>0</v>
          </cell>
          <cell r="EJ150">
            <v>89</v>
          </cell>
          <cell r="EK150" t="e">
            <v>#VALUE!</v>
          </cell>
          <cell r="EL150" t="str">
            <v/>
          </cell>
          <cell r="EM150">
            <v>0</v>
          </cell>
          <cell r="EN150">
            <v>91</v>
          </cell>
          <cell r="EO150" t="e">
            <v>#VALUE!</v>
          </cell>
          <cell r="EP150" t="str">
            <v/>
          </cell>
          <cell r="EQ150">
            <v>0</v>
          </cell>
          <cell r="ER150">
            <v>0</v>
          </cell>
          <cell r="ES150" t="e">
            <v>#VALUE!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str">
            <v/>
          </cell>
          <cell r="P151" t="str">
            <v/>
          </cell>
          <cell r="Q151" t="str">
            <v/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  <cell r="V151" t="str">
            <v/>
          </cell>
          <cell r="W151" t="str">
            <v/>
          </cell>
          <cell r="X151" t="str">
            <v/>
          </cell>
          <cell r="Y151" t="str">
            <v/>
          </cell>
          <cell r="Z151" t="str">
            <v/>
          </cell>
          <cell r="AA151" t="str">
            <v/>
          </cell>
          <cell r="AB151" t="str">
            <v/>
          </cell>
          <cell r="AC151" t="str">
            <v/>
          </cell>
          <cell r="AD151" t="str">
            <v/>
          </cell>
          <cell r="AE151" t="str">
            <v/>
          </cell>
          <cell r="AF151" t="str">
            <v/>
          </cell>
          <cell r="AG151" t="str">
            <v/>
          </cell>
          <cell r="AH151" t="str">
            <v/>
          </cell>
          <cell r="AI151" t="str">
            <v/>
          </cell>
          <cell r="AJ151" t="str">
            <v/>
          </cell>
          <cell r="AK151" t="str">
            <v/>
          </cell>
          <cell r="AL151" t="str">
            <v/>
          </cell>
          <cell r="AM151" t="str">
            <v/>
          </cell>
          <cell r="AN151" t="str">
            <v/>
          </cell>
          <cell r="AO151" t="str">
            <v/>
          </cell>
          <cell r="AP151" t="str">
            <v/>
          </cell>
          <cell r="AQ151" t="str">
            <v/>
          </cell>
          <cell r="AR151" t="str">
            <v/>
          </cell>
          <cell r="AS151" t="str">
            <v/>
          </cell>
          <cell r="AT151" t="str">
            <v/>
          </cell>
          <cell r="AU151" t="str">
            <v/>
          </cell>
          <cell r="AV151" t="str">
            <v/>
          </cell>
          <cell r="AW151" t="str">
            <v/>
          </cell>
          <cell r="AX151" t="str">
            <v/>
          </cell>
          <cell r="AY151" t="str">
            <v/>
          </cell>
          <cell r="AZ151" t="str">
            <v/>
          </cell>
          <cell r="BA151" t="str">
            <v/>
          </cell>
          <cell r="BB151" t="str">
            <v/>
          </cell>
          <cell r="BC151" t="str">
            <v/>
          </cell>
          <cell r="BD151" t="str">
            <v/>
          </cell>
          <cell r="BE151" t="str">
            <v/>
          </cell>
          <cell r="BF151" t="str">
            <v/>
          </cell>
          <cell r="BG151" t="str">
            <v/>
          </cell>
          <cell r="BH151" t="str">
            <v/>
          </cell>
          <cell r="BI151" t="str">
            <v/>
          </cell>
          <cell r="BJ151" t="str">
            <v/>
          </cell>
          <cell r="BK151" t="str">
            <v/>
          </cell>
          <cell r="BL151" t="str">
            <v/>
          </cell>
          <cell r="BM151" t="str">
            <v/>
          </cell>
          <cell r="BN151" t="str">
            <v/>
          </cell>
          <cell r="BO151" t="str">
            <v/>
          </cell>
          <cell r="BP151" t="str">
            <v/>
          </cell>
          <cell r="BQ151" t="str">
            <v/>
          </cell>
          <cell r="BR151" t="str">
            <v/>
          </cell>
          <cell r="BS151" t="str">
            <v/>
          </cell>
          <cell r="BT151" t="str">
            <v/>
          </cell>
          <cell r="BU151" t="str">
            <v/>
          </cell>
          <cell r="BV151" t="str">
            <v/>
          </cell>
          <cell r="BW151" t="str">
            <v/>
          </cell>
          <cell r="BX151" t="str">
            <v/>
          </cell>
          <cell r="BY151" t="str">
            <v/>
          </cell>
          <cell r="BZ151" t="str">
            <v/>
          </cell>
          <cell r="CA151" t="str">
            <v/>
          </cell>
          <cell r="CB151" t="str">
            <v/>
          </cell>
          <cell r="CC151" t="str">
            <v/>
          </cell>
          <cell r="CD151" t="str">
            <v/>
          </cell>
          <cell r="CE151" t="str">
            <v/>
          </cell>
          <cell r="CF151" t="str">
            <v/>
          </cell>
          <cell r="CG151" t="str">
            <v/>
          </cell>
          <cell r="CH151" t="str">
            <v/>
          </cell>
          <cell r="CI151" t="str">
            <v/>
          </cell>
          <cell r="CJ151" t="str">
            <v/>
          </cell>
          <cell r="CK151" t="str">
            <v/>
          </cell>
          <cell r="CL151">
            <v>0</v>
          </cell>
          <cell r="CM151">
            <v>0</v>
          </cell>
          <cell r="CN151">
            <v>0</v>
          </cell>
          <cell r="CO151" t="str">
            <v>N.R</v>
          </cell>
          <cell r="CP151" t="str">
            <v/>
          </cell>
          <cell r="CQ151">
            <v>41</v>
          </cell>
          <cell r="CR151">
            <v>87</v>
          </cell>
          <cell r="CS151" t="e">
            <v>#VALUE!</v>
          </cell>
          <cell r="CT151" t="str">
            <v/>
          </cell>
          <cell r="CU151">
            <v>35</v>
          </cell>
          <cell r="CV151">
            <v>74</v>
          </cell>
          <cell r="CW151" t="e">
            <v>#VALUE!</v>
          </cell>
          <cell r="CX151" t="str">
            <v/>
          </cell>
          <cell r="CY151">
            <v>59</v>
          </cell>
          <cell r="CZ151">
            <v>97</v>
          </cell>
          <cell r="DA151" t="e">
            <v>#VALUE!</v>
          </cell>
          <cell r="DB151" t="str">
            <v/>
          </cell>
          <cell r="DC151">
            <v>0</v>
          </cell>
          <cell r="DD151">
            <v>0</v>
          </cell>
          <cell r="DE151" t="e">
            <v>#VALUE!</v>
          </cell>
          <cell r="DF151" t="str">
            <v/>
          </cell>
          <cell r="DG151">
            <v>33</v>
          </cell>
          <cell r="DH151">
            <v>87</v>
          </cell>
          <cell r="DI151" t="e">
            <v>#VALUE!</v>
          </cell>
          <cell r="DJ151" t="str">
            <v/>
          </cell>
          <cell r="DK151">
            <v>29</v>
          </cell>
          <cell r="DL151">
            <v>88</v>
          </cell>
          <cell r="DM151" t="e">
            <v>#VALUE!</v>
          </cell>
          <cell r="DN151" t="str">
            <v/>
          </cell>
          <cell r="DO151">
            <v>35</v>
          </cell>
          <cell r="DP151">
            <v>92</v>
          </cell>
          <cell r="DQ151" t="e">
            <v>#VALUE!</v>
          </cell>
          <cell r="DR151" t="str">
            <v/>
          </cell>
          <cell r="DS151">
            <v>0</v>
          </cell>
          <cell r="DT151">
            <v>81</v>
          </cell>
          <cell r="DU151" t="e">
            <v>#VALUE!</v>
          </cell>
          <cell r="DV151" t="str">
            <v/>
          </cell>
          <cell r="DW151">
            <v>0</v>
          </cell>
          <cell r="DX151">
            <v>0</v>
          </cell>
          <cell r="DY151" t="e">
            <v>#VALUE!</v>
          </cell>
          <cell r="DZ151" t="str">
            <v/>
          </cell>
          <cell r="EA151">
            <v>0</v>
          </cell>
          <cell r="EB151">
            <v>86</v>
          </cell>
          <cell r="EC151" t="e">
            <v>#VALUE!</v>
          </cell>
          <cell r="ED151" t="str">
            <v/>
          </cell>
          <cell r="EE151">
            <v>0</v>
          </cell>
          <cell r="EF151">
            <v>141</v>
          </cell>
          <cell r="EG151" t="e">
            <v>#VALUE!</v>
          </cell>
          <cell r="EH151" t="str">
            <v/>
          </cell>
          <cell r="EI151">
            <v>0</v>
          </cell>
          <cell r="EJ151">
            <v>89</v>
          </cell>
          <cell r="EK151" t="e">
            <v>#VALUE!</v>
          </cell>
          <cell r="EL151" t="str">
            <v/>
          </cell>
          <cell r="EM151">
            <v>0</v>
          </cell>
          <cell r="EN151">
            <v>91</v>
          </cell>
          <cell r="EO151" t="e">
            <v>#VALUE!</v>
          </cell>
          <cell r="EP151" t="str">
            <v/>
          </cell>
          <cell r="EQ151">
            <v>0</v>
          </cell>
          <cell r="ER151">
            <v>0</v>
          </cell>
          <cell r="ES151" t="e">
            <v>#VALUE!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  <cell r="O152" t="str">
            <v/>
          </cell>
          <cell r="P152" t="str">
            <v/>
          </cell>
          <cell r="Q152" t="str">
            <v/>
          </cell>
          <cell r="R152" t="str">
            <v/>
          </cell>
          <cell r="S152" t="str">
            <v/>
          </cell>
          <cell r="T152" t="str">
            <v/>
          </cell>
          <cell r="U152" t="str">
            <v/>
          </cell>
          <cell r="V152" t="str">
            <v/>
          </cell>
          <cell r="W152" t="str">
            <v/>
          </cell>
          <cell r="X152" t="str">
            <v/>
          </cell>
          <cell r="Y152" t="str">
            <v/>
          </cell>
          <cell r="Z152" t="str">
            <v/>
          </cell>
          <cell r="AA152" t="str">
            <v/>
          </cell>
          <cell r="AB152" t="str">
            <v/>
          </cell>
          <cell r="AC152" t="str">
            <v/>
          </cell>
          <cell r="AD152" t="str">
            <v/>
          </cell>
          <cell r="AE152" t="str">
            <v/>
          </cell>
          <cell r="AF152" t="str">
            <v/>
          </cell>
          <cell r="AG152" t="str">
            <v/>
          </cell>
          <cell r="AH152" t="str">
            <v/>
          </cell>
          <cell r="AI152" t="str">
            <v/>
          </cell>
          <cell r="AJ152" t="str">
            <v/>
          </cell>
          <cell r="AK152" t="str">
            <v/>
          </cell>
          <cell r="AL152" t="str">
            <v/>
          </cell>
          <cell r="AM152" t="str">
            <v/>
          </cell>
          <cell r="AN152" t="str">
            <v/>
          </cell>
          <cell r="AO152" t="str">
            <v/>
          </cell>
          <cell r="AP152" t="str">
            <v/>
          </cell>
          <cell r="AQ152" t="str">
            <v/>
          </cell>
          <cell r="AR152" t="str">
            <v/>
          </cell>
          <cell r="AS152" t="str">
            <v/>
          </cell>
          <cell r="AT152" t="str">
            <v/>
          </cell>
          <cell r="AU152" t="str">
            <v/>
          </cell>
          <cell r="AV152" t="str">
            <v/>
          </cell>
          <cell r="AW152" t="str">
            <v/>
          </cell>
          <cell r="AX152" t="str">
            <v/>
          </cell>
          <cell r="AY152" t="str">
            <v/>
          </cell>
          <cell r="AZ152" t="str">
            <v/>
          </cell>
          <cell r="BA152" t="str">
            <v/>
          </cell>
          <cell r="BB152" t="str">
            <v/>
          </cell>
          <cell r="BC152" t="str">
            <v/>
          </cell>
          <cell r="BD152" t="str">
            <v/>
          </cell>
          <cell r="BE152" t="str">
            <v/>
          </cell>
          <cell r="BF152" t="str">
            <v/>
          </cell>
          <cell r="BG152" t="str">
            <v/>
          </cell>
          <cell r="BH152" t="str">
            <v/>
          </cell>
          <cell r="BI152" t="str">
            <v/>
          </cell>
          <cell r="BJ152" t="str">
            <v/>
          </cell>
          <cell r="BK152" t="str">
            <v/>
          </cell>
          <cell r="BL152" t="str">
            <v/>
          </cell>
          <cell r="BM152" t="str">
            <v/>
          </cell>
          <cell r="BN152" t="str">
            <v/>
          </cell>
          <cell r="BO152" t="str">
            <v/>
          </cell>
          <cell r="BP152" t="str">
            <v/>
          </cell>
          <cell r="BQ152" t="str">
            <v/>
          </cell>
          <cell r="BR152" t="str">
            <v/>
          </cell>
          <cell r="BS152" t="str">
            <v/>
          </cell>
          <cell r="BT152" t="str">
            <v/>
          </cell>
          <cell r="BU152" t="str">
            <v/>
          </cell>
          <cell r="BV152" t="str">
            <v/>
          </cell>
          <cell r="BW152" t="str">
            <v/>
          </cell>
          <cell r="BX152" t="str">
            <v/>
          </cell>
          <cell r="BY152" t="str">
            <v/>
          </cell>
          <cell r="BZ152" t="str">
            <v/>
          </cell>
          <cell r="CA152" t="str">
            <v/>
          </cell>
          <cell r="CB152" t="str">
            <v/>
          </cell>
          <cell r="CC152" t="str">
            <v/>
          </cell>
          <cell r="CD152" t="str">
            <v/>
          </cell>
          <cell r="CE152" t="str">
            <v/>
          </cell>
          <cell r="CF152" t="str">
            <v/>
          </cell>
          <cell r="CG152" t="str">
            <v/>
          </cell>
          <cell r="CH152" t="str">
            <v/>
          </cell>
          <cell r="CI152" t="str">
            <v/>
          </cell>
          <cell r="CJ152" t="str">
            <v/>
          </cell>
          <cell r="CK152" t="str">
            <v/>
          </cell>
          <cell r="CL152">
            <v>0</v>
          </cell>
          <cell r="CM152">
            <v>0</v>
          </cell>
          <cell r="CN152">
            <v>0</v>
          </cell>
          <cell r="CO152" t="str">
            <v>N.R</v>
          </cell>
          <cell r="CP152" t="str">
            <v/>
          </cell>
          <cell r="CQ152">
            <v>41</v>
          </cell>
          <cell r="CR152">
            <v>87</v>
          </cell>
          <cell r="CS152" t="e">
            <v>#VALUE!</v>
          </cell>
          <cell r="CT152" t="str">
            <v/>
          </cell>
          <cell r="CU152">
            <v>35</v>
          </cell>
          <cell r="CV152">
            <v>74</v>
          </cell>
          <cell r="CW152" t="e">
            <v>#VALUE!</v>
          </cell>
          <cell r="CX152" t="str">
            <v/>
          </cell>
          <cell r="CY152">
            <v>59</v>
          </cell>
          <cell r="CZ152">
            <v>97</v>
          </cell>
          <cell r="DA152" t="e">
            <v>#VALUE!</v>
          </cell>
          <cell r="DB152" t="str">
            <v/>
          </cell>
          <cell r="DC152">
            <v>0</v>
          </cell>
          <cell r="DD152">
            <v>0</v>
          </cell>
          <cell r="DE152" t="e">
            <v>#VALUE!</v>
          </cell>
          <cell r="DF152" t="str">
            <v/>
          </cell>
          <cell r="DG152">
            <v>33</v>
          </cell>
          <cell r="DH152">
            <v>87</v>
          </cell>
          <cell r="DI152" t="e">
            <v>#VALUE!</v>
          </cell>
          <cell r="DJ152" t="str">
            <v/>
          </cell>
          <cell r="DK152">
            <v>29</v>
          </cell>
          <cell r="DL152">
            <v>88</v>
          </cell>
          <cell r="DM152" t="e">
            <v>#VALUE!</v>
          </cell>
          <cell r="DN152" t="str">
            <v/>
          </cell>
          <cell r="DO152">
            <v>35</v>
          </cell>
          <cell r="DP152">
            <v>92</v>
          </cell>
          <cell r="DQ152" t="e">
            <v>#VALUE!</v>
          </cell>
          <cell r="DR152" t="str">
            <v/>
          </cell>
          <cell r="DS152">
            <v>0</v>
          </cell>
          <cell r="DT152">
            <v>81</v>
          </cell>
          <cell r="DU152" t="e">
            <v>#VALUE!</v>
          </cell>
          <cell r="DV152" t="str">
            <v/>
          </cell>
          <cell r="DW152">
            <v>0</v>
          </cell>
          <cell r="DX152">
            <v>0</v>
          </cell>
          <cell r="DY152" t="e">
            <v>#VALUE!</v>
          </cell>
          <cell r="DZ152" t="str">
            <v/>
          </cell>
          <cell r="EA152">
            <v>0</v>
          </cell>
          <cell r="EB152">
            <v>86</v>
          </cell>
          <cell r="EC152" t="e">
            <v>#VALUE!</v>
          </cell>
          <cell r="ED152" t="str">
            <v/>
          </cell>
          <cell r="EE152">
            <v>0</v>
          </cell>
          <cell r="EF152">
            <v>142</v>
          </cell>
          <cell r="EG152" t="e">
            <v>#VALUE!</v>
          </cell>
          <cell r="EH152" t="str">
            <v/>
          </cell>
          <cell r="EI152">
            <v>0</v>
          </cell>
          <cell r="EJ152">
            <v>89</v>
          </cell>
          <cell r="EK152" t="e">
            <v>#VALUE!</v>
          </cell>
          <cell r="EL152" t="str">
            <v/>
          </cell>
          <cell r="EM152">
            <v>0</v>
          </cell>
          <cell r="EN152">
            <v>91</v>
          </cell>
          <cell r="EO152" t="e">
            <v>#VALUE!</v>
          </cell>
          <cell r="EP152" t="str">
            <v/>
          </cell>
          <cell r="EQ152">
            <v>0</v>
          </cell>
          <cell r="ER152">
            <v>0</v>
          </cell>
          <cell r="ES152" t="e">
            <v>#VALUE!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str">
            <v/>
          </cell>
          <cell r="P153" t="str">
            <v/>
          </cell>
          <cell r="Q153" t="str">
            <v/>
          </cell>
          <cell r="R153" t="str">
            <v/>
          </cell>
          <cell r="S153" t="str">
            <v/>
          </cell>
          <cell r="T153" t="str">
            <v/>
          </cell>
          <cell r="U153" t="str">
            <v/>
          </cell>
          <cell r="V153" t="str">
            <v/>
          </cell>
          <cell r="W153" t="str">
            <v/>
          </cell>
          <cell r="X153" t="str">
            <v/>
          </cell>
          <cell r="Y153" t="str">
            <v/>
          </cell>
          <cell r="Z153" t="str">
            <v/>
          </cell>
          <cell r="AA153" t="str">
            <v/>
          </cell>
          <cell r="AB153" t="str">
            <v/>
          </cell>
          <cell r="AC153" t="str">
            <v/>
          </cell>
          <cell r="AD153" t="str">
            <v/>
          </cell>
          <cell r="AE153" t="str">
            <v/>
          </cell>
          <cell r="AF153" t="str">
            <v/>
          </cell>
          <cell r="AG153" t="str">
            <v/>
          </cell>
          <cell r="AH153" t="str">
            <v/>
          </cell>
          <cell r="AI153" t="str">
            <v/>
          </cell>
          <cell r="AJ153" t="str">
            <v/>
          </cell>
          <cell r="AK153" t="str">
            <v/>
          </cell>
          <cell r="AL153" t="str">
            <v/>
          </cell>
          <cell r="AM153" t="str">
            <v/>
          </cell>
          <cell r="AN153" t="str">
            <v/>
          </cell>
          <cell r="AO153" t="str">
            <v/>
          </cell>
          <cell r="AP153" t="str">
            <v/>
          </cell>
          <cell r="AQ153" t="str">
            <v/>
          </cell>
          <cell r="AR153" t="str">
            <v/>
          </cell>
          <cell r="AS153" t="str">
            <v/>
          </cell>
          <cell r="AT153" t="str">
            <v/>
          </cell>
          <cell r="AU153" t="str">
            <v/>
          </cell>
          <cell r="AV153" t="str">
            <v/>
          </cell>
          <cell r="AW153" t="str">
            <v/>
          </cell>
          <cell r="AX153" t="str">
            <v/>
          </cell>
          <cell r="AY153" t="str">
            <v/>
          </cell>
          <cell r="AZ153" t="str">
            <v/>
          </cell>
          <cell r="BA153" t="str">
            <v/>
          </cell>
          <cell r="BB153" t="str">
            <v/>
          </cell>
          <cell r="BC153" t="str">
            <v/>
          </cell>
          <cell r="BD153" t="str">
            <v/>
          </cell>
          <cell r="BE153" t="str">
            <v/>
          </cell>
          <cell r="BF153" t="str">
            <v/>
          </cell>
          <cell r="BG153" t="str">
            <v/>
          </cell>
          <cell r="BH153" t="str">
            <v/>
          </cell>
          <cell r="BI153" t="str">
            <v/>
          </cell>
          <cell r="BJ153" t="str">
            <v/>
          </cell>
          <cell r="BK153" t="str">
            <v/>
          </cell>
          <cell r="BL153" t="str">
            <v/>
          </cell>
          <cell r="BM153" t="str">
            <v/>
          </cell>
          <cell r="BN153" t="str">
            <v/>
          </cell>
          <cell r="BO153" t="str">
            <v/>
          </cell>
          <cell r="BP153" t="str">
            <v/>
          </cell>
          <cell r="BQ153" t="str">
            <v/>
          </cell>
          <cell r="BR153" t="str">
            <v/>
          </cell>
          <cell r="BS153" t="str">
            <v/>
          </cell>
          <cell r="BT153" t="str">
            <v/>
          </cell>
          <cell r="BU153" t="str">
            <v/>
          </cell>
          <cell r="BV153" t="str">
            <v/>
          </cell>
          <cell r="BW153" t="str">
            <v/>
          </cell>
          <cell r="BX153" t="str">
            <v/>
          </cell>
          <cell r="BY153" t="str">
            <v/>
          </cell>
          <cell r="BZ153" t="str">
            <v/>
          </cell>
          <cell r="CA153" t="str">
            <v/>
          </cell>
          <cell r="CB153" t="str">
            <v/>
          </cell>
          <cell r="CC153" t="str">
            <v/>
          </cell>
          <cell r="CD153" t="str">
            <v/>
          </cell>
          <cell r="CE153" t="str">
            <v/>
          </cell>
          <cell r="CF153" t="str">
            <v/>
          </cell>
          <cell r="CG153" t="str">
            <v/>
          </cell>
          <cell r="CH153" t="str">
            <v/>
          </cell>
          <cell r="CI153" t="str">
            <v/>
          </cell>
          <cell r="CJ153" t="str">
            <v/>
          </cell>
          <cell r="CK153" t="str">
            <v/>
          </cell>
          <cell r="CL153">
            <v>0</v>
          </cell>
          <cell r="CM153">
            <v>0</v>
          </cell>
          <cell r="CN153">
            <v>0</v>
          </cell>
          <cell r="CO153" t="str">
            <v>N.R</v>
          </cell>
          <cell r="CP153" t="str">
            <v/>
          </cell>
          <cell r="CQ153">
            <v>41</v>
          </cell>
          <cell r="CR153">
            <v>87</v>
          </cell>
          <cell r="CS153" t="e">
            <v>#VALUE!</v>
          </cell>
          <cell r="CT153" t="str">
            <v/>
          </cell>
          <cell r="CU153">
            <v>35</v>
          </cell>
          <cell r="CV153">
            <v>74</v>
          </cell>
          <cell r="CW153" t="e">
            <v>#VALUE!</v>
          </cell>
          <cell r="CX153" t="str">
            <v/>
          </cell>
          <cell r="CY153">
            <v>59</v>
          </cell>
          <cell r="CZ153">
            <v>97</v>
          </cell>
          <cell r="DA153" t="e">
            <v>#VALUE!</v>
          </cell>
          <cell r="DB153" t="str">
            <v/>
          </cell>
          <cell r="DC153">
            <v>0</v>
          </cell>
          <cell r="DD153">
            <v>0</v>
          </cell>
          <cell r="DE153" t="e">
            <v>#VALUE!</v>
          </cell>
          <cell r="DF153" t="str">
            <v/>
          </cell>
          <cell r="DG153">
            <v>33</v>
          </cell>
          <cell r="DH153">
            <v>87</v>
          </cell>
          <cell r="DI153" t="e">
            <v>#VALUE!</v>
          </cell>
          <cell r="DJ153" t="str">
            <v/>
          </cell>
          <cell r="DK153">
            <v>29</v>
          </cell>
          <cell r="DL153">
            <v>88</v>
          </cell>
          <cell r="DM153" t="e">
            <v>#VALUE!</v>
          </cell>
          <cell r="DN153" t="str">
            <v/>
          </cell>
          <cell r="DO153">
            <v>35</v>
          </cell>
          <cell r="DP153">
            <v>92</v>
          </cell>
          <cell r="DQ153" t="e">
            <v>#VALUE!</v>
          </cell>
          <cell r="DR153" t="str">
            <v/>
          </cell>
          <cell r="DS153">
            <v>0</v>
          </cell>
          <cell r="DT153">
            <v>81</v>
          </cell>
          <cell r="DU153" t="e">
            <v>#VALUE!</v>
          </cell>
          <cell r="DV153" t="str">
            <v/>
          </cell>
          <cell r="DW153">
            <v>0</v>
          </cell>
          <cell r="DX153">
            <v>0</v>
          </cell>
          <cell r="DY153" t="e">
            <v>#VALUE!</v>
          </cell>
          <cell r="DZ153" t="str">
            <v/>
          </cell>
          <cell r="EA153">
            <v>0</v>
          </cell>
          <cell r="EB153">
            <v>86</v>
          </cell>
          <cell r="EC153" t="e">
            <v>#VALUE!</v>
          </cell>
          <cell r="ED153" t="str">
            <v/>
          </cell>
          <cell r="EE153">
            <v>0</v>
          </cell>
          <cell r="EF153">
            <v>143</v>
          </cell>
          <cell r="EG153" t="e">
            <v>#VALUE!</v>
          </cell>
          <cell r="EH153" t="str">
            <v/>
          </cell>
          <cell r="EI153">
            <v>0</v>
          </cell>
          <cell r="EJ153">
            <v>89</v>
          </cell>
          <cell r="EK153" t="e">
            <v>#VALUE!</v>
          </cell>
          <cell r="EL153" t="str">
            <v/>
          </cell>
          <cell r="EM153">
            <v>0</v>
          </cell>
          <cell r="EN153">
            <v>91</v>
          </cell>
          <cell r="EO153" t="e">
            <v>#VALUE!</v>
          </cell>
          <cell r="EP153" t="str">
            <v/>
          </cell>
          <cell r="EQ153">
            <v>0</v>
          </cell>
          <cell r="ER153">
            <v>0</v>
          </cell>
          <cell r="ES153" t="e">
            <v>#VALUE!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str">
            <v/>
          </cell>
          <cell r="P154" t="str">
            <v/>
          </cell>
          <cell r="Q154" t="str">
            <v/>
          </cell>
          <cell r="R154" t="str">
            <v/>
          </cell>
          <cell r="S154" t="str">
            <v/>
          </cell>
          <cell r="T154" t="str">
            <v/>
          </cell>
          <cell r="U154" t="str">
            <v/>
          </cell>
          <cell r="V154" t="str">
            <v/>
          </cell>
          <cell r="W154" t="str">
            <v/>
          </cell>
          <cell r="X154" t="str">
            <v/>
          </cell>
          <cell r="Y154" t="str">
            <v/>
          </cell>
          <cell r="Z154" t="str">
            <v/>
          </cell>
          <cell r="AA154" t="str">
            <v/>
          </cell>
          <cell r="AB154" t="str">
            <v/>
          </cell>
          <cell r="AC154" t="str">
            <v/>
          </cell>
          <cell r="AD154" t="str">
            <v/>
          </cell>
          <cell r="AE154" t="str">
            <v/>
          </cell>
          <cell r="AF154" t="str">
            <v/>
          </cell>
          <cell r="AG154" t="str">
            <v/>
          </cell>
          <cell r="AH154" t="str">
            <v/>
          </cell>
          <cell r="AI154" t="str">
            <v/>
          </cell>
          <cell r="AJ154" t="str">
            <v/>
          </cell>
          <cell r="AK154" t="str">
            <v/>
          </cell>
          <cell r="AL154" t="str">
            <v/>
          </cell>
          <cell r="AM154" t="str">
            <v/>
          </cell>
          <cell r="AN154" t="str">
            <v/>
          </cell>
          <cell r="AO154" t="str">
            <v/>
          </cell>
          <cell r="AP154" t="str">
            <v/>
          </cell>
          <cell r="AQ154" t="str">
            <v/>
          </cell>
          <cell r="AR154" t="str">
            <v/>
          </cell>
          <cell r="AS154" t="str">
            <v/>
          </cell>
          <cell r="AT154" t="str">
            <v/>
          </cell>
          <cell r="AU154" t="str">
            <v/>
          </cell>
          <cell r="AV154" t="str">
            <v/>
          </cell>
          <cell r="AW154" t="str">
            <v/>
          </cell>
          <cell r="AX154" t="str">
            <v/>
          </cell>
          <cell r="AY154" t="str">
            <v/>
          </cell>
          <cell r="AZ154" t="str">
            <v/>
          </cell>
          <cell r="BA154" t="str">
            <v/>
          </cell>
          <cell r="BB154" t="str">
            <v/>
          </cell>
          <cell r="BC154" t="str">
            <v/>
          </cell>
          <cell r="BD154" t="str">
            <v/>
          </cell>
          <cell r="BE154" t="str">
            <v/>
          </cell>
          <cell r="BF154" t="str">
            <v/>
          </cell>
          <cell r="BG154" t="str">
            <v/>
          </cell>
          <cell r="BH154" t="str">
            <v/>
          </cell>
          <cell r="BI154" t="str">
            <v/>
          </cell>
          <cell r="BJ154" t="str">
            <v/>
          </cell>
          <cell r="BK154" t="str">
            <v/>
          </cell>
          <cell r="BL154" t="str">
            <v/>
          </cell>
          <cell r="BM154" t="str">
            <v/>
          </cell>
          <cell r="BN154" t="str">
            <v/>
          </cell>
          <cell r="BO154" t="str">
            <v/>
          </cell>
          <cell r="BP154" t="str">
            <v/>
          </cell>
          <cell r="BQ154" t="str">
            <v/>
          </cell>
          <cell r="BR154" t="str">
            <v/>
          </cell>
          <cell r="BS154" t="str">
            <v/>
          </cell>
          <cell r="BT154" t="str">
            <v/>
          </cell>
          <cell r="BU154" t="str">
            <v/>
          </cell>
          <cell r="BV154" t="str">
            <v/>
          </cell>
          <cell r="BW154" t="str">
            <v/>
          </cell>
          <cell r="BX154" t="str">
            <v/>
          </cell>
          <cell r="BY154" t="str">
            <v/>
          </cell>
          <cell r="BZ154" t="str">
            <v/>
          </cell>
          <cell r="CA154" t="str">
            <v/>
          </cell>
          <cell r="CB154" t="str">
            <v/>
          </cell>
          <cell r="CC154" t="str">
            <v/>
          </cell>
          <cell r="CD154" t="str">
            <v/>
          </cell>
          <cell r="CE154" t="str">
            <v/>
          </cell>
          <cell r="CF154" t="str">
            <v/>
          </cell>
          <cell r="CG154" t="str">
            <v/>
          </cell>
          <cell r="CH154" t="str">
            <v/>
          </cell>
          <cell r="CI154" t="str">
            <v/>
          </cell>
          <cell r="CJ154" t="str">
            <v/>
          </cell>
          <cell r="CK154" t="str">
            <v/>
          </cell>
          <cell r="CL154">
            <v>0</v>
          </cell>
          <cell r="CM154">
            <v>0</v>
          </cell>
          <cell r="CN154">
            <v>0</v>
          </cell>
          <cell r="CO154" t="str">
            <v>N.R</v>
          </cell>
          <cell r="CP154" t="str">
            <v/>
          </cell>
          <cell r="CQ154">
            <v>41</v>
          </cell>
          <cell r="CR154">
            <v>87</v>
          </cell>
          <cell r="CS154" t="e">
            <v>#VALUE!</v>
          </cell>
          <cell r="CT154" t="str">
            <v/>
          </cell>
          <cell r="CU154">
            <v>35</v>
          </cell>
          <cell r="CV154">
            <v>74</v>
          </cell>
          <cell r="CW154" t="e">
            <v>#VALUE!</v>
          </cell>
          <cell r="CX154" t="str">
            <v/>
          </cell>
          <cell r="CY154">
            <v>59</v>
          </cell>
          <cell r="CZ154">
            <v>97</v>
          </cell>
          <cell r="DA154" t="e">
            <v>#VALUE!</v>
          </cell>
          <cell r="DB154" t="str">
            <v/>
          </cell>
          <cell r="DC154">
            <v>0</v>
          </cell>
          <cell r="DD154">
            <v>0</v>
          </cell>
          <cell r="DE154" t="e">
            <v>#VALUE!</v>
          </cell>
          <cell r="DF154" t="str">
            <v/>
          </cell>
          <cell r="DG154">
            <v>33</v>
          </cell>
          <cell r="DH154">
            <v>87</v>
          </cell>
          <cell r="DI154" t="e">
            <v>#VALUE!</v>
          </cell>
          <cell r="DJ154" t="str">
            <v/>
          </cell>
          <cell r="DK154">
            <v>29</v>
          </cell>
          <cell r="DL154">
            <v>88</v>
          </cell>
          <cell r="DM154" t="e">
            <v>#VALUE!</v>
          </cell>
          <cell r="DN154" t="str">
            <v/>
          </cell>
          <cell r="DO154">
            <v>35</v>
          </cell>
          <cell r="DP154">
            <v>92</v>
          </cell>
          <cell r="DQ154" t="e">
            <v>#VALUE!</v>
          </cell>
          <cell r="DR154" t="str">
            <v/>
          </cell>
          <cell r="DS154">
            <v>0</v>
          </cell>
          <cell r="DT154">
            <v>81</v>
          </cell>
          <cell r="DU154" t="e">
            <v>#VALUE!</v>
          </cell>
          <cell r="DV154" t="str">
            <v/>
          </cell>
          <cell r="DW154">
            <v>0</v>
          </cell>
          <cell r="DX154">
            <v>0</v>
          </cell>
          <cell r="DY154" t="e">
            <v>#VALUE!</v>
          </cell>
          <cell r="DZ154" t="str">
            <v/>
          </cell>
          <cell r="EA154">
            <v>0</v>
          </cell>
          <cell r="EB154">
            <v>86</v>
          </cell>
          <cell r="EC154" t="e">
            <v>#VALUE!</v>
          </cell>
          <cell r="ED154" t="str">
            <v/>
          </cell>
          <cell r="EE154">
            <v>0</v>
          </cell>
          <cell r="EF154">
            <v>144</v>
          </cell>
          <cell r="EG154" t="e">
            <v>#VALUE!</v>
          </cell>
          <cell r="EH154" t="str">
            <v/>
          </cell>
          <cell r="EI154">
            <v>0</v>
          </cell>
          <cell r="EJ154">
            <v>89</v>
          </cell>
          <cell r="EK154" t="e">
            <v>#VALUE!</v>
          </cell>
          <cell r="EL154" t="str">
            <v/>
          </cell>
          <cell r="EM154">
            <v>0</v>
          </cell>
          <cell r="EN154">
            <v>91</v>
          </cell>
          <cell r="EO154" t="e">
            <v>#VALUE!</v>
          </cell>
          <cell r="EP154" t="str">
            <v/>
          </cell>
          <cell r="EQ154">
            <v>0</v>
          </cell>
          <cell r="ER154">
            <v>0</v>
          </cell>
          <cell r="ES154" t="e">
            <v>#VALUE!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str">
            <v/>
          </cell>
          <cell r="P155" t="str">
            <v/>
          </cell>
          <cell r="Q155" t="str">
            <v/>
          </cell>
          <cell r="R155" t="str">
            <v/>
          </cell>
          <cell r="S155" t="str">
            <v/>
          </cell>
          <cell r="T155" t="str">
            <v/>
          </cell>
          <cell r="U155" t="str">
            <v/>
          </cell>
          <cell r="V155" t="str">
            <v/>
          </cell>
          <cell r="W155" t="str">
            <v/>
          </cell>
          <cell r="X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 t="str">
            <v/>
          </cell>
          <cell r="AD155" t="str">
            <v/>
          </cell>
          <cell r="AE155" t="str">
            <v/>
          </cell>
          <cell r="AF155" t="str">
            <v/>
          </cell>
          <cell r="AG155" t="str">
            <v/>
          </cell>
          <cell r="AH155" t="str">
            <v/>
          </cell>
          <cell r="AI155" t="str">
            <v/>
          </cell>
          <cell r="AJ155" t="str">
            <v/>
          </cell>
          <cell r="AK155" t="str">
            <v/>
          </cell>
          <cell r="AL155" t="str">
            <v/>
          </cell>
          <cell r="AM155" t="str">
            <v/>
          </cell>
          <cell r="AN155" t="str">
            <v/>
          </cell>
          <cell r="AO155" t="str">
            <v/>
          </cell>
          <cell r="AP155" t="str">
            <v/>
          </cell>
          <cell r="AQ155" t="str">
            <v/>
          </cell>
          <cell r="AR155" t="str">
            <v/>
          </cell>
          <cell r="AS155" t="str">
            <v/>
          </cell>
          <cell r="AT155" t="str">
            <v/>
          </cell>
          <cell r="AU155" t="str">
            <v/>
          </cell>
          <cell r="AV155" t="str">
            <v/>
          </cell>
          <cell r="AW155" t="str">
            <v/>
          </cell>
          <cell r="AX155" t="str">
            <v/>
          </cell>
          <cell r="AY155" t="str">
            <v/>
          </cell>
          <cell r="AZ155" t="str">
            <v/>
          </cell>
          <cell r="BA155" t="str">
            <v/>
          </cell>
          <cell r="BB155" t="str">
            <v/>
          </cell>
          <cell r="BC155" t="str">
            <v/>
          </cell>
          <cell r="BD155" t="str">
            <v/>
          </cell>
          <cell r="BE155" t="str">
            <v/>
          </cell>
          <cell r="BF155" t="str">
            <v/>
          </cell>
          <cell r="BG155" t="str">
            <v/>
          </cell>
          <cell r="BH155" t="str">
            <v/>
          </cell>
          <cell r="BI155" t="str">
            <v/>
          </cell>
          <cell r="BJ155" t="str">
            <v/>
          </cell>
          <cell r="BK155" t="str">
            <v/>
          </cell>
          <cell r="BL155" t="str">
            <v/>
          </cell>
          <cell r="BM155" t="str">
            <v/>
          </cell>
          <cell r="BN155" t="str">
            <v/>
          </cell>
          <cell r="BO155" t="str">
            <v/>
          </cell>
          <cell r="BP155" t="str">
            <v/>
          </cell>
          <cell r="BQ155" t="str">
            <v/>
          </cell>
          <cell r="BR155" t="str">
            <v/>
          </cell>
          <cell r="BS155" t="str">
            <v/>
          </cell>
          <cell r="BT155" t="str">
            <v/>
          </cell>
          <cell r="BU155" t="str">
            <v/>
          </cell>
          <cell r="BV155" t="str">
            <v/>
          </cell>
          <cell r="BW155" t="str">
            <v/>
          </cell>
          <cell r="BX155" t="str">
            <v/>
          </cell>
          <cell r="BY155" t="str">
            <v/>
          </cell>
          <cell r="BZ155" t="str">
            <v/>
          </cell>
          <cell r="CA155" t="str">
            <v/>
          </cell>
          <cell r="CB155" t="str">
            <v/>
          </cell>
          <cell r="CC155" t="str">
            <v/>
          </cell>
          <cell r="CD155" t="str">
            <v/>
          </cell>
          <cell r="CE155" t="str">
            <v/>
          </cell>
          <cell r="CF155" t="str">
            <v/>
          </cell>
          <cell r="CG155" t="str">
            <v/>
          </cell>
          <cell r="CH155" t="str">
            <v/>
          </cell>
          <cell r="CI155" t="str">
            <v/>
          </cell>
          <cell r="CJ155" t="str">
            <v/>
          </cell>
          <cell r="CK155" t="str">
            <v/>
          </cell>
          <cell r="CL155">
            <v>0</v>
          </cell>
          <cell r="CM155">
            <v>0</v>
          </cell>
          <cell r="CN155">
            <v>0</v>
          </cell>
          <cell r="CO155" t="str">
            <v>N.R</v>
          </cell>
          <cell r="CP155" t="str">
            <v/>
          </cell>
          <cell r="CQ155">
            <v>41</v>
          </cell>
          <cell r="CR155">
            <v>87</v>
          </cell>
          <cell r="CS155" t="e">
            <v>#VALUE!</v>
          </cell>
          <cell r="CT155" t="str">
            <v/>
          </cell>
          <cell r="CU155">
            <v>35</v>
          </cell>
          <cell r="CV155">
            <v>74</v>
          </cell>
          <cell r="CW155" t="e">
            <v>#VALUE!</v>
          </cell>
          <cell r="CX155" t="str">
            <v/>
          </cell>
          <cell r="CY155">
            <v>59</v>
          </cell>
          <cell r="CZ155">
            <v>97</v>
          </cell>
          <cell r="DA155" t="e">
            <v>#VALUE!</v>
          </cell>
          <cell r="DB155" t="str">
            <v/>
          </cell>
          <cell r="DC155">
            <v>0</v>
          </cell>
          <cell r="DD155">
            <v>0</v>
          </cell>
          <cell r="DE155" t="e">
            <v>#VALUE!</v>
          </cell>
          <cell r="DF155" t="str">
            <v/>
          </cell>
          <cell r="DG155">
            <v>33</v>
          </cell>
          <cell r="DH155">
            <v>87</v>
          </cell>
          <cell r="DI155" t="e">
            <v>#VALUE!</v>
          </cell>
          <cell r="DJ155" t="str">
            <v/>
          </cell>
          <cell r="DK155">
            <v>29</v>
          </cell>
          <cell r="DL155">
            <v>88</v>
          </cell>
          <cell r="DM155" t="e">
            <v>#VALUE!</v>
          </cell>
          <cell r="DN155" t="str">
            <v/>
          </cell>
          <cell r="DO155">
            <v>35</v>
          </cell>
          <cell r="DP155">
            <v>92</v>
          </cell>
          <cell r="DQ155" t="e">
            <v>#VALUE!</v>
          </cell>
          <cell r="DR155" t="str">
            <v/>
          </cell>
          <cell r="DS155">
            <v>0</v>
          </cell>
          <cell r="DT155">
            <v>81</v>
          </cell>
          <cell r="DU155" t="e">
            <v>#VALUE!</v>
          </cell>
          <cell r="DV155" t="str">
            <v/>
          </cell>
          <cell r="DW155">
            <v>0</v>
          </cell>
          <cell r="DX155">
            <v>0</v>
          </cell>
          <cell r="DY155" t="e">
            <v>#VALUE!</v>
          </cell>
          <cell r="DZ155" t="str">
            <v/>
          </cell>
          <cell r="EA155">
            <v>0</v>
          </cell>
          <cell r="EB155">
            <v>86</v>
          </cell>
          <cell r="EC155" t="e">
            <v>#VALUE!</v>
          </cell>
          <cell r="ED155" t="str">
            <v/>
          </cell>
          <cell r="EE155">
            <v>0</v>
          </cell>
          <cell r="EF155">
            <v>145</v>
          </cell>
          <cell r="EG155" t="e">
            <v>#VALUE!</v>
          </cell>
          <cell r="EH155" t="str">
            <v/>
          </cell>
          <cell r="EI155">
            <v>0</v>
          </cell>
          <cell r="EJ155">
            <v>89</v>
          </cell>
          <cell r="EK155" t="e">
            <v>#VALUE!</v>
          </cell>
          <cell r="EL155" t="str">
            <v/>
          </cell>
          <cell r="EM155">
            <v>0</v>
          </cell>
          <cell r="EN155">
            <v>91</v>
          </cell>
          <cell r="EO155" t="e">
            <v>#VALUE!</v>
          </cell>
          <cell r="EP155" t="str">
            <v/>
          </cell>
          <cell r="EQ155">
            <v>0</v>
          </cell>
          <cell r="ER155">
            <v>0</v>
          </cell>
          <cell r="ES155" t="e">
            <v>#VALUE!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  <cell r="O156" t="str">
            <v/>
          </cell>
          <cell r="P156" t="str">
            <v/>
          </cell>
          <cell r="Q156" t="str">
            <v/>
          </cell>
          <cell r="R156" t="str">
            <v/>
          </cell>
          <cell r="S156" t="str">
            <v/>
          </cell>
          <cell r="T156" t="str">
            <v/>
          </cell>
          <cell r="U156" t="str">
            <v/>
          </cell>
          <cell r="V156" t="str">
            <v/>
          </cell>
          <cell r="W156" t="str">
            <v/>
          </cell>
          <cell r="X156" t="str">
            <v/>
          </cell>
          <cell r="Y156" t="str">
            <v/>
          </cell>
          <cell r="Z156" t="str">
            <v/>
          </cell>
          <cell r="AA156" t="str">
            <v/>
          </cell>
          <cell r="AB156" t="str">
            <v/>
          </cell>
          <cell r="AC156" t="str">
            <v/>
          </cell>
          <cell r="AD156" t="str">
            <v/>
          </cell>
          <cell r="AE156" t="str">
            <v/>
          </cell>
          <cell r="AF156" t="str">
            <v/>
          </cell>
          <cell r="AG156" t="str">
            <v/>
          </cell>
          <cell r="AH156" t="str">
            <v/>
          </cell>
          <cell r="AI156" t="str">
            <v/>
          </cell>
          <cell r="AJ156" t="str">
            <v/>
          </cell>
          <cell r="AK156" t="str">
            <v/>
          </cell>
          <cell r="AL156" t="str">
            <v/>
          </cell>
          <cell r="AM156" t="str">
            <v/>
          </cell>
          <cell r="AN156" t="str">
            <v/>
          </cell>
          <cell r="AO156" t="str">
            <v/>
          </cell>
          <cell r="AP156" t="str">
            <v/>
          </cell>
          <cell r="AQ156" t="str">
            <v/>
          </cell>
          <cell r="AR156" t="str">
            <v/>
          </cell>
          <cell r="AS156" t="str">
            <v/>
          </cell>
          <cell r="AT156" t="str">
            <v/>
          </cell>
          <cell r="AU156" t="str">
            <v/>
          </cell>
          <cell r="AV156" t="str">
            <v/>
          </cell>
          <cell r="AW156" t="str">
            <v/>
          </cell>
          <cell r="AX156" t="str">
            <v/>
          </cell>
          <cell r="AY156" t="str">
            <v/>
          </cell>
          <cell r="AZ156" t="str">
            <v/>
          </cell>
          <cell r="BA156" t="str">
            <v/>
          </cell>
          <cell r="BB156" t="str">
            <v/>
          </cell>
          <cell r="BC156" t="str">
            <v/>
          </cell>
          <cell r="BD156" t="str">
            <v/>
          </cell>
          <cell r="BE156" t="str">
            <v/>
          </cell>
          <cell r="BF156" t="str">
            <v/>
          </cell>
          <cell r="BG156" t="str">
            <v/>
          </cell>
          <cell r="BH156" t="str">
            <v/>
          </cell>
          <cell r="BI156" t="str">
            <v/>
          </cell>
          <cell r="BJ156" t="str">
            <v/>
          </cell>
          <cell r="BK156" t="str">
            <v/>
          </cell>
          <cell r="BL156" t="str">
            <v/>
          </cell>
          <cell r="BM156" t="str">
            <v/>
          </cell>
          <cell r="BN156" t="str">
            <v/>
          </cell>
          <cell r="BO156" t="str">
            <v/>
          </cell>
          <cell r="BP156" t="str">
            <v/>
          </cell>
          <cell r="BQ156" t="str">
            <v/>
          </cell>
          <cell r="BR156" t="str">
            <v/>
          </cell>
          <cell r="BS156" t="str">
            <v/>
          </cell>
          <cell r="BT156" t="str">
            <v/>
          </cell>
          <cell r="BU156" t="str">
            <v/>
          </cell>
          <cell r="BV156" t="str">
            <v/>
          </cell>
          <cell r="BW156" t="str">
            <v/>
          </cell>
          <cell r="BX156" t="str">
            <v/>
          </cell>
          <cell r="BY156" t="str">
            <v/>
          </cell>
          <cell r="BZ156" t="str">
            <v/>
          </cell>
          <cell r="CA156" t="str">
            <v/>
          </cell>
          <cell r="CB156" t="str">
            <v/>
          </cell>
          <cell r="CC156" t="str">
            <v/>
          </cell>
          <cell r="CD156" t="str">
            <v/>
          </cell>
          <cell r="CE156" t="str">
            <v/>
          </cell>
          <cell r="CF156" t="str">
            <v/>
          </cell>
          <cell r="CG156" t="str">
            <v/>
          </cell>
          <cell r="CH156" t="str">
            <v/>
          </cell>
          <cell r="CI156" t="str">
            <v/>
          </cell>
          <cell r="CJ156" t="str">
            <v/>
          </cell>
          <cell r="CK156" t="str">
            <v/>
          </cell>
          <cell r="CL156">
            <v>0</v>
          </cell>
          <cell r="CM156">
            <v>0</v>
          </cell>
          <cell r="CN156">
            <v>0</v>
          </cell>
          <cell r="CO156" t="str">
            <v>N.R</v>
          </cell>
          <cell r="CP156" t="str">
            <v/>
          </cell>
          <cell r="CQ156">
            <v>41</v>
          </cell>
          <cell r="CR156">
            <v>87</v>
          </cell>
          <cell r="CS156" t="e">
            <v>#VALUE!</v>
          </cell>
          <cell r="CT156" t="str">
            <v/>
          </cell>
          <cell r="CU156">
            <v>35</v>
          </cell>
          <cell r="CV156">
            <v>74</v>
          </cell>
          <cell r="CW156" t="e">
            <v>#VALUE!</v>
          </cell>
          <cell r="CX156" t="str">
            <v/>
          </cell>
          <cell r="CY156">
            <v>59</v>
          </cell>
          <cell r="CZ156">
            <v>97</v>
          </cell>
          <cell r="DA156" t="e">
            <v>#VALUE!</v>
          </cell>
          <cell r="DB156" t="str">
            <v/>
          </cell>
          <cell r="DC156">
            <v>0</v>
          </cell>
          <cell r="DD156">
            <v>0</v>
          </cell>
          <cell r="DE156" t="e">
            <v>#VALUE!</v>
          </cell>
          <cell r="DF156" t="str">
            <v/>
          </cell>
          <cell r="DG156">
            <v>33</v>
          </cell>
          <cell r="DH156">
            <v>87</v>
          </cell>
          <cell r="DI156" t="e">
            <v>#VALUE!</v>
          </cell>
          <cell r="DJ156" t="str">
            <v/>
          </cell>
          <cell r="DK156">
            <v>29</v>
          </cell>
          <cell r="DL156">
            <v>88</v>
          </cell>
          <cell r="DM156" t="e">
            <v>#VALUE!</v>
          </cell>
          <cell r="DN156" t="str">
            <v/>
          </cell>
          <cell r="DO156">
            <v>35</v>
          </cell>
          <cell r="DP156">
            <v>92</v>
          </cell>
          <cell r="DQ156" t="e">
            <v>#VALUE!</v>
          </cell>
          <cell r="DR156" t="str">
            <v/>
          </cell>
          <cell r="DS156">
            <v>0</v>
          </cell>
          <cell r="DT156">
            <v>81</v>
          </cell>
          <cell r="DU156" t="e">
            <v>#VALUE!</v>
          </cell>
          <cell r="DV156" t="str">
            <v/>
          </cell>
          <cell r="DW156">
            <v>0</v>
          </cell>
          <cell r="DX156">
            <v>0</v>
          </cell>
          <cell r="DY156" t="e">
            <v>#VALUE!</v>
          </cell>
          <cell r="DZ156" t="str">
            <v/>
          </cell>
          <cell r="EA156">
            <v>0</v>
          </cell>
          <cell r="EB156">
            <v>86</v>
          </cell>
          <cell r="EC156" t="e">
            <v>#VALUE!</v>
          </cell>
          <cell r="ED156" t="str">
            <v/>
          </cell>
          <cell r="EE156">
            <v>0</v>
          </cell>
          <cell r="EF156">
            <v>146</v>
          </cell>
          <cell r="EG156" t="e">
            <v>#VALUE!</v>
          </cell>
          <cell r="EH156" t="str">
            <v/>
          </cell>
          <cell r="EI156">
            <v>0</v>
          </cell>
          <cell r="EJ156">
            <v>89</v>
          </cell>
          <cell r="EK156" t="e">
            <v>#VALUE!</v>
          </cell>
          <cell r="EL156" t="str">
            <v/>
          </cell>
          <cell r="EM156">
            <v>0</v>
          </cell>
          <cell r="EN156">
            <v>91</v>
          </cell>
          <cell r="EO156" t="e">
            <v>#VALUE!</v>
          </cell>
          <cell r="EP156" t="str">
            <v/>
          </cell>
          <cell r="EQ156">
            <v>0</v>
          </cell>
          <cell r="ER156">
            <v>0</v>
          </cell>
          <cell r="ES156" t="e">
            <v>#VALUE!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  <cell r="Q157" t="str">
            <v/>
          </cell>
          <cell r="R157" t="str">
            <v/>
          </cell>
          <cell r="S157" t="str">
            <v/>
          </cell>
          <cell r="T157" t="str">
            <v/>
          </cell>
          <cell r="U157" t="str">
            <v/>
          </cell>
          <cell r="V157" t="str">
            <v/>
          </cell>
          <cell r="W157" t="str">
            <v/>
          </cell>
          <cell r="X157" t="str">
            <v/>
          </cell>
          <cell r="Y157" t="str">
            <v/>
          </cell>
          <cell r="Z157" t="str">
            <v/>
          </cell>
          <cell r="AA157" t="str">
            <v/>
          </cell>
          <cell r="AB157" t="str">
            <v/>
          </cell>
          <cell r="AC157" t="str">
            <v/>
          </cell>
          <cell r="AD157" t="str">
            <v/>
          </cell>
          <cell r="AE157" t="str">
            <v/>
          </cell>
          <cell r="AF157" t="str">
            <v/>
          </cell>
          <cell r="AG157" t="str">
            <v/>
          </cell>
          <cell r="AH157" t="str">
            <v/>
          </cell>
          <cell r="AI157" t="str">
            <v/>
          </cell>
          <cell r="AJ157" t="str">
            <v/>
          </cell>
          <cell r="AK157" t="str">
            <v/>
          </cell>
          <cell r="AL157" t="str">
            <v/>
          </cell>
          <cell r="AM157" t="str">
            <v/>
          </cell>
          <cell r="AN157" t="str">
            <v/>
          </cell>
          <cell r="AO157" t="str">
            <v/>
          </cell>
          <cell r="AP157" t="str">
            <v/>
          </cell>
          <cell r="AQ157" t="str">
            <v/>
          </cell>
          <cell r="AR157" t="str">
            <v/>
          </cell>
          <cell r="AS157" t="str">
            <v/>
          </cell>
          <cell r="AT157" t="str">
            <v/>
          </cell>
          <cell r="AU157" t="str">
            <v/>
          </cell>
          <cell r="AV157" t="str">
            <v/>
          </cell>
          <cell r="AW157" t="str">
            <v/>
          </cell>
          <cell r="AX157" t="str">
            <v/>
          </cell>
          <cell r="AY157" t="str">
            <v/>
          </cell>
          <cell r="AZ157" t="str">
            <v/>
          </cell>
          <cell r="BA157" t="str">
            <v/>
          </cell>
          <cell r="BB157" t="str">
            <v/>
          </cell>
          <cell r="BC157" t="str">
            <v/>
          </cell>
          <cell r="BD157" t="str">
            <v/>
          </cell>
          <cell r="BE157" t="str">
            <v/>
          </cell>
          <cell r="BF157" t="str">
            <v/>
          </cell>
          <cell r="BG157" t="str">
            <v/>
          </cell>
          <cell r="BH157" t="str">
            <v/>
          </cell>
          <cell r="BI157" t="str">
            <v/>
          </cell>
          <cell r="BJ157" t="str">
            <v/>
          </cell>
          <cell r="BK157" t="str">
            <v/>
          </cell>
          <cell r="BL157" t="str">
            <v/>
          </cell>
          <cell r="BM157" t="str">
            <v/>
          </cell>
          <cell r="BN157" t="str">
            <v/>
          </cell>
          <cell r="BO157" t="str">
            <v/>
          </cell>
          <cell r="BP157" t="str">
            <v/>
          </cell>
          <cell r="BQ157" t="str">
            <v/>
          </cell>
          <cell r="BR157" t="str">
            <v/>
          </cell>
          <cell r="BS157" t="str">
            <v/>
          </cell>
          <cell r="BT157" t="str">
            <v/>
          </cell>
          <cell r="BU157" t="str">
            <v/>
          </cell>
          <cell r="BV157" t="str">
            <v/>
          </cell>
          <cell r="BW157" t="str">
            <v/>
          </cell>
          <cell r="BX157" t="str">
            <v/>
          </cell>
          <cell r="BY157" t="str">
            <v/>
          </cell>
          <cell r="BZ157" t="str">
            <v/>
          </cell>
          <cell r="CA157" t="str">
            <v/>
          </cell>
          <cell r="CB157" t="str">
            <v/>
          </cell>
          <cell r="CC157" t="str">
            <v/>
          </cell>
          <cell r="CD157" t="str">
            <v/>
          </cell>
          <cell r="CE157" t="str">
            <v/>
          </cell>
          <cell r="CF157" t="str">
            <v/>
          </cell>
          <cell r="CG157" t="str">
            <v/>
          </cell>
          <cell r="CH157" t="str">
            <v/>
          </cell>
          <cell r="CI157" t="str">
            <v/>
          </cell>
          <cell r="CJ157" t="str">
            <v/>
          </cell>
          <cell r="CK157" t="str">
            <v/>
          </cell>
          <cell r="CL157">
            <v>0</v>
          </cell>
          <cell r="CM157">
            <v>0</v>
          </cell>
          <cell r="CN157">
            <v>0</v>
          </cell>
          <cell r="CO157" t="str">
            <v>N.R</v>
          </cell>
          <cell r="CP157" t="str">
            <v/>
          </cell>
          <cell r="CQ157">
            <v>41</v>
          </cell>
          <cell r="CR157">
            <v>87</v>
          </cell>
          <cell r="CS157" t="e">
            <v>#VALUE!</v>
          </cell>
          <cell r="CT157" t="str">
            <v/>
          </cell>
          <cell r="CU157">
            <v>35</v>
          </cell>
          <cell r="CV157">
            <v>74</v>
          </cell>
          <cell r="CW157" t="e">
            <v>#VALUE!</v>
          </cell>
          <cell r="CX157" t="str">
            <v/>
          </cell>
          <cell r="CY157">
            <v>59</v>
          </cell>
          <cell r="CZ157">
            <v>97</v>
          </cell>
          <cell r="DA157" t="e">
            <v>#VALUE!</v>
          </cell>
          <cell r="DB157" t="str">
            <v/>
          </cell>
          <cell r="DC157">
            <v>0</v>
          </cell>
          <cell r="DD157">
            <v>0</v>
          </cell>
          <cell r="DE157" t="e">
            <v>#VALUE!</v>
          </cell>
          <cell r="DF157" t="str">
            <v/>
          </cell>
          <cell r="DG157">
            <v>33</v>
          </cell>
          <cell r="DH157">
            <v>87</v>
          </cell>
          <cell r="DI157" t="e">
            <v>#VALUE!</v>
          </cell>
          <cell r="DJ157" t="str">
            <v/>
          </cell>
          <cell r="DK157">
            <v>29</v>
          </cell>
          <cell r="DL157">
            <v>88</v>
          </cell>
          <cell r="DM157" t="e">
            <v>#VALUE!</v>
          </cell>
          <cell r="DN157" t="str">
            <v/>
          </cell>
          <cell r="DO157">
            <v>35</v>
          </cell>
          <cell r="DP157">
            <v>92</v>
          </cell>
          <cell r="DQ157" t="e">
            <v>#VALUE!</v>
          </cell>
          <cell r="DR157" t="str">
            <v/>
          </cell>
          <cell r="DS157">
            <v>0</v>
          </cell>
          <cell r="DT157">
            <v>81</v>
          </cell>
          <cell r="DU157" t="e">
            <v>#VALUE!</v>
          </cell>
          <cell r="DV157" t="str">
            <v/>
          </cell>
          <cell r="DW157">
            <v>0</v>
          </cell>
          <cell r="DX157">
            <v>0</v>
          </cell>
          <cell r="DY157" t="e">
            <v>#VALUE!</v>
          </cell>
          <cell r="DZ157" t="str">
            <v/>
          </cell>
          <cell r="EA157">
            <v>0</v>
          </cell>
          <cell r="EB157">
            <v>86</v>
          </cell>
          <cell r="EC157" t="e">
            <v>#VALUE!</v>
          </cell>
          <cell r="ED157" t="str">
            <v/>
          </cell>
          <cell r="EE157">
            <v>0</v>
          </cell>
          <cell r="EF157">
            <v>147</v>
          </cell>
          <cell r="EG157" t="e">
            <v>#VALUE!</v>
          </cell>
          <cell r="EH157" t="str">
            <v/>
          </cell>
          <cell r="EI157">
            <v>0</v>
          </cell>
          <cell r="EJ157">
            <v>89</v>
          </cell>
          <cell r="EK157" t="e">
            <v>#VALUE!</v>
          </cell>
          <cell r="EL157" t="str">
            <v/>
          </cell>
          <cell r="EM157">
            <v>0</v>
          </cell>
          <cell r="EN157">
            <v>91</v>
          </cell>
          <cell r="EO157" t="e">
            <v>#VALUE!</v>
          </cell>
          <cell r="EP157" t="str">
            <v/>
          </cell>
          <cell r="EQ157">
            <v>0</v>
          </cell>
          <cell r="ER157">
            <v>0</v>
          </cell>
          <cell r="ES157" t="e">
            <v>#VALUE!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  <cell r="Q158" t="str">
            <v/>
          </cell>
          <cell r="R158" t="str">
            <v/>
          </cell>
          <cell r="S158" t="str">
            <v/>
          </cell>
          <cell r="T158" t="str">
            <v/>
          </cell>
          <cell r="U158" t="str">
            <v/>
          </cell>
          <cell r="V158" t="str">
            <v/>
          </cell>
          <cell r="W158" t="str">
            <v/>
          </cell>
          <cell r="X158" t="str">
            <v/>
          </cell>
          <cell r="Y158" t="str">
            <v/>
          </cell>
          <cell r="Z158" t="str">
            <v/>
          </cell>
          <cell r="AA158" t="str">
            <v/>
          </cell>
          <cell r="AB158" t="str">
            <v/>
          </cell>
          <cell r="AC158" t="str">
            <v/>
          </cell>
          <cell r="AD158" t="str">
            <v/>
          </cell>
          <cell r="AE158" t="str">
            <v/>
          </cell>
          <cell r="AF158" t="str">
            <v/>
          </cell>
          <cell r="AG158" t="str">
            <v/>
          </cell>
          <cell r="AH158" t="str">
            <v/>
          </cell>
          <cell r="AI158" t="str">
            <v/>
          </cell>
          <cell r="AJ158" t="str">
            <v/>
          </cell>
          <cell r="AK158" t="str">
            <v/>
          </cell>
          <cell r="AL158" t="str">
            <v/>
          </cell>
          <cell r="AM158" t="str">
            <v/>
          </cell>
          <cell r="AN158" t="str">
            <v/>
          </cell>
          <cell r="AO158" t="str">
            <v/>
          </cell>
          <cell r="AP158" t="str">
            <v/>
          </cell>
          <cell r="AQ158" t="str">
            <v/>
          </cell>
          <cell r="AR158" t="str">
            <v/>
          </cell>
          <cell r="AS158" t="str">
            <v/>
          </cell>
          <cell r="AT158" t="str">
            <v/>
          </cell>
          <cell r="AU158" t="str">
            <v/>
          </cell>
          <cell r="AV158" t="str">
            <v/>
          </cell>
          <cell r="AW158" t="str">
            <v/>
          </cell>
          <cell r="AX158" t="str">
            <v/>
          </cell>
          <cell r="AY158" t="str">
            <v/>
          </cell>
          <cell r="AZ158" t="str">
            <v/>
          </cell>
          <cell r="BA158" t="str">
            <v/>
          </cell>
          <cell r="BB158" t="str">
            <v/>
          </cell>
          <cell r="BC158" t="str">
            <v/>
          </cell>
          <cell r="BD158" t="str">
            <v/>
          </cell>
          <cell r="BE158" t="str">
            <v/>
          </cell>
          <cell r="BF158" t="str">
            <v/>
          </cell>
          <cell r="BG158" t="str">
            <v/>
          </cell>
          <cell r="BH158" t="str">
            <v/>
          </cell>
          <cell r="BI158" t="str">
            <v/>
          </cell>
          <cell r="BJ158" t="str">
            <v/>
          </cell>
          <cell r="BK158" t="str">
            <v/>
          </cell>
          <cell r="BL158" t="str">
            <v/>
          </cell>
          <cell r="BM158" t="str">
            <v/>
          </cell>
          <cell r="BN158" t="str">
            <v/>
          </cell>
          <cell r="BO158" t="str">
            <v/>
          </cell>
          <cell r="BP158" t="str">
            <v/>
          </cell>
          <cell r="BQ158" t="str">
            <v/>
          </cell>
          <cell r="BR158" t="str">
            <v/>
          </cell>
          <cell r="BS158" t="str">
            <v/>
          </cell>
          <cell r="BT158" t="str">
            <v/>
          </cell>
          <cell r="BU158" t="str">
            <v/>
          </cell>
          <cell r="BV158" t="str">
            <v/>
          </cell>
          <cell r="BW158" t="str">
            <v/>
          </cell>
          <cell r="BX158" t="str">
            <v/>
          </cell>
          <cell r="BY158" t="str">
            <v/>
          </cell>
          <cell r="BZ158" t="str">
            <v/>
          </cell>
          <cell r="CA158" t="str">
            <v/>
          </cell>
          <cell r="CB158" t="str">
            <v/>
          </cell>
          <cell r="CC158" t="str">
            <v/>
          </cell>
          <cell r="CD158" t="str">
            <v/>
          </cell>
          <cell r="CE158" t="str">
            <v/>
          </cell>
          <cell r="CF158" t="str">
            <v/>
          </cell>
          <cell r="CG158" t="str">
            <v/>
          </cell>
          <cell r="CH158" t="str">
            <v/>
          </cell>
          <cell r="CI158" t="str">
            <v/>
          </cell>
          <cell r="CJ158" t="str">
            <v/>
          </cell>
          <cell r="CK158" t="str">
            <v/>
          </cell>
          <cell r="CL158">
            <v>0</v>
          </cell>
          <cell r="CM158">
            <v>0</v>
          </cell>
          <cell r="CN158">
            <v>0</v>
          </cell>
          <cell r="CO158" t="str">
            <v>N.R</v>
          </cell>
          <cell r="CP158" t="str">
            <v/>
          </cell>
          <cell r="CQ158">
            <v>41</v>
          </cell>
          <cell r="CR158">
            <v>87</v>
          </cell>
          <cell r="CS158" t="e">
            <v>#VALUE!</v>
          </cell>
          <cell r="CT158" t="str">
            <v/>
          </cell>
          <cell r="CU158">
            <v>35</v>
          </cell>
          <cell r="CV158">
            <v>74</v>
          </cell>
          <cell r="CW158" t="e">
            <v>#VALUE!</v>
          </cell>
          <cell r="CX158" t="str">
            <v/>
          </cell>
          <cell r="CY158">
            <v>59</v>
          </cell>
          <cell r="CZ158">
            <v>97</v>
          </cell>
          <cell r="DA158" t="e">
            <v>#VALUE!</v>
          </cell>
          <cell r="DB158" t="str">
            <v/>
          </cell>
          <cell r="DC158">
            <v>0</v>
          </cell>
          <cell r="DD158">
            <v>0</v>
          </cell>
          <cell r="DE158" t="e">
            <v>#VALUE!</v>
          </cell>
          <cell r="DF158" t="str">
            <v/>
          </cell>
          <cell r="DG158">
            <v>33</v>
          </cell>
          <cell r="DH158">
            <v>87</v>
          </cell>
          <cell r="DI158" t="e">
            <v>#VALUE!</v>
          </cell>
          <cell r="DJ158" t="str">
            <v/>
          </cell>
          <cell r="DK158">
            <v>29</v>
          </cell>
          <cell r="DL158">
            <v>88</v>
          </cell>
          <cell r="DM158" t="e">
            <v>#VALUE!</v>
          </cell>
          <cell r="DN158" t="str">
            <v/>
          </cell>
          <cell r="DO158">
            <v>35</v>
          </cell>
          <cell r="DP158">
            <v>92</v>
          </cell>
          <cell r="DQ158" t="e">
            <v>#VALUE!</v>
          </cell>
          <cell r="DR158" t="str">
            <v/>
          </cell>
          <cell r="DS158">
            <v>0</v>
          </cell>
          <cell r="DT158">
            <v>81</v>
          </cell>
          <cell r="DU158" t="e">
            <v>#VALUE!</v>
          </cell>
          <cell r="DV158" t="str">
            <v/>
          </cell>
          <cell r="DW158">
            <v>0</v>
          </cell>
          <cell r="DX158">
            <v>0</v>
          </cell>
          <cell r="DY158" t="e">
            <v>#VALUE!</v>
          </cell>
          <cell r="DZ158" t="str">
            <v/>
          </cell>
          <cell r="EA158">
            <v>0</v>
          </cell>
          <cell r="EB158">
            <v>86</v>
          </cell>
          <cell r="EC158" t="e">
            <v>#VALUE!</v>
          </cell>
          <cell r="ED158" t="str">
            <v/>
          </cell>
          <cell r="EE158">
            <v>0</v>
          </cell>
          <cell r="EF158">
            <v>148</v>
          </cell>
          <cell r="EG158" t="e">
            <v>#VALUE!</v>
          </cell>
          <cell r="EH158" t="str">
            <v/>
          </cell>
          <cell r="EI158">
            <v>0</v>
          </cell>
          <cell r="EJ158">
            <v>89</v>
          </cell>
          <cell r="EK158" t="e">
            <v>#VALUE!</v>
          </cell>
          <cell r="EL158" t="str">
            <v/>
          </cell>
          <cell r="EM158">
            <v>0</v>
          </cell>
          <cell r="EN158">
            <v>91</v>
          </cell>
          <cell r="EO158" t="e">
            <v>#VALUE!</v>
          </cell>
          <cell r="EP158" t="str">
            <v/>
          </cell>
          <cell r="EQ158">
            <v>0</v>
          </cell>
          <cell r="ER158">
            <v>0</v>
          </cell>
          <cell r="ES158" t="e">
            <v>#VALUE!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  <cell r="O159" t="str">
            <v/>
          </cell>
          <cell r="P159" t="str">
            <v/>
          </cell>
          <cell r="Q159" t="str">
            <v/>
          </cell>
          <cell r="R159" t="str">
            <v/>
          </cell>
          <cell r="S159" t="str">
            <v/>
          </cell>
          <cell r="T159" t="str">
            <v/>
          </cell>
          <cell r="U159" t="str">
            <v/>
          </cell>
          <cell r="V159" t="str">
            <v/>
          </cell>
          <cell r="W159" t="str">
            <v/>
          </cell>
          <cell r="X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 t="str">
            <v/>
          </cell>
          <cell r="AD159" t="str">
            <v/>
          </cell>
          <cell r="AE159" t="str">
            <v/>
          </cell>
          <cell r="AF159" t="str">
            <v/>
          </cell>
          <cell r="AG159" t="str">
            <v/>
          </cell>
          <cell r="AH159" t="str">
            <v/>
          </cell>
          <cell r="AI159" t="str">
            <v/>
          </cell>
          <cell r="AJ159" t="str">
            <v/>
          </cell>
          <cell r="AK159" t="str">
            <v/>
          </cell>
          <cell r="AL159" t="str">
            <v/>
          </cell>
          <cell r="AM159" t="str">
            <v/>
          </cell>
          <cell r="AN159" t="str">
            <v/>
          </cell>
          <cell r="AO159" t="str">
            <v/>
          </cell>
          <cell r="AP159" t="str">
            <v/>
          </cell>
          <cell r="AQ159" t="str">
            <v/>
          </cell>
          <cell r="AR159" t="str">
            <v/>
          </cell>
          <cell r="AS159" t="str">
            <v/>
          </cell>
          <cell r="AT159" t="str">
            <v/>
          </cell>
          <cell r="AU159" t="str">
            <v/>
          </cell>
          <cell r="AV159" t="str">
            <v/>
          </cell>
          <cell r="AW159" t="str">
            <v/>
          </cell>
          <cell r="AX159" t="str">
            <v/>
          </cell>
          <cell r="AY159" t="str">
            <v/>
          </cell>
          <cell r="AZ159" t="str">
            <v/>
          </cell>
          <cell r="BA159" t="str">
            <v/>
          </cell>
          <cell r="BB159" t="str">
            <v/>
          </cell>
          <cell r="BC159" t="str">
            <v/>
          </cell>
          <cell r="BD159" t="str">
            <v/>
          </cell>
          <cell r="BE159" t="str">
            <v/>
          </cell>
          <cell r="BF159" t="str">
            <v/>
          </cell>
          <cell r="BG159" t="str">
            <v/>
          </cell>
          <cell r="BH159" t="str">
            <v/>
          </cell>
          <cell r="BI159" t="str">
            <v/>
          </cell>
          <cell r="BJ159" t="str">
            <v/>
          </cell>
          <cell r="BK159" t="str">
            <v/>
          </cell>
          <cell r="BL159" t="str">
            <v/>
          </cell>
          <cell r="BM159" t="str">
            <v/>
          </cell>
          <cell r="BN159" t="str">
            <v/>
          </cell>
          <cell r="BO159" t="str">
            <v/>
          </cell>
          <cell r="BP159" t="str">
            <v/>
          </cell>
          <cell r="BQ159" t="str">
            <v/>
          </cell>
          <cell r="BR159" t="str">
            <v/>
          </cell>
          <cell r="BS159" t="str">
            <v/>
          </cell>
          <cell r="BT159" t="str">
            <v/>
          </cell>
          <cell r="BU159" t="str">
            <v/>
          </cell>
          <cell r="BV159" t="str">
            <v/>
          </cell>
          <cell r="BW159" t="str">
            <v/>
          </cell>
          <cell r="BX159" t="str">
            <v/>
          </cell>
          <cell r="BY159" t="str">
            <v/>
          </cell>
          <cell r="BZ159" t="str">
            <v/>
          </cell>
          <cell r="CA159" t="str">
            <v/>
          </cell>
          <cell r="CB159" t="str">
            <v/>
          </cell>
          <cell r="CC159" t="str">
            <v/>
          </cell>
          <cell r="CD159" t="str">
            <v/>
          </cell>
          <cell r="CE159" t="str">
            <v/>
          </cell>
          <cell r="CF159" t="str">
            <v/>
          </cell>
          <cell r="CG159" t="str">
            <v/>
          </cell>
          <cell r="CH159" t="str">
            <v/>
          </cell>
          <cell r="CI159" t="str">
            <v/>
          </cell>
          <cell r="CJ159" t="str">
            <v/>
          </cell>
          <cell r="CK159" t="str">
            <v/>
          </cell>
          <cell r="CL159">
            <v>0</v>
          </cell>
          <cell r="CM159">
            <v>0</v>
          </cell>
          <cell r="CN159">
            <v>0</v>
          </cell>
          <cell r="CO159" t="str">
            <v>N.R</v>
          </cell>
          <cell r="CP159" t="str">
            <v/>
          </cell>
          <cell r="CQ159">
            <v>41</v>
          </cell>
          <cell r="CR159">
            <v>87</v>
          </cell>
          <cell r="CS159" t="e">
            <v>#VALUE!</v>
          </cell>
          <cell r="CT159" t="str">
            <v/>
          </cell>
          <cell r="CU159">
            <v>35</v>
          </cell>
          <cell r="CV159">
            <v>74</v>
          </cell>
          <cell r="CW159" t="e">
            <v>#VALUE!</v>
          </cell>
          <cell r="CX159" t="str">
            <v/>
          </cell>
          <cell r="CY159">
            <v>59</v>
          </cell>
          <cell r="CZ159">
            <v>97</v>
          </cell>
          <cell r="DA159" t="e">
            <v>#VALUE!</v>
          </cell>
          <cell r="DB159" t="str">
            <v/>
          </cell>
          <cell r="DC159">
            <v>0</v>
          </cell>
          <cell r="DD159">
            <v>0</v>
          </cell>
          <cell r="DE159" t="e">
            <v>#VALUE!</v>
          </cell>
          <cell r="DF159" t="str">
            <v/>
          </cell>
          <cell r="DG159">
            <v>33</v>
          </cell>
          <cell r="DH159">
            <v>87</v>
          </cell>
          <cell r="DI159" t="e">
            <v>#VALUE!</v>
          </cell>
          <cell r="DJ159" t="str">
            <v/>
          </cell>
          <cell r="DK159">
            <v>29</v>
          </cell>
          <cell r="DL159">
            <v>88</v>
          </cell>
          <cell r="DM159" t="e">
            <v>#VALUE!</v>
          </cell>
          <cell r="DN159" t="str">
            <v/>
          </cell>
          <cell r="DO159">
            <v>35</v>
          </cell>
          <cell r="DP159">
            <v>92</v>
          </cell>
          <cell r="DQ159" t="e">
            <v>#VALUE!</v>
          </cell>
          <cell r="DR159" t="str">
            <v/>
          </cell>
          <cell r="DS159">
            <v>0</v>
          </cell>
          <cell r="DT159">
            <v>81</v>
          </cell>
          <cell r="DU159" t="e">
            <v>#VALUE!</v>
          </cell>
          <cell r="DV159" t="str">
            <v/>
          </cell>
          <cell r="DW159">
            <v>0</v>
          </cell>
          <cell r="DX159">
            <v>0</v>
          </cell>
          <cell r="DY159" t="e">
            <v>#VALUE!</v>
          </cell>
          <cell r="DZ159" t="str">
            <v/>
          </cell>
          <cell r="EA159">
            <v>0</v>
          </cell>
          <cell r="EB159">
            <v>86</v>
          </cell>
          <cell r="EC159" t="e">
            <v>#VALUE!</v>
          </cell>
          <cell r="ED159" t="str">
            <v/>
          </cell>
          <cell r="EE159">
            <v>0</v>
          </cell>
          <cell r="EF159">
            <v>149</v>
          </cell>
          <cell r="EG159" t="e">
            <v>#VALUE!</v>
          </cell>
          <cell r="EH159" t="str">
            <v/>
          </cell>
          <cell r="EI159">
            <v>0</v>
          </cell>
          <cell r="EJ159">
            <v>89</v>
          </cell>
          <cell r="EK159" t="e">
            <v>#VALUE!</v>
          </cell>
          <cell r="EL159" t="str">
            <v/>
          </cell>
          <cell r="EM159">
            <v>0</v>
          </cell>
          <cell r="EN159">
            <v>91</v>
          </cell>
          <cell r="EO159" t="e">
            <v>#VALUE!</v>
          </cell>
          <cell r="EP159" t="str">
            <v/>
          </cell>
          <cell r="EQ159">
            <v>0</v>
          </cell>
          <cell r="ER159">
            <v>0</v>
          </cell>
          <cell r="ES159" t="e">
            <v>#VALUE!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  <cell r="V160" t="str">
            <v/>
          </cell>
          <cell r="W160" t="str">
            <v/>
          </cell>
          <cell r="X160" t="str">
            <v/>
          </cell>
          <cell r="Y160" t="str">
            <v/>
          </cell>
          <cell r="Z160" t="str">
            <v/>
          </cell>
          <cell r="AA160" t="str">
            <v/>
          </cell>
          <cell r="AB160" t="str">
            <v/>
          </cell>
          <cell r="AC160" t="str">
            <v/>
          </cell>
          <cell r="AD160" t="str">
            <v/>
          </cell>
          <cell r="AE160" t="str">
            <v/>
          </cell>
          <cell r="AF160" t="str">
            <v/>
          </cell>
          <cell r="AG160" t="str">
            <v/>
          </cell>
          <cell r="AH160" t="str">
            <v/>
          </cell>
          <cell r="AI160" t="str">
            <v/>
          </cell>
          <cell r="AJ160" t="str">
            <v/>
          </cell>
          <cell r="AK160" t="str">
            <v/>
          </cell>
          <cell r="AL160" t="str">
            <v/>
          </cell>
          <cell r="AM160" t="str">
            <v/>
          </cell>
          <cell r="AN160" t="str">
            <v/>
          </cell>
          <cell r="AO160" t="str">
            <v/>
          </cell>
          <cell r="AP160" t="str">
            <v/>
          </cell>
          <cell r="AQ160" t="str">
            <v/>
          </cell>
          <cell r="AR160" t="str">
            <v/>
          </cell>
          <cell r="AS160" t="str">
            <v/>
          </cell>
          <cell r="AT160" t="str">
            <v/>
          </cell>
          <cell r="AU160" t="str">
            <v/>
          </cell>
          <cell r="AV160" t="str">
            <v/>
          </cell>
          <cell r="AW160" t="str">
            <v/>
          </cell>
          <cell r="AX160" t="str">
            <v/>
          </cell>
          <cell r="AY160" t="str">
            <v/>
          </cell>
          <cell r="AZ160" t="str">
            <v/>
          </cell>
          <cell r="BA160" t="str">
            <v/>
          </cell>
          <cell r="BB160" t="str">
            <v/>
          </cell>
          <cell r="BC160" t="str">
            <v/>
          </cell>
          <cell r="BD160" t="str">
            <v/>
          </cell>
          <cell r="BE160" t="str">
            <v/>
          </cell>
          <cell r="BF160" t="str">
            <v/>
          </cell>
          <cell r="BG160" t="str">
            <v/>
          </cell>
          <cell r="BH160" t="str">
            <v/>
          </cell>
          <cell r="BI160" t="str">
            <v/>
          </cell>
          <cell r="BJ160" t="str">
            <v/>
          </cell>
          <cell r="BK160" t="str">
            <v/>
          </cell>
          <cell r="BL160" t="str">
            <v/>
          </cell>
          <cell r="BM160" t="str">
            <v/>
          </cell>
          <cell r="BN160" t="str">
            <v/>
          </cell>
          <cell r="BO160" t="str">
            <v/>
          </cell>
          <cell r="BP160" t="str">
            <v/>
          </cell>
          <cell r="BQ160" t="str">
            <v/>
          </cell>
          <cell r="BR160" t="str">
            <v/>
          </cell>
          <cell r="BS160" t="str">
            <v/>
          </cell>
          <cell r="BT160" t="str">
            <v/>
          </cell>
          <cell r="BU160" t="str">
            <v/>
          </cell>
          <cell r="BV160" t="str">
            <v/>
          </cell>
          <cell r="BW160" t="str">
            <v/>
          </cell>
          <cell r="BX160" t="str">
            <v/>
          </cell>
          <cell r="BY160" t="str">
            <v/>
          </cell>
          <cell r="BZ160" t="str">
            <v/>
          </cell>
          <cell r="CA160" t="str">
            <v/>
          </cell>
          <cell r="CB160" t="str">
            <v/>
          </cell>
          <cell r="CC160" t="str">
            <v/>
          </cell>
          <cell r="CD160" t="str">
            <v/>
          </cell>
          <cell r="CE160" t="str">
            <v/>
          </cell>
          <cell r="CF160" t="str">
            <v/>
          </cell>
          <cell r="CG160" t="str">
            <v/>
          </cell>
          <cell r="CH160" t="str">
            <v/>
          </cell>
          <cell r="CI160" t="str">
            <v/>
          </cell>
          <cell r="CJ160" t="str">
            <v/>
          </cell>
          <cell r="CK160" t="str">
            <v/>
          </cell>
          <cell r="CL160">
            <v>0</v>
          </cell>
          <cell r="CM160">
            <v>0</v>
          </cell>
          <cell r="CN160">
            <v>0</v>
          </cell>
          <cell r="CO160" t="str">
            <v>N.R</v>
          </cell>
          <cell r="CP160" t="str">
            <v/>
          </cell>
          <cell r="CQ160">
            <v>41</v>
          </cell>
          <cell r="CR160">
            <v>87</v>
          </cell>
          <cell r="CS160" t="e">
            <v>#VALUE!</v>
          </cell>
          <cell r="CT160" t="str">
            <v/>
          </cell>
          <cell r="CU160">
            <v>35</v>
          </cell>
          <cell r="CV160">
            <v>74</v>
          </cell>
          <cell r="CW160" t="e">
            <v>#VALUE!</v>
          </cell>
          <cell r="CX160" t="str">
            <v/>
          </cell>
          <cell r="CY160">
            <v>59</v>
          </cell>
          <cell r="CZ160">
            <v>97</v>
          </cell>
          <cell r="DA160" t="e">
            <v>#VALUE!</v>
          </cell>
          <cell r="DB160" t="str">
            <v/>
          </cell>
          <cell r="DC160">
            <v>0</v>
          </cell>
          <cell r="DD160">
            <v>0</v>
          </cell>
          <cell r="DE160" t="e">
            <v>#VALUE!</v>
          </cell>
          <cell r="DF160" t="str">
            <v/>
          </cell>
          <cell r="DG160">
            <v>33</v>
          </cell>
          <cell r="DH160">
            <v>87</v>
          </cell>
          <cell r="DI160" t="e">
            <v>#VALUE!</v>
          </cell>
          <cell r="DJ160" t="str">
            <v/>
          </cell>
          <cell r="DK160">
            <v>29</v>
          </cell>
          <cell r="DL160">
            <v>88</v>
          </cell>
          <cell r="DM160" t="e">
            <v>#VALUE!</v>
          </cell>
          <cell r="DN160" t="str">
            <v/>
          </cell>
          <cell r="DO160">
            <v>35</v>
          </cell>
          <cell r="DP160">
            <v>92</v>
          </cell>
          <cell r="DQ160" t="e">
            <v>#VALUE!</v>
          </cell>
          <cell r="DR160" t="str">
            <v/>
          </cell>
          <cell r="DS160">
            <v>0</v>
          </cell>
          <cell r="DT160">
            <v>81</v>
          </cell>
          <cell r="DU160" t="e">
            <v>#VALUE!</v>
          </cell>
          <cell r="DV160" t="str">
            <v/>
          </cell>
          <cell r="DW160">
            <v>0</v>
          </cell>
          <cell r="DX160">
            <v>0</v>
          </cell>
          <cell r="DY160" t="e">
            <v>#VALUE!</v>
          </cell>
          <cell r="DZ160" t="str">
            <v/>
          </cell>
          <cell r="EA160">
            <v>0</v>
          </cell>
          <cell r="EB160">
            <v>86</v>
          </cell>
          <cell r="EC160" t="e">
            <v>#VALUE!</v>
          </cell>
          <cell r="ED160" t="str">
            <v/>
          </cell>
          <cell r="EE160">
            <v>0</v>
          </cell>
          <cell r="EF160">
            <v>150</v>
          </cell>
          <cell r="EG160" t="e">
            <v>#VALUE!</v>
          </cell>
          <cell r="EH160" t="str">
            <v/>
          </cell>
          <cell r="EI160">
            <v>0</v>
          </cell>
          <cell r="EJ160">
            <v>89</v>
          </cell>
          <cell r="EK160" t="e">
            <v>#VALUE!</v>
          </cell>
          <cell r="EL160" t="str">
            <v/>
          </cell>
          <cell r="EM160">
            <v>0</v>
          </cell>
          <cell r="EN160">
            <v>91</v>
          </cell>
          <cell r="EO160" t="e">
            <v>#VALUE!</v>
          </cell>
          <cell r="EP160" t="str">
            <v/>
          </cell>
          <cell r="EQ160">
            <v>0</v>
          </cell>
          <cell r="ER160">
            <v>0</v>
          </cell>
          <cell r="ES160" t="e">
            <v>#VALUE!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  <cell r="O161" t="str">
            <v/>
          </cell>
          <cell r="P161" t="str">
            <v/>
          </cell>
          <cell r="Q161" t="str">
            <v/>
          </cell>
          <cell r="R161" t="str">
            <v/>
          </cell>
          <cell r="S161" t="str">
            <v/>
          </cell>
          <cell r="T161" t="str">
            <v/>
          </cell>
          <cell r="U161" t="str">
            <v/>
          </cell>
          <cell r="V161" t="str">
            <v/>
          </cell>
          <cell r="W161" t="str">
            <v/>
          </cell>
          <cell r="X161" t="str">
            <v/>
          </cell>
          <cell r="Y161" t="str">
            <v/>
          </cell>
          <cell r="Z161" t="str">
            <v/>
          </cell>
          <cell r="AA161" t="str">
            <v/>
          </cell>
          <cell r="AB161" t="str">
            <v/>
          </cell>
          <cell r="AC161" t="str">
            <v/>
          </cell>
          <cell r="AD161" t="str">
            <v/>
          </cell>
          <cell r="AE161" t="str">
            <v/>
          </cell>
          <cell r="AF161" t="str">
            <v/>
          </cell>
          <cell r="AG161" t="str">
            <v/>
          </cell>
          <cell r="AH161" t="str">
            <v/>
          </cell>
          <cell r="AI161" t="str">
            <v/>
          </cell>
          <cell r="AJ161" t="str">
            <v/>
          </cell>
          <cell r="AK161" t="str">
            <v/>
          </cell>
          <cell r="AL161" t="str">
            <v/>
          </cell>
          <cell r="AM161" t="str">
            <v/>
          </cell>
          <cell r="AN161" t="str">
            <v/>
          </cell>
          <cell r="AO161" t="str">
            <v/>
          </cell>
          <cell r="AP161" t="str">
            <v/>
          </cell>
          <cell r="AQ161" t="str">
            <v/>
          </cell>
          <cell r="AR161" t="str">
            <v/>
          </cell>
          <cell r="AS161" t="str">
            <v/>
          </cell>
          <cell r="AT161" t="str">
            <v/>
          </cell>
          <cell r="AU161" t="str">
            <v/>
          </cell>
          <cell r="AV161" t="str">
            <v/>
          </cell>
          <cell r="AW161" t="str">
            <v/>
          </cell>
          <cell r="AX161" t="str">
            <v/>
          </cell>
          <cell r="AY161" t="str">
            <v/>
          </cell>
          <cell r="AZ161" t="str">
            <v/>
          </cell>
          <cell r="BA161" t="str">
            <v/>
          </cell>
          <cell r="BB161" t="str">
            <v/>
          </cell>
          <cell r="BC161" t="str">
            <v/>
          </cell>
          <cell r="BD161" t="str">
            <v/>
          </cell>
          <cell r="BE161" t="str">
            <v/>
          </cell>
          <cell r="BF161" t="str">
            <v/>
          </cell>
          <cell r="BG161" t="str">
            <v/>
          </cell>
          <cell r="BH161" t="str">
            <v/>
          </cell>
          <cell r="BI161" t="str">
            <v/>
          </cell>
          <cell r="BJ161" t="str">
            <v/>
          </cell>
          <cell r="BK161" t="str">
            <v/>
          </cell>
          <cell r="BL161" t="str">
            <v/>
          </cell>
          <cell r="BM161" t="str">
            <v/>
          </cell>
          <cell r="BN161" t="str">
            <v/>
          </cell>
          <cell r="BO161" t="str">
            <v/>
          </cell>
          <cell r="BP161" t="str">
            <v/>
          </cell>
          <cell r="BQ161" t="str">
            <v/>
          </cell>
          <cell r="BR161" t="str">
            <v/>
          </cell>
          <cell r="BS161" t="str">
            <v/>
          </cell>
          <cell r="BT161" t="str">
            <v/>
          </cell>
          <cell r="BU161" t="str">
            <v/>
          </cell>
          <cell r="BV161" t="str">
            <v/>
          </cell>
          <cell r="BW161" t="str">
            <v/>
          </cell>
          <cell r="BX161" t="str">
            <v/>
          </cell>
          <cell r="BY161" t="str">
            <v/>
          </cell>
          <cell r="BZ161" t="str">
            <v/>
          </cell>
          <cell r="CA161" t="str">
            <v/>
          </cell>
          <cell r="CB161" t="str">
            <v/>
          </cell>
          <cell r="CC161" t="str">
            <v/>
          </cell>
          <cell r="CD161" t="str">
            <v/>
          </cell>
          <cell r="CE161" t="str">
            <v/>
          </cell>
          <cell r="CF161" t="str">
            <v/>
          </cell>
          <cell r="CG161" t="str">
            <v/>
          </cell>
          <cell r="CH161" t="str">
            <v/>
          </cell>
          <cell r="CI161" t="str">
            <v/>
          </cell>
          <cell r="CJ161" t="str">
            <v/>
          </cell>
          <cell r="CK161" t="str">
            <v/>
          </cell>
          <cell r="CL161">
            <v>0</v>
          </cell>
          <cell r="CM161">
            <v>0</v>
          </cell>
          <cell r="CN161">
            <v>0</v>
          </cell>
          <cell r="CO161" t="str">
            <v>N.R</v>
          </cell>
          <cell r="CP161" t="str">
            <v/>
          </cell>
          <cell r="CQ161">
            <v>41</v>
          </cell>
          <cell r="CR161">
            <v>87</v>
          </cell>
          <cell r="CS161" t="e">
            <v>#VALUE!</v>
          </cell>
          <cell r="CT161" t="str">
            <v/>
          </cell>
          <cell r="CU161">
            <v>35</v>
          </cell>
          <cell r="CV161">
            <v>74</v>
          </cell>
          <cell r="CW161" t="e">
            <v>#VALUE!</v>
          </cell>
          <cell r="CX161" t="str">
            <v/>
          </cell>
          <cell r="CY161">
            <v>59</v>
          </cell>
          <cell r="CZ161">
            <v>97</v>
          </cell>
          <cell r="DA161" t="e">
            <v>#VALUE!</v>
          </cell>
          <cell r="DB161" t="str">
            <v/>
          </cell>
          <cell r="DC161">
            <v>0</v>
          </cell>
          <cell r="DD161">
            <v>0</v>
          </cell>
          <cell r="DE161" t="e">
            <v>#VALUE!</v>
          </cell>
          <cell r="DF161" t="str">
            <v/>
          </cell>
          <cell r="DG161">
            <v>33</v>
          </cell>
          <cell r="DH161">
            <v>87</v>
          </cell>
          <cell r="DI161" t="e">
            <v>#VALUE!</v>
          </cell>
          <cell r="DJ161" t="str">
            <v/>
          </cell>
          <cell r="DK161">
            <v>29</v>
          </cell>
          <cell r="DL161">
            <v>88</v>
          </cell>
          <cell r="DM161" t="e">
            <v>#VALUE!</v>
          </cell>
          <cell r="DN161" t="str">
            <v/>
          </cell>
          <cell r="DO161">
            <v>35</v>
          </cell>
          <cell r="DP161">
            <v>92</v>
          </cell>
          <cell r="DQ161" t="e">
            <v>#VALUE!</v>
          </cell>
          <cell r="DR161" t="str">
            <v/>
          </cell>
          <cell r="DS161">
            <v>0</v>
          </cell>
          <cell r="DT161">
            <v>81</v>
          </cell>
          <cell r="DU161" t="e">
            <v>#VALUE!</v>
          </cell>
          <cell r="DV161" t="str">
            <v/>
          </cell>
          <cell r="DW161">
            <v>0</v>
          </cell>
          <cell r="DX161">
            <v>0</v>
          </cell>
          <cell r="DY161" t="e">
            <v>#VALUE!</v>
          </cell>
          <cell r="DZ161" t="str">
            <v/>
          </cell>
          <cell r="EA161">
            <v>0</v>
          </cell>
          <cell r="EB161">
            <v>86</v>
          </cell>
          <cell r="EC161" t="e">
            <v>#VALUE!</v>
          </cell>
          <cell r="ED161" t="str">
            <v/>
          </cell>
          <cell r="EE161">
            <v>0</v>
          </cell>
          <cell r="EF161">
            <v>151</v>
          </cell>
          <cell r="EG161" t="e">
            <v>#VALUE!</v>
          </cell>
          <cell r="EH161" t="str">
            <v/>
          </cell>
          <cell r="EI161">
            <v>0</v>
          </cell>
          <cell r="EJ161">
            <v>89</v>
          </cell>
          <cell r="EK161" t="e">
            <v>#VALUE!</v>
          </cell>
          <cell r="EL161" t="str">
            <v/>
          </cell>
          <cell r="EM161">
            <v>0</v>
          </cell>
          <cell r="EN161">
            <v>91</v>
          </cell>
          <cell r="EO161" t="e">
            <v>#VALUE!</v>
          </cell>
          <cell r="EP161" t="str">
            <v/>
          </cell>
          <cell r="EQ161">
            <v>0</v>
          </cell>
          <cell r="ER161">
            <v>0</v>
          </cell>
          <cell r="ES161" t="e">
            <v>#VALUE!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  <cell r="O162" t="str">
            <v/>
          </cell>
          <cell r="P162" t="str">
            <v/>
          </cell>
          <cell r="Q162" t="str">
            <v/>
          </cell>
          <cell r="R162" t="str">
            <v/>
          </cell>
          <cell r="S162" t="str">
            <v/>
          </cell>
          <cell r="T162" t="str">
            <v/>
          </cell>
          <cell r="U162" t="str">
            <v/>
          </cell>
          <cell r="V162" t="str">
            <v/>
          </cell>
          <cell r="W162" t="str">
            <v/>
          </cell>
          <cell r="X162" t="str">
            <v/>
          </cell>
          <cell r="Y162" t="str">
            <v/>
          </cell>
          <cell r="Z162" t="str">
            <v/>
          </cell>
          <cell r="AA162" t="str">
            <v/>
          </cell>
          <cell r="AB162" t="str">
            <v/>
          </cell>
          <cell r="AC162" t="str">
            <v/>
          </cell>
          <cell r="AD162" t="str">
            <v/>
          </cell>
          <cell r="AE162" t="str">
            <v/>
          </cell>
          <cell r="AF162" t="str">
            <v/>
          </cell>
          <cell r="AG162" t="str">
            <v/>
          </cell>
          <cell r="AH162" t="str">
            <v/>
          </cell>
          <cell r="AI162" t="str">
            <v/>
          </cell>
          <cell r="AJ162" t="str">
            <v/>
          </cell>
          <cell r="AK162" t="str">
            <v/>
          </cell>
          <cell r="AL162" t="str">
            <v/>
          </cell>
          <cell r="AM162" t="str">
            <v/>
          </cell>
          <cell r="AN162" t="str">
            <v/>
          </cell>
          <cell r="AO162" t="str">
            <v/>
          </cell>
          <cell r="AP162" t="str">
            <v/>
          </cell>
          <cell r="AQ162" t="str">
            <v/>
          </cell>
          <cell r="AR162" t="str">
            <v/>
          </cell>
          <cell r="AS162" t="str">
            <v/>
          </cell>
          <cell r="AT162" t="str">
            <v/>
          </cell>
          <cell r="AU162" t="str">
            <v/>
          </cell>
          <cell r="AV162" t="str">
            <v/>
          </cell>
          <cell r="AW162" t="str">
            <v/>
          </cell>
          <cell r="AX162" t="str">
            <v/>
          </cell>
          <cell r="AY162" t="str">
            <v/>
          </cell>
          <cell r="AZ162" t="str">
            <v/>
          </cell>
          <cell r="BA162" t="str">
            <v/>
          </cell>
          <cell r="BB162" t="str">
            <v/>
          </cell>
          <cell r="BC162" t="str">
            <v/>
          </cell>
          <cell r="BD162" t="str">
            <v/>
          </cell>
          <cell r="BE162" t="str">
            <v/>
          </cell>
          <cell r="BF162" t="str">
            <v/>
          </cell>
          <cell r="BG162" t="str">
            <v/>
          </cell>
          <cell r="BH162" t="str">
            <v/>
          </cell>
          <cell r="BI162" t="str">
            <v/>
          </cell>
          <cell r="BJ162" t="str">
            <v/>
          </cell>
          <cell r="BK162" t="str">
            <v/>
          </cell>
          <cell r="BL162" t="str">
            <v/>
          </cell>
          <cell r="BM162" t="str">
            <v/>
          </cell>
          <cell r="BN162" t="str">
            <v/>
          </cell>
          <cell r="BO162" t="str">
            <v/>
          </cell>
          <cell r="BP162" t="str">
            <v/>
          </cell>
          <cell r="BQ162" t="str">
            <v/>
          </cell>
          <cell r="BR162" t="str">
            <v/>
          </cell>
          <cell r="BS162" t="str">
            <v/>
          </cell>
          <cell r="BT162" t="str">
            <v/>
          </cell>
          <cell r="BU162" t="str">
            <v/>
          </cell>
          <cell r="BV162" t="str">
            <v/>
          </cell>
          <cell r="BW162" t="str">
            <v/>
          </cell>
          <cell r="BX162" t="str">
            <v/>
          </cell>
          <cell r="BY162" t="str">
            <v/>
          </cell>
          <cell r="BZ162" t="str">
            <v/>
          </cell>
          <cell r="CA162" t="str">
            <v/>
          </cell>
          <cell r="CB162" t="str">
            <v/>
          </cell>
          <cell r="CC162" t="str">
            <v/>
          </cell>
          <cell r="CD162" t="str">
            <v/>
          </cell>
          <cell r="CE162" t="str">
            <v/>
          </cell>
          <cell r="CF162" t="str">
            <v/>
          </cell>
          <cell r="CG162" t="str">
            <v/>
          </cell>
          <cell r="CH162" t="str">
            <v/>
          </cell>
          <cell r="CI162" t="str">
            <v/>
          </cell>
          <cell r="CJ162" t="str">
            <v/>
          </cell>
          <cell r="CK162" t="str">
            <v/>
          </cell>
          <cell r="CL162">
            <v>0</v>
          </cell>
          <cell r="CM162">
            <v>0</v>
          </cell>
          <cell r="CN162">
            <v>0</v>
          </cell>
          <cell r="CO162" t="str">
            <v>N.R</v>
          </cell>
          <cell r="CP162" t="str">
            <v/>
          </cell>
          <cell r="CQ162">
            <v>41</v>
          </cell>
          <cell r="CR162">
            <v>87</v>
          </cell>
          <cell r="CS162" t="e">
            <v>#VALUE!</v>
          </cell>
          <cell r="CT162" t="str">
            <v/>
          </cell>
          <cell r="CU162">
            <v>35</v>
          </cell>
          <cell r="CV162">
            <v>74</v>
          </cell>
          <cell r="CW162" t="e">
            <v>#VALUE!</v>
          </cell>
          <cell r="CX162" t="str">
            <v/>
          </cell>
          <cell r="CY162">
            <v>59</v>
          </cell>
          <cell r="CZ162">
            <v>97</v>
          </cell>
          <cell r="DA162" t="e">
            <v>#VALUE!</v>
          </cell>
          <cell r="DB162" t="str">
            <v/>
          </cell>
          <cell r="DC162">
            <v>0</v>
          </cell>
          <cell r="DD162">
            <v>0</v>
          </cell>
          <cell r="DE162" t="e">
            <v>#VALUE!</v>
          </cell>
          <cell r="DF162" t="str">
            <v/>
          </cell>
          <cell r="DG162">
            <v>33</v>
          </cell>
          <cell r="DH162">
            <v>87</v>
          </cell>
          <cell r="DI162" t="e">
            <v>#VALUE!</v>
          </cell>
          <cell r="DJ162" t="str">
            <v/>
          </cell>
          <cell r="DK162">
            <v>29</v>
          </cell>
          <cell r="DL162">
            <v>88</v>
          </cell>
          <cell r="DM162" t="e">
            <v>#VALUE!</v>
          </cell>
          <cell r="DN162" t="str">
            <v/>
          </cell>
          <cell r="DO162">
            <v>35</v>
          </cell>
          <cell r="DP162">
            <v>92</v>
          </cell>
          <cell r="DQ162" t="e">
            <v>#VALUE!</v>
          </cell>
          <cell r="DR162" t="str">
            <v/>
          </cell>
          <cell r="DS162">
            <v>0</v>
          </cell>
          <cell r="DT162">
            <v>81</v>
          </cell>
          <cell r="DU162" t="e">
            <v>#VALUE!</v>
          </cell>
          <cell r="DV162" t="str">
            <v/>
          </cell>
          <cell r="DW162">
            <v>0</v>
          </cell>
          <cell r="DX162">
            <v>0</v>
          </cell>
          <cell r="DY162" t="e">
            <v>#VALUE!</v>
          </cell>
          <cell r="DZ162" t="str">
            <v/>
          </cell>
          <cell r="EA162">
            <v>0</v>
          </cell>
          <cell r="EB162">
            <v>86</v>
          </cell>
          <cell r="EC162" t="e">
            <v>#VALUE!</v>
          </cell>
          <cell r="ED162" t="str">
            <v/>
          </cell>
          <cell r="EE162">
            <v>0</v>
          </cell>
          <cell r="EF162">
            <v>152</v>
          </cell>
          <cell r="EG162" t="e">
            <v>#VALUE!</v>
          </cell>
          <cell r="EH162" t="str">
            <v/>
          </cell>
          <cell r="EI162">
            <v>0</v>
          </cell>
          <cell r="EJ162">
            <v>89</v>
          </cell>
          <cell r="EK162" t="e">
            <v>#VALUE!</v>
          </cell>
          <cell r="EL162" t="str">
            <v/>
          </cell>
          <cell r="EM162">
            <v>0</v>
          </cell>
          <cell r="EN162">
            <v>91</v>
          </cell>
          <cell r="EO162" t="e">
            <v>#VALUE!</v>
          </cell>
          <cell r="EP162" t="str">
            <v/>
          </cell>
          <cell r="EQ162">
            <v>0</v>
          </cell>
          <cell r="ER162">
            <v>0</v>
          </cell>
          <cell r="ES162" t="e">
            <v>#VALUE!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  <cell r="V163" t="str">
            <v/>
          </cell>
          <cell r="W163" t="str">
            <v/>
          </cell>
          <cell r="X163" t="str">
            <v/>
          </cell>
          <cell r="Y163" t="str">
            <v/>
          </cell>
          <cell r="Z163" t="str">
            <v/>
          </cell>
          <cell r="AA163" t="str">
            <v/>
          </cell>
          <cell r="AB163" t="str">
            <v/>
          </cell>
          <cell r="AC163" t="str">
            <v/>
          </cell>
          <cell r="AD163" t="str">
            <v/>
          </cell>
          <cell r="AE163" t="str">
            <v/>
          </cell>
          <cell r="AF163" t="str">
            <v/>
          </cell>
          <cell r="AG163" t="str">
            <v/>
          </cell>
          <cell r="AH163" t="str">
            <v/>
          </cell>
          <cell r="AI163" t="str">
            <v/>
          </cell>
          <cell r="AJ163" t="str">
            <v/>
          </cell>
          <cell r="AK163" t="str">
            <v/>
          </cell>
          <cell r="AL163" t="str">
            <v/>
          </cell>
          <cell r="AM163" t="str">
            <v/>
          </cell>
          <cell r="AN163" t="str">
            <v/>
          </cell>
          <cell r="AO163" t="str">
            <v/>
          </cell>
          <cell r="AP163" t="str">
            <v/>
          </cell>
          <cell r="AQ163" t="str">
            <v/>
          </cell>
          <cell r="AR163" t="str">
            <v/>
          </cell>
          <cell r="AS163" t="str">
            <v/>
          </cell>
          <cell r="AT163" t="str">
            <v/>
          </cell>
          <cell r="AU163" t="str">
            <v/>
          </cell>
          <cell r="AV163" t="str">
            <v/>
          </cell>
          <cell r="AW163" t="str">
            <v/>
          </cell>
          <cell r="AX163" t="str">
            <v/>
          </cell>
          <cell r="AY163" t="str">
            <v/>
          </cell>
          <cell r="AZ163" t="str">
            <v/>
          </cell>
          <cell r="BA163" t="str">
            <v/>
          </cell>
          <cell r="BB163" t="str">
            <v/>
          </cell>
          <cell r="BC163" t="str">
            <v/>
          </cell>
          <cell r="BD163" t="str">
            <v/>
          </cell>
          <cell r="BE163" t="str">
            <v/>
          </cell>
          <cell r="BF163" t="str">
            <v/>
          </cell>
          <cell r="BG163" t="str">
            <v/>
          </cell>
          <cell r="BH163" t="str">
            <v/>
          </cell>
          <cell r="BI163" t="str">
            <v/>
          </cell>
          <cell r="BJ163" t="str">
            <v/>
          </cell>
          <cell r="BK163" t="str">
            <v/>
          </cell>
          <cell r="BL163" t="str">
            <v/>
          </cell>
          <cell r="BM163" t="str">
            <v/>
          </cell>
          <cell r="BN163" t="str">
            <v/>
          </cell>
          <cell r="BO163" t="str">
            <v/>
          </cell>
          <cell r="BP163" t="str">
            <v/>
          </cell>
          <cell r="BQ163" t="str">
            <v/>
          </cell>
          <cell r="BR163" t="str">
            <v/>
          </cell>
          <cell r="BS163" t="str">
            <v/>
          </cell>
          <cell r="BT163" t="str">
            <v/>
          </cell>
          <cell r="BU163" t="str">
            <v/>
          </cell>
          <cell r="BV163" t="str">
            <v/>
          </cell>
          <cell r="BW163" t="str">
            <v/>
          </cell>
          <cell r="BX163" t="str">
            <v/>
          </cell>
          <cell r="BY163" t="str">
            <v/>
          </cell>
          <cell r="BZ163" t="str">
            <v/>
          </cell>
          <cell r="CA163" t="str">
            <v/>
          </cell>
          <cell r="CB163" t="str">
            <v/>
          </cell>
          <cell r="CC163" t="str">
            <v/>
          </cell>
          <cell r="CD163" t="str">
            <v/>
          </cell>
          <cell r="CE163" t="str">
            <v/>
          </cell>
          <cell r="CF163" t="str">
            <v/>
          </cell>
          <cell r="CG163" t="str">
            <v/>
          </cell>
          <cell r="CH163" t="str">
            <v/>
          </cell>
          <cell r="CI163" t="str">
            <v/>
          </cell>
          <cell r="CJ163" t="str">
            <v/>
          </cell>
          <cell r="CK163" t="str">
            <v/>
          </cell>
          <cell r="CL163">
            <v>0</v>
          </cell>
          <cell r="CM163">
            <v>0</v>
          </cell>
          <cell r="CN163">
            <v>0</v>
          </cell>
          <cell r="CO163" t="str">
            <v>N.R</v>
          </cell>
          <cell r="CP163" t="str">
            <v/>
          </cell>
          <cell r="CQ163">
            <v>41</v>
          </cell>
          <cell r="CR163">
            <v>87</v>
          </cell>
          <cell r="CS163" t="e">
            <v>#VALUE!</v>
          </cell>
          <cell r="CT163" t="str">
            <v/>
          </cell>
          <cell r="CU163">
            <v>35</v>
          </cell>
          <cell r="CV163">
            <v>74</v>
          </cell>
          <cell r="CW163" t="e">
            <v>#VALUE!</v>
          </cell>
          <cell r="CX163" t="str">
            <v/>
          </cell>
          <cell r="CY163">
            <v>59</v>
          </cell>
          <cell r="CZ163">
            <v>97</v>
          </cell>
          <cell r="DA163" t="e">
            <v>#VALUE!</v>
          </cell>
          <cell r="DB163" t="str">
            <v/>
          </cell>
          <cell r="DC163">
            <v>0</v>
          </cell>
          <cell r="DD163">
            <v>0</v>
          </cell>
          <cell r="DE163" t="e">
            <v>#VALUE!</v>
          </cell>
          <cell r="DF163" t="str">
            <v/>
          </cell>
          <cell r="DG163">
            <v>33</v>
          </cell>
          <cell r="DH163">
            <v>87</v>
          </cell>
          <cell r="DI163" t="e">
            <v>#VALUE!</v>
          </cell>
          <cell r="DJ163" t="str">
            <v/>
          </cell>
          <cell r="DK163">
            <v>29</v>
          </cell>
          <cell r="DL163">
            <v>88</v>
          </cell>
          <cell r="DM163" t="e">
            <v>#VALUE!</v>
          </cell>
          <cell r="DN163" t="str">
            <v/>
          </cell>
          <cell r="DO163">
            <v>35</v>
          </cell>
          <cell r="DP163">
            <v>92</v>
          </cell>
          <cell r="DQ163" t="e">
            <v>#VALUE!</v>
          </cell>
          <cell r="DR163" t="str">
            <v/>
          </cell>
          <cell r="DS163">
            <v>0</v>
          </cell>
          <cell r="DT163">
            <v>81</v>
          </cell>
          <cell r="DU163" t="e">
            <v>#VALUE!</v>
          </cell>
          <cell r="DV163" t="str">
            <v/>
          </cell>
          <cell r="DW163">
            <v>0</v>
          </cell>
          <cell r="DX163">
            <v>0</v>
          </cell>
          <cell r="DY163" t="e">
            <v>#VALUE!</v>
          </cell>
          <cell r="DZ163" t="str">
            <v/>
          </cell>
          <cell r="EA163">
            <v>0</v>
          </cell>
          <cell r="EB163">
            <v>86</v>
          </cell>
          <cell r="EC163" t="e">
            <v>#VALUE!</v>
          </cell>
          <cell r="ED163" t="str">
            <v/>
          </cell>
          <cell r="EE163">
            <v>0</v>
          </cell>
          <cell r="EF163">
            <v>153</v>
          </cell>
          <cell r="EG163" t="e">
            <v>#VALUE!</v>
          </cell>
          <cell r="EH163" t="str">
            <v/>
          </cell>
          <cell r="EI163">
            <v>0</v>
          </cell>
          <cell r="EJ163">
            <v>89</v>
          </cell>
          <cell r="EK163" t="e">
            <v>#VALUE!</v>
          </cell>
          <cell r="EL163" t="str">
            <v/>
          </cell>
          <cell r="EM163">
            <v>0</v>
          </cell>
          <cell r="EN163">
            <v>91</v>
          </cell>
          <cell r="EO163" t="e">
            <v>#VALUE!</v>
          </cell>
          <cell r="EP163" t="str">
            <v/>
          </cell>
          <cell r="EQ163">
            <v>0</v>
          </cell>
          <cell r="ER163">
            <v>0</v>
          </cell>
          <cell r="ES163" t="e">
            <v>#VALUE!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  <cell r="S164" t="str">
            <v/>
          </cell>
          <cell r="T164" t="str">
            <v/>
          </cell>
          <cell r="U164" t="str">
            <v/>
          </cell>
          <cell r="V164" t="str">
            <v/>
          </cell>
          <cell r="W164" t="str">
            <v/>
          </cell>
          <cell r="X164" t="str">
            <v/>
          </cell>
          <cell r="Y164" t="str">
            <v/>
          </cell>
          <cell r="Z164" t="str">
            <v/>
          </cell>
          <cell r="AA164" t="str">
            <v/>
          </cell>
          <cell r="AB164" t="str">
            <v/>
          </cell>
          <cell r="AC164" t="str">
            <v/>
          </cell>
          <cell r="AD164" t="str">
            <v/>
          </cell>
          <cell r="AE164" t="str">
            <v/>
          </cell>
          <cell r="AF164" t="str">
            <v/>
          </cell>
          <cell r="AG164" t="str">
            <v/>
          </cell>
          <cell r="AH164" t="str">
            <v/>
          </cell>
          <cell r="AI164" t="str">
            <v/>
          </cell>
          <cell r="AJ164" t="str">
            <v/>
          </cell>
          <cell r="AK164" t="str">
            <v/>
          </cell>
          <cell r="AL164" t="str">
            <v/>
          </cell>
          <cell r="AM164" t="str">
            <v/>
          </cell>
          <cell r="AN164" t="str">
            <v/>
          </cell>
          <cell r="AO164" t="str">
            <v/>
          </cell>
          <cell r="AP164" t="str">
            <v/>
          </cell>
          <cell r="AQ164" t="str">
            <v/>
          </cell>
          <cell r="AR164" t="str">
            <v/>
          </cell>
          <cell r="AS164" t="str">
            <v/>
          </cell>
          <cell r="AT164" t="str">
            <v/>
          </cell>
          <cell r="AU164" t="str">
            <v/>
          </cell>
          <cell r="AV164" t="str">
            <v/>
          </cell>
          <cell r="AW164" t="str">
            <v/>
          </cell>
          <cell r="AX164" t="str">
            <v/>
          </cell>
          <cell r="AY164" t="str">
            <v/>
          </cell>
          <cell r="AZ164" t="str">
            <v/>
          </cell>
          <cell r="BA164" t="str">
            <v/>
          </cell>
          <cell r="BB164" t="str">
            <v/>
          </cell>
          <cell r="BC164" t="str">
            <v/>
          </cell>
          <cell r="BD164" t="str">
            <v/>
          </cell>
          <cell r="BE164" t="str">
            <v/>
          </cell>
          <cell r="BF164" t="str">
            <v/>
          </cell>
          <cell r="BG164" t="str">
            <v/>
          </cell>
          <cell r="BH164" t="str">
            <v/>
          </cell>
          <cell r="BI164" t="str">
            <v/>
          </cell>
          <cell r="BJ164" t="str">
            <v/>
          </cell>
          <cell r="BK164" t="str">
            <v/>
          </cell>
          <cell r="BL164" t="str">
            <v/>
          </cell>
          <cell r="BM164" t="str">
            <v/>
          </cell>
          <cell r="BN164" t="str">
            <v/>
          </cell>
          <cell r="BO164" t="str">
            <v/>
          </cell>
          <cell r="BP164" t="str">
            <v/>
          </cell>
          <cell r="BQ164" t="str">
            <v/>
          </cell>
          <cell r="BR164" t="str">
            <v/>
          </cell>
          <cell r="BS164" t="str">
            <v/>
          </cell>
          <cell r="BT164" t="str">
            <v/>
          </cell>
          <cell r="BU164" t="str">
            <v/>
          </cell>
          <cell r="BV164" t="str">
            <v/>
          </cell>
          <cell r="BW164" t="str">
            <v/>
          </cell>
          <cell r="BX164" t="str">
            <v/>
          </cell>
          <cell r="BY164" t="str">
            <v/>
          </cell>
          <cell r="BZ164" t="str">
            <v/>
          </cell>
          <cell r="CA164" t="str">
            <v/>
          </cell>
          <cell r="CB164" t="str">
            <v/>
          </cell>
          <cell r="CC164" t="str">
            <v/>
          </cell>
          <cell r="CD164" t="str">
            <v/>
          </cell>
          <cell r="CE164" t="str">
            <v/>
          </cell>
          <cell r="CF164" t="str">
            <v/>
          </cell>
          <cell r="CG164" t="str">
            <v/>
          </cell>
          <cell r="CH164" t="str">
            <v/>
          </cell>
          <cell r="CI164" t="str">
            <v/>
          </cell>
          <cell r="CJ164" t="str">
            <v/>
          </cell>
          <cell r="CK164" t="str">
            <v/>
          </cell>
          <cell r="CL164">
            <v>0</v>
          </cell>
          <cell r="CM164">
            <v>0</v>
          </cell>
          <cell r="CN164">
            <v>0</v>
          </cell>
          <cell r="CO164" t="str">
            <v>N.R</v>
          </cell>
          <cell r="CP164" t="str">
            <v/>
          </cell>
          <cell r="CQ164">
            <v>41</v>
          </cell>
          <cell r="CR164">
            <v>87</v>
          </cell>
          <cell r="CS164" t="e">
            <v>#VALUE!</v>
          </cell>
          <cell r="CT164" t="str">
            <v/>
          </cell>
          <cell r="CU164">
            <v>35</v>
          </cell>
          <cell r="CV164">
            <v>74</v>
          </cell>
          <cell r="CW164" t="e">
            <v>#VALUE!</v>
          </cell>
          <cell r="CX164" t="str">
            <v/>
          </cell>
          <cell r="CY164">
            <v>59</v>
          </cell>
          <cell r="CZ164">
            <v>97</v>
          </cell>
          <cell r="DA164" t="e">
            <v>#VALUE!</v>
          </cell>
          <cell r="DB164" t="str">
            <v/>
          </cell>
          <cell r="DC164">
            <v>0</v>
          </cell>
          <cell r="DD164">
            <v>0</v>
          </cell>
          <cell r="DE164" t="e">
            <v>#VALUE!</v>
          </cell>
          <cell r="DF164" t="str">
            <v/>
          </cell>
          <cell r="DG164">
            <v>33</v>
          </cell>
          <cell r="DH164">
            <v>87</v>
          </cell>
          <cell r="DI164" t="e">
            <v>#VALUE!</v>
          </cell>
          <cell r="DJ164" t="str">
            <v/>
          </cell>
          <cell r="DK164">
            <v>29</v>
          </cell>
          <cell r="DL164">
            <v>88</v>
          </cell>
          <cell r="DM164" t="e">
            <v>#VALUE!</v>
          </cell>
          <cell r="DN164" t="str">
            <v/>
          </cell>
          <cell r="DO164">
            <v>35</v>
          </cell>
          <cell r="DP164">
            <v>92</v>
          </cell>
          <cell r="DQ164" t="e">
            <v>#VALUE!</v>
          </cell>
          <cell r="DR164" t="str">
            <v/>
          </cell>
          <cell r="DS164">
            <v>0</v>
          </cell>
          <cell r="DT164">
            <v>81</v>
          </cell>
          <cell r="DU164" t="e">
            <v>#VALUE!</v>
          </cell>
          <cell r="DV164" t="str">
            <v/>
          </cell>
          <cell r="DW164">
            <v>0</v>
          </cell>
          <cell r="DX164">
            <v>0</v>
          </cell>
          <cell r="DY164" t="e">
            <v>#VALUE!</v>
          </cell>
          <cell r="DZ164" t="str">
            <v/>
          </cell>
          <cell r="EA164">
            <v>0</v>
          </cell>
          <cell r="EB164">
            <v>86</v>
          </cell>
          <cell r="EC164" t="e">
            <v>#VALUE!</v>
          </cell>
          <cell r="ED164" t="str">
            <v/>
          </cell>
          <cell r="EE164">
            <v>0</v>
          </cell>
          <cell r="EF164">
            <v>154</v>
          </cell>
          <cell r="EG164" t="e">
            <v>#VALUE!</v>
          </cell>
          <cell r="EH164" t="str">
            <v/>
          </cell>
          <cell r="EI164">
            <v>0</v>
          </cell>
          <cell r="EJ164">
            <v>89</v>
          </cell>
          <cell r="EK164" t="e">
            <v>#VALUE!</v>
          </cell>
          <cell r="EL164" t="str">
            <v/>
          </cell>
          <cell r="EM164">
            <v>0</v>
          </cell>
          <cell r="EN164">
            <v>91</v>
          </cell>
          <cell r="EO164" t="e">
            <v>#VALUE!</v>
          </cell>
          <cell r="EP164" t="str">
            <v/>
          </cell>
          <cell r="EQ164">
            <v>0</v>
          </cell>
          <cell r="ER164">
            <v>0</v>
          </cell>
          <cell r="ES164" t="e">
            <v>#VALUE!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str">
            <v/>
          </cell>
          <cell r="P165" t="str">
            <v/>
          </cell>
          <cell r="Q165" t="str">
            <v/>
          </cell>
          <cell r="R165" t="str">
            <v/>
          </cell>
          <cell r="S165" t="str">
            <v/>
          </cell>
          <cell r="T165" t="str">
            <v/>
          </cell>
          <cell r="U165" t="str">
            <v/>
          </cell>
          <cell r="V165" t="str">
            <v/>
          </cell>
          <cell r="W165" t="str">
            <v/>
          </cell>
          <cell r="X165" t="str">
            <v/>
          </cell>
          <cell r="Y165" t="str">
            <v/>
          </cell>
          <cell r="Z165" t="str">
            <v/>
          </cell>
          <cell r="AA165" t="str">
            <v/>
          </cell>
          <cell r="AB165" t="str">
            <v/>
          </cell>
          <cell r="AC165" t="str">
            <v/>
          </cell>
          <cell r="AD165" t="str">
            <v/>
          </cell>
          <cell r="AE165" t="str">
            <v/>
          </cell>
          <cell r="AF165" t="str">
            <v/>
          </cell>
          <cell r="AG165" t="str">
            <v/>
          </cell>
          <cell r="AH165" t="str">
            <v/>
          </cell>
          <cell r="AI165" t="str">
            <v/>
          </cell>
          <cell r="AJ165" t="str">
            <v/>
          </cell>
          <cell r="AK165" t="str">
            <v/>
          </cell>
          <cell r="AL165" t="str">
            <v/>
          </cell>
          <cell r="AM165" t="str">
            <v/>
          </cell>
          <cell r="AN165" t="str">
            <v/>
          </cell>
          <cell r="AO165" t="str">
            <v/>
          </cell>
          <cell r="AP165" t="str">
            <v/>
          </cell>
          <cell r="AQ165" t="str">
            <v/>
          </cell>
          <cell r="AR165" t="str">
            <v/>
          </cell>
          <cell r="AS165" t="str">
            <v/>
          </cell>
          <cell r="AT165" t="str">
            <v/>
          </cell>
          <cell r="AU165" t="str">
            <v/>
          </cell>
          <cell r="AV165" t="str">
            <v/>
          </cell>
          <cell r="AW165" t="str">
            <v/>
          </cell>
          <cell r="AX165" t="str">
            <v/>
          </cell>
          <cell r="AY165" t="str">
            <v/>
          </cell>
          <cell r="AZ165" t="str">
            <v/>
          </cell>
          <cell r="BA165" t="str">
            <v/>
          </cell>
          <cell r="BB165" t="str">
            <v/>
          </cell>
          <cell r="BC165" t="str">
            <v/>
          </cell>
          <cell r="BD165" t="str">
            <v/>
          </cell>
          <cell r="BE165" t="str">
            <v/>
          </cell>
          <cell r="BF165" t="str">
            <v/>
          </cell>
          <cell r="BG165" t="str">
            <v/>
          </cell>
          <cell r="BH165" t="str">
            <v/>
          </cell>
          <cell r="BI165" t="str">
            <v/>
          </cell>
          <cell r="BJ165" t="str">
            <v/>
          </cell>
          <cell r="BK165" t="str">
            <v/>
          </cell>
          <cell r="BL165" t="str">
            <v/>
          </cell>
          <cell r="BM165" t="str">
            <v/>
          </cell>
          <cell r="BN165" t="str">
            <v/>
          </cell>
          <cell r="BO165" t="str">
            <v/>
          </cell>
          <cell r="BP165" t="str">
            <v/>
          </cell>
          <cell r="BQ165" t="str">
            <v/>
          </cell>
          <cell r="BR165" t="str">
            <v/>
          </cell>
          <cell r="BS165" t="str">
            <v/>
          </cell>
          <cell r="BT165" t="str">
            <v/>
          </cell>
          <cell r="BU165" t="str">
            <v/>
          </cell>
          <cell r="BV165" t="str">
            <v/>
          </cell>
          <cell r="BW165" t="str">
            <v/>
          </cell>
          <cell r="BX165" t="str">
            <v/>
          </cell>
          <cell r="BY165" t="str">
            <v/>
          </cell>
          <cell r="BZ165" t="str">
            <v/>
          </cell>
          <cell r="CA165" t="str">
            <v/>
          </cell>
          <cell r="CB165" t="str">
            <v/>
          </cell>
          <cell r="CC165" t="str">
            <v/>
          </cell>
          <cell r="CD165" t="str">
            <v/>
          </cell>
          <cell r="CE165" t="str">
            <v/>
          </cell>
          <cell r="CF165" t="str">
            <v/>
          </cell>
          <cell r="CG165" t="str">
            <v/>
          </cell>
          <cell r="CH165" t="str">
            <v/>
          </cell>
          <cell r="CI165" t="str">
            <v/>
          </cell>
          <cell r="CJ165" t="str">
            <v/>
          </cell>
          <cell r="CK165" t="str">
            <v/>
          </cell>
          <cell r="CL165">
            <v>0</v>
          </cell>
          <cell r="CM165">
            <v>0</v>
          </cell>
          <cell r="CN165">
            <v>0</v>
          </cell>
          <cell r="CO165" t="str">
            <v>N.R</v>
          </cell>
          <cell r="CP165" t="str">
            <v/>
          </cell>
          <cell r="CQ165">
            <v>41</v>
          </cell>
          <cell r="CR165">
            <v>87</v>
          </cell>
          <cell r="CS165" t="e">
            <v>#VALUE!</v>
          </cell>
          <cell r="CT165" t="str">
            <v/>
          </cell>
          <cell r="CU165">
            <v>35</v>
          </cell>
          <cell r="CV165">
            <v>74</v>
          </cell>
          <cell r="CW165" t="e">
            <v>#VALUE!</v>
          </cell>
          <cell r="CX165" t="str">
            <v/>
          </cell>
          <cell r="CY165">
            <v>59</v>
          </cell>
          <cell r="CZ165">
            <v>97</v>
          </cell>
          <cell r="DA165" t="e">
            <v>#VALUE!</v>
          </cell>
          <cell r="DB165" t="str">
            <v/>
          </cell>
          <cell r="DC165">
            <v>0</v>
          </cell>
          <cell r="DD165">
            <v>0</v>
          </cell>
          <cell r="DE165" t="e">
            <v>#VALUE!</v>
          </cell>
          <cell r="DF165" t="str">
            <v/>
          </cell>
          <cell r="DG165">
            <v>33</v>
          </cell>
          <cell r="DH165">
            <v>87</v>
          </cell>
          <cell r="DI165" t="e">
            <v>#VALUE!</v>
          </cell>
          <cell r="DJ165" t="str">
            <v/>
          </cell>
          <cell r="DK165">
            <v>29</v>
          </cell>
          <cell r="DL165">
            <v>88</v>
          </cell>
          <cell r="DM165" t="e">
            <v>#VALUE!</v>
          </cell>
          <cell r="DN165" t="str">
            <v/>
          </cell>
          <cell r="DO165">
            <v>35</v>
          </cell>
          <cell r="DP165">
            <v>92</v>
          </cell>
          <cell r="DQ165" t="e">
            <v>#VALUE!</v>
          </cell>
          <cell r="DR165" t="str">
            <v/>
          </cell>
          <cell r="DS165">
            <v>0</v>
          </cell>
          <cell r="DT165">
            <v>81</v>
          </cell>
          <cell r="DU165" t="e">
            <v>#VALUE!</v>
          </cell>
          <cell r="DV165" t="str">
            <v/>
          </cell>
          <cell r="DW165">
            <v>0</v>
          </cell>
          <cell r="DX165">
            <v>0</v>
          </cell>
          <cell r="DY165" t="e">
            <v>#VALUE!</v>
          </cell>
          <cell r="DZ165" t="str">
            <v/>
          </cell>
          <cell r="EA165">
            <v>0</v>
          </cell>
          <cell r="EB165">
            <v>86</v>
          </cell>
          <cell r="EC165" t="e">
            <v>#VALUE!</v>
          </cell>
          <cell r="ED165" t="str">
            <v/>
          </cell>
          <cell r="EE165">
            <v>0</v>
          </cell>
          <cell r="EF165">
            <v>155</v>
          </cell>
          <cell r="EG165" t="e">
            <v>#VALUE!</v>
          </cell>
          <cell r="EH165" t="str">
            <v/>
          </cell>
          <cell r="EI165">
            <v>0</v>
          </cell>
          <cell r="EJ165">
            <v>89</v>
          </cell>
          <cell r="EK165" t="e">
            <v>#VALUE!</v>
          </cell>
          <cell r="EL165" t="str">
            <v/>
          </cell>
          <cell r="EM165">
            <v>0</v>
          </cell>
          <cell r="EN165">
            <v>91</v>
          </cell>
          <cell r="EO165" t="e">
            <v>#VALUE!</v>
          </cell>
          <cell r="EP165" t="str">
            <v/>
          </cell>
          <cell r="EQ165">
            <v>0</v>
          </cell>
          <cell r="ER165">
            <v>0</v>
          </cell>
          <cell r="ES165" t="e">
            <v>#VALUE!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str">
            <v/>
          </cell>
          <cell r="P166" t="str">
            <v/>
          </cell>
          <cell r="Q166" t="str">
            <v/>
          </cell>
          <cell r="R166" t="str">
            <v/>
          </cell>
          <cell r="S166" t="str">
            <v/>
          </cell>
          <cell r="T166" t="str">
            <v/>
          </cell>
          <cell r="U166" t="str">
            <v/>
          </cell>
          <cell r="V166" t="str">
            <v/>
          </cell>
          <cell r="W166" t="str">
            <v/>
          </cell>
          <cell r="X166" t="str">
            <v/>
          </cell>
          <cell r="Y166" t="str">
            <v/>
          </cell>
          <cell r="Z166" t="str">
            <v/>
          </cell>
          <cell r="AA166" t="str">
            <v/>
          </cell>
          <cell r="AB166" t="str">
            <v/>
          </cell>
          <cell r="AC166" t="str">
            <v/>
          </cell>
          <cell r="AD166" t="str">
            <v/>
          </cell>
          <cell r="AE166" t="str">
            <v/>
          </cell>
          <cell r="AF166" t="str">
            <v/>
          </cell>
          <cell r="AG166" t="str">
            <v/>
          </cell>
          <cell r="AH166" t="str">
            <v/>
          </cell>
          <cell r="AI166" t="str">
            <v/>
          </cell>
          <cell r="AJ166" t="str">
            <v/>
          </cell>
          <cell r="AK166" t="str">
            <v/>
          </cell>
          <cell r="AL166" t="str">
            <v/>
          </cell>
          <cell r="AM166" t="str">
            <v/>
          </cell>
          <cell r="AN166" t="str">
            <v/>
          </cell>
          <cell r="AO166" t="str">
            <v/>
          </cell>
          <cell r="AP166" t="str">
            <v/>
          </cell>
          <cell r="AQ166" t="str">
            <v/>
          </cell>
          <cell r="AR166" t="str">
            <v/>
          </cell>
          <cell r="AS166" t="str">
            <v/>
          </cell>
          <cell r="AT166" t="str">
            <v/>
          </cell>
          <cell r="AU166" t="str">
            <v/>
          </cell>
          <cell r="AV166" t="str">
            <v/>
          </cell>
          <cell r="AW166" t="str">
            <v/>
          </cell>
          <cell r="AX166" t="str">
            <v/>
          </cell>
          <cell r="AY166" t="str">
            <v/>
          </cell>
          <cell r="AZ166" t="str">
            <v/>
          </cell>
          <cell r="BA166" t="str">
            <v/>
          </cell>
          <cell r="BB166" t="str">
            <v/>
          </cell>
          <cell r="BC166" t="str">
            <v/>
          </cell>
          <cell r="BD166" t="str">
            <v/>
          </cell>
          <cell r="BE166" t="str">
            <v/>
          </cell>
          <cell r="BF166" t="str">
            <v/>
          </cell>
          <cell r="BG166" t="str">
            <v/>
          </cell>
          <cell r="BH166" t="str">
            <v/>
          </cell>
          <cell r="BI166" t="str">
            <v/>
          </cell>
          <cell r="BJ166" t="str">
            <v/>
          </cell>
          <cell r="BK166" t="str">
            <v/>
          </cell>
          <cell r="BL166" t="str">
            <v/>
          </cell>
          <cell r="BM166" t="str">
            <v/>
          </cell>
          <cell r="BN166" t="str">
            <v/>
          </cell>
          <cell r="BO166" t="str">
            <v/>
          </cell>
          <cell r="BP166" t="str">
            <v/>
          </cell>
          <cell r="BQ166" t="str">
            <v/>
          </cell>
          <cell r="BR166" t="str">
            <v/>
          </cell>
          <cell r="BS166" t="str">
            <v/>
          </cell>
          <cell r="BT166" t="str">
            <v/>
          </cell>
          <cell r="BU166" t="str">
            <v/>
          </cell>
          <cell r="BV166" t="str">
            <v/>
          </cell>
          <cell r="BW166" t="str">
            <v/>
          </cell>
          <cell r="BX166" t="str">
            <v/>
          </cell>
          <cell r="BY166" t="str">
            <v/>
          </cell>
          <cell r="BZ166" t="str">
            <v/>
          </cell>
          <cell r="CA166" t="str">
            <v/>
          </cell>
          <cell r="CB166" t="str">
            <v/>
          </cell>
          <cell r="CC166" t="str">
            <v/>
          </cell>
          <cell r="CD166" t="str">
            <v/>
          </cell>
          <cell r="CE166" t="str">
            <v/>
          </cell>
          <cell r="CF166" t="str">
            <v/>
          </cell>
          <cell r="CG166" t="str">
            <v/>
          </cell>
          <cell r="CH166" t="str">
            <v/>
          </cell>
          <cell r="CI166" t="str">
            <v/>
          </cell>
          <cell r="CJ166" t="str">
            <v/>
          </cell>
          <cell r="CK166" t="str">
            <v/>
          </cell>
          <cell r="CL166">
            <v>0</v>
          </cell>
          <cell r="CM166">
            <v>0</v>
          </cell>
          <cell r="CN166">
            <v>0</v>
          </cell>
          <cell r="CO166" t="str">
            <v>N.R</v>
          </cell>
          <cell r="CP166" t="str">
            <v/>
          </cell>
          <cell r="CQ166">
            <v>41</v>
          </cell>
          <cell r="CR166">
            <v>87</v>
          </cell>
          <cell r="CS166" t="e">
            <v>#VALUE!</v>
          </cell>
          <cell r="CT166" t="str">
            <v/>
          </cell>
          <cell r="CU166">
            <v>35</v>
          </cell>
          <cell r="CV166">
            <v>74</v>
          </cell>
          <cell r="CW166" t="e">
            <v>#VALUE!</v>
          </cell>
          <cell r="CX166" t="str">
            <v/>
          </cell>
          <cell r="CY166">
            <v>59</v>
          </cell>
          <cell r="CZ166">
            <v>97</v>
          </cell>
          <cell r="DA166" t="e">
            <v>#VALUE!</v>
          </cell>
          <cell r="DB166" t="str">
            <v/>
          </cell>
          <cell r="DC166">
            <v>0</v>
          </cell>
          <cell r="DD166">
            <v>0</v>
          </cell>
          <cell r="DE166" t="e">
            <v>#VALUE!</v>
          </cell>
          <cell r="DF166" t="str">
            <v/>
          </cell>
          <cell r="DG166">
            <v>33</v>
          </cell>
          <cell r="DH166">
            <v>87</v>
          </cell>
          <cell r="DI166" t="e">
            <v>#VALUE!</v>
          </cell>
          <cell r="DJ166" t="str">
            <v/>
          </cell>
          <cell r="DK166">
            <v>29</v>
          </cell>
          <cell r="DL166">
            <v>88</v>
          </cell>
          <cell r="DM166" t="e">
            <v>#VALUE!</v>
          </cell>
          <cell r="DN166" t="str">
            <v/>
          </cell>
          <cell r="DO166">
            <v>35</v>
          </cell>
          <cell r="DP166">
            <v>92</v>
          </cell>
          <cell r="DQ166" t="e">
            <v>#VALUE!</v>
          </cell>
          <cell r="DR166" t="str">
            <v/>
          </cell>
          <cell r="DS166">
            <v>0</v>
          </cell>
          <cell r="DT166">
            <v>81</v>
          </cell>
          <cell r="DU166" t="e">
            <v>#VALUE!</v>
          </cell>
          <cell r="DV166" t="str">
            <v/>
          </cell>
          <cell r="DW166">
            <v>0</v>
          </cell>
          <cell r="DX166">
            <v>0</v>
          </cell>
          <cell r="DY166" t="e">
            <v>#VALUE!</v>
          </cell>
          <cell r="DZ166" t="str">
            <v/>
          </cell>
          <cell r="EA166">
            <v>0</v>
          </cell>
          <cell r="EB166">
            <v>86</v>
          </cell>
          <cell r="EC166" t="e">
            <v>#VALUE!</v>
          </cell>
          <cell r="ED166" t="str">
            <v/>
          </cell>
          <cell r="EE166">
            <v>0</v>
          </cell>
          <cell r="EF166">
            <v>156</v>
          </cell>
          <cell r="EG166" t="e">
            <v>#VALUE!</v>
          </cell>
          <cell r="EH166" t="str">
            <v/>
          </cell>
          <cell r="EI166">
            <v>0</v>
          </cell>
          <cell r="EJ166">
            <v>89</v>
          </cell>
          <cell r="EK166" t="e">
            <v>#VALUE!</v>
          </cell>
          <cell r="EL166" t="str">
            <v/>
          </cell>
          <cell r="EM166">
            <v>0</v>
          </cell>
          <cell r="EN166">
            <v>91</v>
          </cell>
          <cell r="EO166" t="e">
            <v>#VALUE!</v>
          </cell>
          <cell r="EP166" t="str">
            <v/>
          </cell>
          <cell r="EQ166">
            <v>0</v>
          </cell>
          <cell r="ER166">
            <v>0</v>
          </cell>
          <cell r="ES166" t="e">
            <v>#VALUE!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 t="str">
            <v/>
          </cell>
          <cell r="P167" t="str">
            <v/>
          </cell>
          <cell r="Q167" t="str">
            <v/>
          </cell>
          <cell r="R167" t="str">
            <v/>
          </cell>
          <cell r="S167" t="str">
            <v/>
          </cell>
          <cell r="T167" t="str">
            <v/>
          </cell>
          <cell r="U167" t="str">
            <v/>
          </cell>
          <cell r="V167" t="str">
            <v/>
          </cell>
          <cell r="W167" t="str">
            <v/>
          </cell>
          <cell r="X167" t="str">
            <v/>
          </cell>
          <cell r="Y167" t="str">
            <v/>
          </cell>
          <cell r="Z167" t="str">
            <v/>
          </cell>
          <cell r="AA167" t="str">
            <v/>
          </cell>
          <cell r="AB167" t="str">
            <v/>
          </cell>
          <cell r="AC167" t="str">
            <v/>
          </cell>
          <cell r="AD167" t="str">
            <v/>
          </cell>
          <cell r="AE167" t="str">
            <v/>
          </cell>
          <cell r="AF167" t="str">
            <v/>
          </cell>
          <cell r="AG167" t="str">
            <v/>
          </cell>
          <cell r="AH167" t="str">
            <v/>
          </cell>
          <cell r="AI167" t="str">
            <v/>
          </cell>
          <cell r="AJ167" t="str">
            <v/>
          </cell>
          <cell r="AK167" t="str">
            <v/>
          </cell>
          <cell r="AL167" t="str">
            <v/>
          </cell>
          <cell r="AM167" t="str">
            <v/>
          </cell>
          <cell r="AN167" t="str">
            <v/>
          </cell>
          <cell r="AO167" t="str">
            <v/>
          </cell>
          <cell r="AP167" t="str">
            <v/>
          </cell>
          <cell r="AQ167" t="str">
            <v/>
          </cell>
          <cell r="AR167" t="str">
            <v/>
          </cell>
          <cell r="AS167" t="str">
            <v/>
          </cell>
          <cell r="AT167" t="str">
            <v/>
          </cell>
          <cell r="AU167" t="str">
            <v/>
          </cell>
          <cell r="AV167" t="str">
            <v/>
          </cell>
          <cell r="AW167" t="str">
            <v/>
          </cell>
          <cell r="AX167" t="str">
            <v/>
          </cell>
          <cell r="AY167" t="str">
            <v/>
          </cell>
          <cell r="AZ167" t="str">
            <v/>
          </cell>
          <cell r="BA167" t="str">
            <v/>
          </cell>
          <cell r="BB167" t="str">
            <v/>
          </cell>
          <cell r="BC167" t="str">
            <v/>
          </cell>
          <cell r="BD167" t="str">
            <v/>
          </cell>
          <cell r="BE167" t="str">
            <v/>
          </cell>
          <cell r="BF167" t="str">
            <v/>
          </cell>
          <cell r="BG167" t="str">
            <v/>
          </cell>
          <cell r="BH167" t="str">
            <v/>
          </cell>
          <cell r="BI167" t="str">
            <v/>
          </cell>
          <cell r="BJ167" t="str">
            <v/>
          </cell>
          <cell r="BK167" t="str">
            <v/>
          </cell>
          <cell r="BL167" t="str">
            <v/>
          </cell>
          <cell r="BM167" t="str">
            <v/>
          </cell>
          <cell r="BN167" t="str">
            <v/>
          </cell>
          <cell r="BO167" t="str">
            <v/>
          </cell>
          <cell r="BP167" t="str">
            <v/>
          </cell>
          <cell r="BQ167" t="str">
            <v/>
          </cell>
          <cell r="BR167" t="str">
            <v/>
          </cell>
          <cell r="BS167" t="str">
            <v/>
          </cell>
          <cell r="BT167" t="str">
            <v/>
          </cell>
          <cell r="BU167" t="str">
            <v/>
          </cell>
          <cell r="BV167" t="str">
            <v/>
          </cell>
          <cell r="BW167" t="str">
            <v/>
          </cell>
          <cell r="BX167" t="str">
            <v/>
          </cell>
          <cell r="BY167" t="str">
            <v/>
          </cell>
          <cell r="BZ167" t="str">
            <v/>
          </cell>
          <cell r="CA167" t="str">
            <v/>
          </cell>
          <cell r="CB167" t="str">
            <v/>
          </cell>
          <cell r="CC167" t="str">
            <v/>
          </cell>
          <cell r="CD167" t="str">
            <v/>
          </cell>
          <cell r="CE167" t="str">
            <v/>
          </cell>
          <cell r="CF167" t="str">
            <v/>
          </cell>
          <cell r="CG167" t="str">
            <v/>
          </cell>
          <cell r="CH167" t="str">
            <v/>
          </cell>
          <cell r="CI167" t="str">
            <v/>
          </cell>
          <cell r="CJ167" t="str">
            <v/>
          </cell>
          <cell r="CK167" t="str">
            <v/>
          </cell>
          <cell r="CL167">
            <v>0</v>
          </cell>
          <cell r="CM167">
            <v>0</v>
          </cell>
          <cell r="CN167">
            <v>0</v>
          </cell>
          <cell r="CO167" t="str">
            <v>N.R</v>
          </cell>
          <cell r="CP167" t="str">
            <v/>
          </cell>
          <cell r="CQ167">
            <v>41</v>
          </cell>
          <cell r="CR167">
            <v>87</v>
          </cell>
          <cell r="CS167" t="e">
            <v>#VALUE!</v>
          </cell>
          <cell r="CT167" t="str">
            <v/>
          </cell>
          <cell r="CU167">
            <v>35</v>
          </cell>
          <cell r="CV167">
            <v>74</v>
          </cell>
          <cell r="CW167" t="e">
            <v>#VALUE!</v>
          </cell>
          <cell r="CX167" t="str">
            <v/>
          </cell>
          <cell r="CY167">
            <v>59</v>
          </cell>
          <cell r="CZ167">
            <v>97</v>
          </cell>
          <cell r="DA167" t="e">
            <v>#VALUE!</v>
          </cell>
          <cell r="DB167" t="str">
            <v/>
          </cell>
          <cell r="DC167">
            <v>0</v>
          </cell>
          <cell r="DD167">
            <v>0</v>
          </cell>
          <cell r="DE167" t="e">
            <v>#VALUE!</v>
          </cell>
          <cell r="DF167" t="str">
            <v/>
          </cell>
          <cell r="DG167">
            <v>33</v>
          </cell>
          <cell r="DH167">
            <v>87</v>
          </cell>
          <cell r="DI167" t="e">
            <v>#VALUE!</v>
          </cell>
          <cell r="DJ167" t="str">
            <v/>
          </cell>
          <cell r="DK167">
            <v>29</v>
          </cell>
          <cell r="DL167">
            <v>88</v>
          </cell>
          <cell r="DM167" t="e">
            <v>#VALUE!</v>
          </cell>
          <cell r="DN167" t="str">
            <v/>
          </cell>
          <cell r="DO167">
            <v>35</v>
          </cell>
          <cell r="DP167">
            <v>92</v>
          </cell>
          <cell r="DQ167" t="e">
            <v>#VALUE!</v>
          </cell>
          <cell r="DR167" t="str">
            <v/>
          </cell>
          <cell r="DS167">
            <v>0</v>
          </cell>
          <cell r="DT167">
            <v>81</v>
          </cell>
          <cell r="DU167" t="e">
            <v>#VALUE!</v>
          </cell>
          <cell r="DV167" t="str">
            <v/>
          </cell>
          <cell r="DW167">
            <v>0</v>
          </cell>
          <cell r="DX167">
            <v>0</v>
          </cell>
          <cell r="DY167" t="e">
            <v>#VALUE!</v>
          </cell>
          <cell r="DZ167" t="str">
            <v/>
          </cell>
          <cell r="EA167">
            <v>0</v>
          </cell>
          <cell r="EB167">
            <v>86</v>
          </cell>
          <cell r="EC167" t="e">
            <v>#VALUE!</v>
          </cell>
          <cell r="ED167" t="str">
            <v/>
          </cell>
          <cell r="EE167">
            <v>0</v>
          </cell>
          <cell r="EF167">
            <v>157</v>
          </cell>
          <cell r="EG167" t="e">
            <v>#VALUE!</v>
          </cell>
          <cell r="EH167" t="str">
            <v/>
          </cell>
          <cell r="EI167">
            <v>0</v>
          </cell>
          <cell r="EJ167">
            <v>89</v>
          </cell>
          <cell r="EK167" t="e">
            <v>#VALUE!</v>
          </cell>
          <cell r="EL167" t="str">
            <v/>
          </cell>
          <cell r="EM167">
            <v>0</v>
          </cell>
          <cell r="EN167">
            <v>91</v>
          </cell>
          <cell r="EO167" t="e">
            <v>#VALUE!</v>
          </cell>
          <cell r="EP167" t="str">
            <v/>
          </cell>
          <cell r="EQ167">
            <v>0</v>
          </cell>
          <cell r="ER167">
            <v>0</v>
          </cell>
          <cell r="ES167" t="e">
            <v>#VALUE!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str">
            <v/>
          </cell>
          <cell r="P168" t="str">
            <v/>
          </cell>
          <cell r="Q168" t="str">
            <v/>
          </cell>
          <cell r="R168" t="str">
            <v/>
          </cell>
          <cell r="S168" t="str">
            <v/>
          </cell>
          <cell r="T168" t="str">
            <v/>
          </cell>
          <cell r="U168" t="str">
            <v/>
          </cell>
          <cell r="V168" t="str">
            <v/>
          </cell>
          <cell r="W168" t="str">
            <v/>
          </cell>
          <cell r="X168" t="str">
            <v/>
          </cell>
          <cell r="Y168" t="str">
            <v/>
          </cell>
          <cell r="Z168" t="str">
            <v/>
          </cell>
          <cell r="AA168" t="str">
            <v/>
          </cell>
          <cell r="AB168" t="str">
            <v/>
          </cell>
          <cell r="AC168" t="str">
            <v/>
          </cell>
          <cell r="AD168" t="str">
            <v/>
          </cell>
          <cell r="AE168" t="str">
            <v/>
          </cell>
          <cell r="AF168" t="str">
            <v/>
          </cell>
          <cell r="AG168" t="str">
            <v/>
          </cell>
          <cell r="AH168" t="str">
            <v/>
          </cell>
          <cell r="AI168" t="str">
            <v/>
          </cell>
          <cell r="AJ168" t="str">
            <v/>
          </cell>
          <cell r="AK168" t="str">
            <v/>
          </cell>
          <cell r="AL168" t="str">
            <v/>
          </cell>
          <cell r="AM168" t="str">
            <v/>
          </cell>
          <cell r="AN168" t="str">
            <v/>
          </cell>
          <cell r="AO168" t="str">
            <v/>
          </cell>
          <cell r="AP168" t="str">
            <v/>
          </cell>
          <cell r="AQ168" t="str">
            <v/>
          </cell>
          <cell r="AR168" t="str">
            <v/>
          </cell>
          <cell r="AS168" t="str">
            <v/>
          </cell>
          <cell r="AT168" t="str">
            <v/>
          </cell>
          <cell r="AU168" t="str">
            <v/>
          </cell>
          <cell r="AV168" t="str">
            <v/>
          </cell>
          <cell r="AW168" t="str">
            <v/>
          </cell>
          <cell r="AX168" t="str">
            <v/>
          </cell>
          <cell r="AY168" t="str">
            <v/>
          </cell>
          <cell r="AZ168" t="str">
            <v/>
          </cell>
          <cell r="BA168" t="str">
            <v/>
          </cell>
          <cell r="BB168" t="str">
            <v/>
          </cell>
          <cell r="BC168" t="str">
            <v/>
          </cell>
          <cell r="BD168" t="str">
            <v/>
          </cell>
          <cell r="BE168" t="str">
            <v/>
          </cell>
          <cell r="BF168" t="str">
            <v/>
          </cell>
          <cell r="BG168" t="str">
            <v/>
          </cell>
          <cell r="BH168" t="str">
            <v/>
          </cell>
          <cell r="BI168" t="str">
            <v/>
          </cell>
          <cell r="BJ168" t="str">
            <v/>
          </cell>
          <cell r="BK168" t="str">
            <v/>
          </cell>
          <cell r="BL168" t="str">
            <v/>
          </cell>
          <cell r="BM168" t="str">
            <v/>
          </cell>
          <cell r="BN168" t="str">
            <v/>
          </cell>
          <cell r="BO168" t="str">
            <v/>
          </cell>
          <cell r="BP168" t="str">
            <v/>
          </cell>
          <cell r="BQ168" t="str">
            <v/>
          </cell>
          <cell r="BR168" t="str">
            <v/>
          </cell>
          <cell r="BS168" t="str">
            <v/>
          </cell>
          <cell r="BT168" t="str">
            <v/>
          </cell>
          <cell r="BU168" t="str">
            <v/>
          </cell>
          <cell r="BV168" t="str">
            <v/>
          </cell>
          <cell r="BW168" t="str">
            <v/>
          </cell>
          <cell r="BX168" t="str">
            <v/>
          </cell>
          <cell r="BY168" t="str">
            <v/>
          </cell>
          <cell r="BZ168" t="str">
            <v/>
          </cell>
          <cell r="CA168" t="str">
            <v/>
          </cell>
          <cell r="CB168" t="str">
            <v/>
          </cell>
          <cell r="CC168" t="str">
            <v/>
          </cell>
          <cell r="CD168" t="str">
            <v/>
          </cell>
          <cell r="CE168" t="str">
            <v/>
          </cell>
          <cell r="CF168" t="str">
            <v/>
          </cell>
          <cell r="CG168" t="str">
            <v/>
          </cell>
          <cell r="CH168" t="str">
            <v/>
          </cell>
          <cell r="CI168" t="str">
            <v/>
          </cell>
          <cell r="CJ168" t="str">
            <v/>
          </cell>
          <cell r="CK168" t="str">
            <v/>
          </cell>
          <cell r="CL168">
            <v>0</v>
          </cell>
          <cell r="CM168">
            <v>0</v>
          </cell>
          <cell r="CN168">
            <v>0</v>
          </cell>
          <cell r="CO168" t="str">
            <v>N.R</v>
          </cell>
          <cell r="CP168" t="str">
            <v/>
          </cell>
          <cell r="CQ168">
            <v>41</v>
          </cell>
          <cell r="CR168">
            <v>87</v>
          </cell>
          <cell r="CS168" t="e">
            <v>#VALUE!</v>
          </cell>
          <cell r="CT168" t="str">
            <v/>
          </cell>
          <cell r="CU168">
            <v>35</v>
          </cell>
          <cell r="CV168">
            <v>74</v>
          </cell>
          <cell r="CW168" t="e">
            <v>#VALUE!</v>
          </cell>
          <cell r="CX168" t="str">
            <v/>
          </cell>
          <cell r="CY168">
            <v>59</v>
          </cell>
          <cell r="CZ168">
            <v>97</v>
          </cell>
          <cell r="DA168" t="e">
            <v>#VALUE!</v>
          </cell>
          <cell r="DB168" t="str">
            <v/>
          </cell>
          <cell r="DC168">
            <v>0</v>
          </cell>
          <cell r="DD168">
            <v>0</v>
          </cell>
          <cell r="DE168" t="e">
            <v>#VALUE!</v>
          </cell>
          <cell r="DF168" t="str">
            <v/>
          </cell>
          <cell r="DG168">
            <v>33</v>
          </cell>
          <cell r="DH168">
            <v>87</v>
          </cell>
          <cell r="DI168" t="e">
            <v>#VALUE!</v>
          </cell>
          <cell r="DJ168" t="str">
            <v/>
          </cell>
          <cell r="DK168">
            <v>29</v>
          </cell>
          <cell r="DL168">
            <v>88</v>
          </cell>
          <cell r="DM168" t="e">
            <v>#VALUE!</v>
          </cell>
          <cell r="DN168" t="str">
            <v/>
          </cell>
          <cell r="DO168">
            <v>35</v>
          </cell>
          <cell r="DP168">
            <v>92</v>
          </cell>
          <cell r="DQ168" t="e">
            <v>#VALUE!</v>
          </cell>
          <cell r="DR168" t="str">
            <v/>
          </cell>
          <cell r="DS168">
            <v>0</v>
          </cell>
          <cell r="DT168">
            <v>81</v>
          </cell>
          <cell r="DU168" t="e">
            <v>#VALUE!</v>
          </cell>
          <cell r="DV168" t="str">
            <v/>
          </cell>
          <cell r="DW168">
            <v>0</v>
          </cell>
          <cell r="DX168">
            <v>0</v>
          </cell>
          <cell r="DY168" t="e">
            <v>#VALUE!</v>
          </cell>
          <cell r="DZ168" t="str">
            <v/>
          </cell>
          <cell r="EA168">
            <v>0</v>
          </cell>
          <cell r="EB168">
            <v>86</v>
          </cell>
          <cell r="EC168" t="e">
            <v>#VALUE!</v>
          </cell>
          <cell r="ED168" t="str">
            <v/>
          </cell>
          <cell r="EE168">
            <v>0</v>
          </cell>
          <cell r="EF168">
            <v>158</v>
          </cell>
          <cell r="EG168" t="e">
            <v>#VALUE!</v>
          </cell>
          <cell r="EH168" t="str">
            <v/>
          </cell>
          <cell r="EI168">
            <v>0</v>
          </cell>
          <cell r="EJ168">
            <v>89</v>
          </cell>
          <cell r="EK168" t="e">
            <v>#VALUE!</v>
          </cell>
          <cell r="EL168" t="str">
            <v/>
          </cell>
          <cell r="EM168">
            <v>0</v>
          </cell>
          <cell r="EN168">
            <v>91</v>
          </cell>
          <cell r="EO168" t="e">
            <v>#VALUE!</v>
          </cell>
          <cell r="EP168" t="str">
            <v/>
          </cell>
          <cell r="EQ168">
            <v>0</v>
          </cell>
          <cell r="ER168">
            <v>0</v>
          </cell>
          <cell r="ES168" t="e">
            <v>#VALUE!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str">
            <v/>
          </cell>
          <cell r="P169" t="str">
            <v/>
          </cell>
          <cell r="Q169" t="str">
            <v/>
          </cell>
          <cell r="R169" t="str">
            <v/>
          </cell>
          <cell r="S169" t="str">
            <v/>
          </cell>
          <cell r="T169" t="str">
            <v/>
          </cell>
          <cell r="U169" t="str">
            <v/>
          </cell>
          <cell r="V169" t="str">
            <v/>
          </cell>
          <cell r="W169" t="str">
            <v/>
          </cell>
          <cell r="X169" t="str">
            <v/>
          </cell>
          <cell r="Y169" t="str">
            <v/>
          </cell>
          <cell r="Z169" t="str">
            <v/>
          </cell>
          <cell r="AA169" t="str">
            <v/>
          </cell>
          <cell r="AB169" t="str">
            <v/>
          </cell>
          <cell r="AC169" t="str">
            <v/>
          </cell>
          <cell r="AD169" t="str">
            <v/>
          </cell>
          <cell r="AE169" t="str">
            <v/>
          </cell>
          <cell r="AF169" t="str">
            <v/>
          </cell>
          <cell r="AG169" t="str">
            <v/>
          </cell>
          <cell r="AH169" t="str">
            <v/>
          </cell>
          <cell r="AI169" t="str">
            <v/>
          </cell>
          <cell r="AJ169" t="str">
            <v/>
          </cell>
          <cell r="AK169" t="str">
            <v/>
          </cell>
          <cell r="AL169" t="str">
            <v/>
          </cell>
          <cell r="AM169" t="str">
            <v/>
          </cell>
          <cell r="AN169" t="str">
            <v/>
          </cell>
          <cell r="AO169" t="str">
            <v/>
          </cell>
          <cell r="AP169" t="str">
            <v/>
          </cell>
          <cell r="AQ169" t="str">
            <v/>
          </cell>
          <cell r="AR169" t="str">
            <v/>
          </cell>
          <cell r="AS169" t="str">
            <v/>
          </cell>
          <cell r="AT169" t="str">
            <v/>
          </cell>
          <cell r="AU169" t="str">
            <v/>
          </cell>
          <cell r="AV169" t="str">
            <v/>
          </cell>
          <cell r="AW169" t="str">
            <v/>
          </cell>
          <cell r="AX169" t="str">
            <v/>
          </cell>
          <cell r="AY169" t="str">
            <v/>
          </cell>
          <cell r="AZ169" t="str">
            <v/>
          </cell>
          <cell r="BA169" t="str">
            <v/>
          </cell>
          <cell r="BB169" t="str">
            <v/>
          </cell>
          <cell r="BC169" t="str">
            <v/>
          </cell>
          <cell r="BD169" t="str">
            <v/>
          </cell>
          <cell r="BE169" t="str">
            <v/>
          </cell>
          <cell r="BF169" t="str">
            <v/>
          </cell>
          <cell r="BG169" t="str">
            <v/>
          </cell>
          <cell r="BH169" t="str">
            <v/>
          </cell>
          <cell r="BI169" t="str">
            <v/>
          </cell>
          <cell r="BJ169" t="str">
            <v/>
          </cell>
          <cell r="BK169" t="str">
            <v/>
          </cell>
          <cell r="BL169" t="str">
            <v/>
          </cell>
          <cell r="BM169" t="str">
            <v/>
          </cell>
          <cell r="BN169" t="str">
            <v/>
          </cell>
          <cell r="BO169" t="str">
            <v/>
          </cell>
          <cell r="BP169" t="str">
            <v/>
          </cell>
          <cell r="BQ169" t="str">
            <v/>
          </cell>
          <cell r="BR169" t="str">
            <v/>
          </cell>
          <cell r="BS169" t="str">
            <v/>
          </cell>
          <cell r="BT169" t="str">
            <v/>
          </cell>
          <cell r="BU169" t="str">
            <v/>
          </cell>
          <cell r="BV169" t="str">
            <v/>
          </cell>
          <cell r="BW169" t="str">
            <v/>
          </cell>
          <cell r="BX169" t="str">
            <v/>
          </cell>
          <cell r="BY169" t="str">
            <v/>
          </cell>
          <cell r="BZ169" t="str">
            <v/>
          </cell>
          <cell r="CA169" t="str">
            <v/>
          </cell>
          <cell r="CB169" t="str">
            <v/>
          </cell>
          <cell r="CC169" t="str">
            <v/>
          </cell>
          <cell r="CD169" t="str">
            <v/>
          </cell>
          <cell r="CE169" t="str">
            <v/>
          </cell>
          <cell r="CF169" t="str">
            <v/>
          </cell>
          <cell r="CG169" t="str">
            <v/>
          </cell>
          <cell r="CH169" t="str">
            <v/>
          </cell>
          <cell r="CI169" t="str">
            <v/>
          </cell>
          <cell r="CJ169" t="str">
            <v/>
          </cell>
          <cell r="CK169" t="str">
            <v/>
          </cell>
          <cell r="CL169">
            <v>0</v>
          </cell>
          <cell r="CM169">
            <v>0</v>
          </cell>
          <cell r="CN169">
            <v>0</v>
          </cell>
          <cell r="CO169" t="str">
            <v>N.R</v>
          </cell>
          <cell r="CP169" t="str">
            <v/>
          </cell>
          <cell r="CQ169">
            <v>41</v>
          </cell>
          <cell r="CR169">
            <v>87</v>
          </cell>
          <cell r="CS169" t="e">
            <v>#VALUE!</v>
          </cell>
          <cell r="CT169" t="str">
            <v/>
          </cell>
          <cell r="CU169">
            <v>35</v>
          </cell>
          <cell r="CV169">
            <v>74</v>
          </cell>
          <cell r="CW169" t="e">
            <v>#VALUE!</v>
          </cell>
          <cell r="CX169" t="str">
            <v/>
          </cell>
          <cell r="CY169">
            <v>59</v>
          </cell>
          <cell r="CZ169">
            <v>97</v>
          </cell>
          <cell r="DA169" t="e">
            <v>#VALUE!</v>
          </cell>
          <cell r="DB169" t="str">
            <v/>
          </cell>
          <cell r="DC169">
            <v>0</v>
          </cell>
          <cell r="DD169">
            <v>0</v>
          </cell>
          <cell r="DE169" t="e">
            <v>#VALUE!</v>
          </cell>
          <cell r="DF169" t="str">
            <v/>
          </cell>
          <cell r="DG169">
            <v>33</v>
          </cell>
          <cell r="DH169">
            <v>87</v>
          </cell>
          <cell r="DI169" t="e">
            <v>#VALUE!</v>
          </cell>
          <cell r="DJ169" t="str">
            <v/>
          </cell>
          <cell r="DK169">
            <v>29</v>
          </cell>
          <cell r="DL169">
            <v>88</v>
          </cell>
          <cell r="DM169" t="e">
            <v>#VALUE!</v>
          </cell>
          <cell r="DN169" t="str">
            <v/>
          </cell>
          <cell r="DO169">
            <v>35</v>
          </cell>
          <cell r="DP169">
            <v>92</v>
          </cell>
          <cell r="DQ169" t="e">
            <v>#VALUE!</v>
          </cell>
          <cell r="DR169" t="str">
            <v/>
          </cell>
          <cell r="DS169">
            <v>0</v>
          </cell>
          <cell r="DT169">
            <v>81</v>
          </cell>
          <cell r="DU169" t="e">
            <v>#VALUE!</v>
          </cell>
          <cell r="DV169" t="str">
            <v/>
          </cell>
          <cell r="DW169">
            <v>0</v>
          </cell>
          <cell r="DX169">
            <v>0</v>
          </cell>
          <cell r="DY169" t="e">
            <v>#VALUE!</v>
          </cell>
          <cell r="DZ169" t="str">
            <v/>
          </cell>
          <cell r="EA169">
            <v>0</v>
          </cell>
          <cell r="EB169">
            <v>86</v>
          </cell>
          <cell r="EC169" t="e">
            <v>#VALUE!</v>
          </cell>
          <cell r="ED169" t="str">
            <v/>
          </cell>
          <cell r="EE169">
            <v>0</v>
          </cell>
          <cell r="EF169">
            <v>159</v>
          </cell>
          <cell r="EG169" t="e">
            <v>#VALUE!</v>
          </cell>
          <cell r="EH169" t="str">
            <v/>
          </cell>
          <cell r="EI169">
            <v>0</v>
          </cell>
          <cell r="EJ169">
            <v>89</v>
          </cell>
          <cell r="EK169" t="e">
            <v>#VALUE!</v>
          </cell>
          <cell r="EL169" t="str">
            <v/>
          </cell>
          <cell r="EM169">
            <v>0</v>
          </cell>
          <cell r="EN169">
            <v>91</v>
          </cell>
          <cell r="EO169" t="e">
            <v>#VALUE!</v>
          </cell>
          <cell r="EP169" t="str">
            <v/>
          </cell>
          <cell r="EQ169">
            <v>0</v>
          </cell>
          <cell r="ER169">
            <v>0</v>
          </cell>
          <cell r="ES169" t="e">
            <v>#VALUE!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str">
            <v/>
          </cell>
          <cell r="P170" t="str">
            <v/>
          </cell>
          <cell r="Q170" t="str">
            <v/>
          </cell>
          <cell r="R170" t="str">
            <v/>
          </cell>
          <cell r="S170" t="str">
            <v/>
          </cell>
          <cell r="T170" t="str">
            <v/>
          </cell>
          <cell r="U170" t="str">
            <v/>
          </cell>
          <cell r="V170" t="str">
            <v/>
          </cell>
          <cell r="W170" t="str">
            <v/>
          </cell>
          <cell r="X170" t="str">
            <v/>
          </cell>
          <cell r="Y170" t="str">
            <v/>
          </cell>
          <cell r="Z170" t="str">
            <v/>
          </cell>
          <cell r="AA170" t="str">
            <v/>
          </cell>
          <cell r="AB170" t="str">
            <v/>
          </cell>
          <cell r="AC170" t="str">
            <v/>
          </cell>
          <cell r="AD170" t="str">
            <v/>
          </cell>
          <cell r="AE170" t="str">
            <v/>
          </cell>
          <cell r="AF170" t="str">
            <v/>
          </cell>
          <cell r="AG170" t="str">
            <v/>
          </cell>
          <cell r="AH170" t="str">
            <v/>
          </cell>
          <cell r="AI170" t="str">
            <v/>
          </cell>
          <cell r="AJ170" t="str">
            <v/>
          </cell>
          <cell r="AK170" t="str">
            <v/>
          </cell>
          <cell r="AL170" t="str">
            <v/>
          </cell>
          <cell r="AM170" t="str">
            <v/>
          </cell>
          <cell r="AN170" t="str">
            <v/>
          </cell>
          <cell r="AO170" t="str">
            <v/>
          </cell>
          <cell r="AP170" t="str">
            <v/>
          </cell>
          <cell r="AQ170" t="str">
            <v/>
          </cell>
          <cell r="AR170" t="str">
            <v/>
          </cell>
          <cell r="AS170" t="str">
            <v/>
          </cell>
          <cell r="AT170" t="str">
            <v/>
          </cell>
          <cell r="AU170" t="str">
            <v/>
          </cell>
          <cell r="AV170" t="str">
            <v/>
          </cell>
          <cell r="AW170" t="str">
            <v/>
          </cell>
          <cell r="AX170" t="str">
            <v/>
          </cell>
          <cell r="AY170" t="str">
            <v/>
          </cell>
          <cell r="AZ170" t="str">
            <v/>
          </cell>
          <cell r="BA170" t="str">
            <v/>
          </cell>
          <cell r="BB170" t="str">
            <v/>
          </cell>
          <cell r="BC170" t="str">
            <v/>
          </cell>
          <cell r="BD170" t="str">
            <v/>
          </cell>
          <cell r="BE170" t="str">
            <v/>
          </cell>
          <cell r="BF170" t="str">
            <v/>
          </cell>
          <cell r="BG170" t="str">
            <v/>
          </cell>
          <cell r="BH170" t="str">
            <v/>
          </cell>
          <cell r="BI170" t="str">
            <v/>
          </cell>
          <cell r="BJ170" t="str">
            <v/>
          </cell>
          <cell r="BK170" t="str">
            <v/>
          </cell>
          <cell r="BL170" t="str">
            <v/>
          </cell>
          <cell r="BM170" t="str">
            <v/>
          </cell>
          <cell r="BN170" t="str">
            <v/>
          </cell>
          <cell r="BO170" t="str">
            <v/>
          </cell>
          <cell r="BP170" t="str">
            <v/>
          </cell>
          <cell r="BQ170" t="str">
            <v/>
          </cell>
          <cell r="BR170" t="str">
            <v/>
          </cell>
          <cell r="BS170" t="str">
            <v/>
          </cell>
          <cell r="BT170" t="str">
            <v/>
          </cell>
          <cell r="BU170" t="str">
            <v/>
          </cell>
          <cell r="BV170" t="str">
            <v/>
          </cell>
          <cell r="BW170" t="str">
            <v/>
          </cell>
          <cell r="BX170" t="str">
            <v/>
          </cell>
          <cell r="BY170" t="str">
            <v/>
          </cell>
          <cell r="BZ170" t="str">
            <v/>
          </cell>
          <cell r="CA170" t="str">
            <v/>
          </cell>
          <cell r="CB170" t="str">
            <v/>
          </cell>
          <cell r="CC170" t="str">
            <v/>
          </cell>
          <cell r="CD170" t="str">
            <v/>
          </cell>
          <cell r="CE170" t="str">
            <v/>
          </cell>
          <cell r="CF170" t="str">
            <v/>
          </cell>
          <cell r="CG170" t="str">
            <v/>
          </cell>
          <cell r="CH170" t="str">
            <v/>
          </cell>
          <cell r="CI170" t="str">
            <v/>
          </cell>
          <cell r="CJ170" t="str">
            <v/>
          </cell>
          <cell r="CK170" t="str">
            <v/>
          </cell>
          <cell r="CL170">
            <v>0</v>
          </cell>
          <cell r="CM170">
            <v>0</v>
          </cell>
          <cell r="CN170">
            <v>0</v>
          </cell>
          <cell r="CO170" t="str">
            <v>N.R</v>
          </cell>
          <cell r="CP170" t="str">
            <v/>
          </cell>
          <cell r="CQ170">
            <v>41</v>
          </cell>
          <cell r="CR170">
            <v>87</v>
          </cell>
          <cell r="CS170" t="e">
            <v>#VALUE!</v>
          </cell>
          <cell r="CT170" t="str">
            <v/>
          </cell>
          <cell r="CU170">
            <v>35</v>
          </cell>
          <cell r="CV170">
            <v>74</v>
          </cell>
          <cell r="CW170" t="e">
            <v>#VALUE!</v>
          </cell>
          <cell r="CX170" t="str">
            <v/>
          </cell>
          <cell r="CY170">
            <v>59</v>
          </cell>
          <cell r="CZ170">
            <v>97</v>
          </cell>
          <cell r="DA170" t="e">
            <v>#VALUE!</v>
          </cell>
          <cell r="DB170" t="str">
            <v/>
          </cell>
          <cell r="DC170">
            <v>0</v>
          </cell>
          <cell r="DD170">
            <v>0</v>
          </cell>
          <cell r="DE170" t="e">
            <v>#VALUE!</v>
          </cell>
          <cell r="DF170" t="str">
            <v/>
          </cell>
          <cell r="DG170">
            <v>33</v>
          </cell>
          <cell r="DH170">
            <v>87</v>
          </cell>
          <cell r="DI170" t="e">
            <v>#VALUE!</v>
          </cell>
          <cell r="DJ170" t="str">
            <v/>
          </cell>
          <cell r="DK170">
            <v>29</v>
          </cell>
          <cell r="DL170">
            <v>88</v>
          </cell>
          <cell r="DM170" t="e">
            <v>#VALUE!</v>
          </cell>
          <cell r="DN170" t="str">
            <v/>
          </cell>
          <cell r="DO170">
            <v>35</v>
          </cell>
          <cell r="DP170">
            <v>92</v>
          </cell>
          <cell r="DQ170" t="e">
            <v>#VALUE!</v>
          </cell>
          <cell r="DR170" t="str">
            <v/>
          </cell>
          <cell r="DS170">
            <v>0</v>
          </cell>
          <cell r="DT170">
            <v>81</v>
          </cell>
          <cell r="DU170" t="e">
            <v>#VALUE!</v>
          </cell>
          <cell r="DV170" t="str">
            <v/>
          </cell>
          <cell r="DW170">
            <v>0</v>
          </cell>
          <cell r="DX170">
            <v>0</v>
          </cell>
          <cell r="DY170" t="e">
            <v>#VALUE!</v>
          </cell>
          <cell r="DZ170" t="str">
            <v/>
          </cell>
          <cell r="EA170">
            <v>0</v>
          </cell>
          <cell r="EB170">
            <v>86</v>
          </cell>
          <cell r="EC170" t="e">
            <v>#VALUE!</v>
          </cell>
          <cell r="ED170" t="str">
            <v/>
          </cell>
          <cell r="EE170">
            <v>0</v>
          </cell>
          <cell r="EF170">
            <v>160</v>
          </cell>
          <cell r="EG170" t="e">
            <v>#VALUE!</v>
          </cell>
          <cell r="EH170" t="str">
            <v/>
          </cell>
          <cell r="EI170">
            <v>0</v>
          </cell>
          <cell r="EJ170">
            <v>89</v>
          </cell>
          <cell r="EK170" t="e">
            <v>#VALUE!</v>
          </cell>
          <cell r="EL170" t="str">
            <v/>
          </cell>
          <cell r="EM170">
            <v>0</v>
          </cell>
          <cell r="EN170">
            <v>91</v>
          </cell>
          <cell r="EO170" t="e">
            <v>#VALUE!</v>
          </cell>
          <cell r="EP170" t="str">
            <v/>
          </cell>
          <cell r="EQ170">
            <v>0</v>
          </cell>
          <cell r="ER170">
            <v>0</v>
          </cell>
          <cell r="ES170" t="e">
            <v>#VALUE!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 t="str">
            <v/>
          </cell>
          <cell r="G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  <cell r="N171" t="str">
            <v/>
          </cell>
          <cell r="O171" t="str">
            <v/>
          </cell>
          <cell r="P171" t="str">
            <v/>
          </cell>
          <cell r="Q171" t="str">
            <v/>
          </cell>
          <cell r="R171" t="str">
            <v/>
          </cell>
          <cell r="S171" t="str">
            <v/>
          </cell>
          <cell r="T171" t="str">
            <v/>
          </cell>
          <cell r="U171" t="str">
            <v/>
          </cell>
          <cell r="V171" t="str">
            <v/>
          </cell>
          <cell r="W171" t="str">
            <v/>
          </cell>
          <cell r="X171" t="str">
            <v/>
          </cell>
          <cell r="Y171" t="str">
            <v/>
          </cell>
          <cell r="Z171" t="str">
            <v/>
          </cell>
          <cell r="AA171" t="str">
            <v/>
          </cell>
          <cell r="AB171" t="str">
            <v/>
          </cell>
          <cell r="AC171" t="str">
            <v/>
          </cell>
          <cell r="AD171" t="str">
            <v/>
          </cell>
          <cell r="AE171" t="str">
            <v/>
          </cell>
          <cell r="AF171" t="str">
            <v/>
          </cell>
          <cell r="AG171" t="str">
            <v/>
          </cell>
          <cell r="AH171" t="str">
            <v/>
          </cell>
          <cell r="AI171" t="str">
            <v/>
          </cell>
          <cell r="AJ171" t="str">
            <v/>
          </cell>
          <cell r="AK171" t="str">
            <v/>
          </cell>
          <cell r="AL171" t="str">
            <v/>
          </cell>
          <cell r="AM171" t="str">
            <v/>
          </cell>
          <cell r="AN171" t="str">
            <v/>
          </cell>
          <cell r="AO171" t="str">
            <v/>
          </cell>
          <cell r="AP171" t="str">
            <v/>
          </cell>
          <cell r="AQ171" t="str">
            <v/>
          </cell>
          <cell r="AR171" t="str">
            <v/>
          </cell>
          <cell r="AS171" t="str">
            <v/>
          </cell>
          <cell r="AT171" t="str">
            <v/>
          </cell>
          <cell r="AU171" t="str">
            <v/>
          </cell>
          <cell r="AV171" t="str">
            <v/>
          </cell>
          <cell r="AW171" t="str">
            <v/>
          </cell>
          <cell r="AX171" t="str">
            <v/>
          </cell>
          <cell r="AY171" t="str">
            <v/>
          </cell>
          <cell r="AZ171" t="str">
            <v/>
          </cell>
          <cell r="BA171" t="str">
            <v/>
          </cell>
          <cell r="BB171" t="str">
            <v/>
          </cell>
          <cell r="BC171" t="str">
            <v/>
          </cell>
          <cell r="BD171" t="str">
            <v/>
          </cell>
          <cell r="BE171" t="str">
            <v/>
          </cell>
          <cell r="BF171" t="str">
            <v/>
          </cell>
          <cell r="BG171" t="str">
            <v/>
          </cell>
          <cell r="BH171" t="str">
            <v/>
          </cell>
          <cell r="BI171" t="str">
            <v/>
          </cell>
          <cell r="BJ171" t="str">
            <v/>
          </cell>
          <cell r="BK171" t="str">
            <v/>
          </cell>
          <cell r="BL171" t="str">
            <v/>
          </cell>
          <cell r="BM171" t="str">
            <v/>
          </cell>
          <cell r="BN171" t="str">
            <v/>
          </cell>
          <cell r="BO171" t="str">
            <v/>
          </cell>
          <cell r="BP171" t="str">
            <v/>
          </cell>
          <cell r="BQ171" t="str">
            <v/>
          </cell>
          <cell r="BR171" t="str">
            <v/>
          </cell>
          <cell r="BS171" t="str">
            <v/>
          </cell>
          <cell r="BT171" t="str">
            <v/>
          </cell>
          <cell r="BU171" t="str">
            <v/>
          </cell>
          <cell r="BV171" t="str">
            <v/>
          </cell>
          <cell r="BW171" t="str">
            <v/>
          </cell>
          <cell r="BX171" t="str">
            <v/>
          </cell>
          <cell r="BY171" t="str">
            <v/>
          </cell>
          <cell r="BZ171" t="str">
            <v/>
          </cell>
          <cell r="CA171" t="str">
            <v/>
          </cell>
          <cell r="CB171" t="str">
            <v/>
          </cell>
          <cell r="CC171" t="str">
            <v/>
          </cell>
          <cell r="CD171" t="str">
            <v/>
          </cell>
          <cell r="CE171" t="str">
            <v/>
          </cell>
          <cell r="CF171" t="str">
            <v/>
          </cell>
          <cell r="CG171" t="str">
            <v/>
          </cell>
          <cell r="CH171" t="str">
            <v/>
          </cell>
          <cell r="CI171" t="str">
            <v/>
          </cell>
          <cell r="CJ171" t="str">
            <v/>
          </cell>
          <cell r="CK171" t="str">
            <v/>
          </cell>
          <cell r="CL171">
            <v>0</v>
          </cell>
          <cell r="CM171">
            <v>0</v>
          </cell>
          <cell r="CN171">
            <v>0</v>
          </cell>
          <cell r="CO171" t="str">
            <v>N.R</v>
          </cell>
          <cell r="CP171" t="str">
            <v/>
          </cell>
          <cell r="CQ171">
            <v>41</v>
          </cell>
          <cell r="CR171">
            <v>87</v>
          </cell>
          <cell r="CS171" t="e">
            <v>#VALUE!</v>
          </cell>
          <cell r="CT171" t="str">
            <v/>
          </cell>
          <cell r="CU171">
            <v>35</v>
          </cell>
          <cell r="CV171">
            <v>74</v>
          </cell>
          <cell r="CW171" t="e">
            <v>#VALUE!</v>
          </cell>
          <cell r="CX171" t="str">
            <v/>
          </cell>
          <cell r="CY171">
            <v>59</v>
          </cell>
          <cell r="CZ171">
            <v>97</v>
          </cell>
          <cell r="DA171" t="e">
            <v>#VALUE!</v>
          </cell>
          <cell r="DB171" t="str">
            <v/>
          </cell>
          <cell r="DC171">
            <v>0</v>
          </cell>
          <cell r="DD171">
            <v>0</v>
          </cell>
          <cell r="DE171" t="e">
            <v>#VALUE!</v>
          </cell>
          <cell r="DF171" t="str">
            <v/>
          </cell>
          <cell r="DG171">
            <v>33</v>
          </cell>
          <cell r="DH171">
            <v>87</v>
          </cell>
          <cell r="DI171" t="e">
            <v>#VALUE!</v>
          </cell>
          <cell r="DJ171" t="str">
            <v/>
          </cell>
          <cell r="DK171">
            <v>29</v>
          </cell>
          <cell r="DL171">
            <v>88</v>
          </cell>
          <cell r="DM171" t="e">
            <v>#VALUE!</v>
          </cell>
          <cell r="DN171" t="str">
            <v/>
          </cell>
          <cell r="DO171">
            <v>35</v>
          </cell>
          <cell r="DP171">
            <v>92</v>
          </cell>
          <cell r="DQ171" t="e">
            <v>#VALUE!</v>
          </cell>
          <cell r="DR171" t="str">
            <v/>
          </cell>
          <cell r="DS171">
            <v>0</v>
          </cell>
          <cell r="DT171">
            <v>81</v>
          </cell>
          <cell r="DU171" t="e">
            <v>#VALUE!</v>
          </cell>
          <cell r="DV171" t="str">
            <v/>
          </cell>
          <cell r="DW171">
            <v>0</v>
          </cell>
          <cell r="DX171">
            <v>0</v>
          </cell>
          <cell r="DY171" t="e">
            <v>#VALUE!</v>
          </cell>
          <cell r="DZ171" t="str">
            <v/>
          </cell>
          <cell r="EA171">
            <v>0</v>
          </cell>
          <cell r="EB171">
            <v>86</v>
          </cell>
          <cell r="EC171" t="e">
            <v>#VALUE!</v>
          </cell>
          <cell r="ED171" t="str">
            <v/>
          </cell>
          <cell r="EE171">
            <v>0</v>
          </cell>
          <cell r="EF171">
            <v>161</v>
          </cell>
          <cell r="EG171" t="e">
            <v>#VALUE!</v>
          </cell>
          <cell r="EH171" t="str">
            <v/>
          </cell>
          <cell r="EI171">
            <v>0</v>
          </cell>
          <cell r="EJ171">
            <v>89</v>
          </cell>
          <cell r="EK171" t="e">
            <v>#VALUE!</v>
          </cell>
          <cell r="EL171" t="str">
            <v/>
          </cell>
          <cell r="EM171">
            <v>0</v>
          </cell>
          <cell r="EN171">
            <v>91</v>
          </cell>
          <cell r="EO171" t="e">
            <v>#VALUE!</v>
          </cell>
          <cell r="EP171" t="str">
            <v/>
          </cell>
          <cell r="EQ171">
            <v>0</v>
          </cell>
          <cell r="ER171">
            <v>0</v>
          </cell>
          <cell r="ES171" t="e">
            <v>#VALUE!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 t="str">
            <v/>
          </cell>
          <cell r="G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  <cell r="N172" t="str">
            <v/>
          </cell>
          <cell r="O172" t="str">
            <v/>
          </cell>
          <cell r="P172" t="str">
            <v/>
          </cell>
          <cell r="Q172" t="str">
            <v/>
          </cell>
          <cell r="R172" t="str">
            <v/>
          </cell>
          <cell r="S172" t="str">
            <v/>
          </cell>
          <cell r="T172" t="str">
            <v/>
          </cell>
          <cell r="U172" t="str">
            <v/>
          </cell>
          <cell r="V172" t="str">
            <v/>
          </cell>
          <cell r="W172" t="str">
            <v/>
          </cell>
          <cell r="X172" t="str">
            <v/>
          </cell>
          <cell r="Y172" t="str">
            <v/>
          </cell>
          <cell r="Z172" t="str">
            <v/>
          </cell>
          <cell r="AA172" t="str">
            <v/>
          </cell>
          <cell r="AB172" t="str">
            <v/>
          </cell>
          <cell r="AC172" t="str">
            <v/>
          </cell>
          <cell r="AD172" t="str">
            <v/>
          </cell>
          <cell r="AE172" t="str">
            <v/>
          </cell>
          <cell r="AF172" t="str">
            <v/>
          </cell>
          <cell r="AG172" t="str">
            <v/>
          </cell>
          <cell r="AH172" t="str">
            <v/>
          </cell>
          <cell r="AI172" t="str">
            <v/>
          </cell>
          <cell r="AJ172" t="str">
            <v/>
          </cell>
          <cell r="AK172" t="str">
            <v/>
          </cell>
          <cell r="AL172" t="str">
            <v/>
          </cell>
          <cell r="AM172" t="str">
            <v/>
          </cell>
          <cell r="AN172" t="str">
            <v/>
          </cell>
          <cell r="AO172" t="str">
            <v/>
          </cell>
          <cell r="AP172" t="str">
            <v/>
          </cell>
          <cell r="AQ172" t="str">
            <v/>
          </cell>
          <cell r="AR172" t="str">
            <v/>
          </cell>
          <cell r="AS172" t="str">
            <v/>
          </cell>
          <cell r="AT172" t="str">
            <v/>
          </cell>
          <cell r="AU172" t="str">
            <v/>
          </cell>
          <cell r="AV172" t="str">
            <v/>
          </cell>
          <cell r="AW172" t="str">
            <v/>
          </cell>
          <cell r="AX172" t="str">
            <v/>
          </cell>
          <cell r="AY172" t="str">
            <v/>
          </cell>
          <cell r="AZ172" t="str">
            <v/>
          </cell>
          <cell r="BA172" t="str">
            <v/>
          </cell>
          <cell r="BB172" t="str">
            <v/>
          </cell>
          <cell r="BC172" t="str">
            <v/>
          </cell>
          <cell r="BD172" t="str">
            <v/>
          </cell>
          <cell r="BE172" t="str">
            <v/>
          </cell>
          <cell r="BF172" t="str">
            <v/>
          </cell>
          <cell r="BG172" t="str">
            <v/>
          </cell>
          <cell r="BH172" t="str">
            <v/>
          </cell>
          <cell r="BI172" t="str">
            <v/>
          </cell>
          <cell r="BJ172" t="str">
            <v/>
          </cell>
          <cell r="BK172" t="str">
            <v/>
          </cell>
          <cell r="BL172" t="str">
            <v/>
          </cell>
          <cell r="BM172" t="str">
            <v/>
          </cell>
          <cell r="BN172" t="str">
            <v/>
          </cell>
          <cell r="BO172" t="str">
            <v/>
          </cell>
          <cell r="BP172" t="str">
            <v/>
          </cell>
          <cell r="BQ172" t="str">
            <v/>
          </cell>
          <cell r="BR172" t="str">
            <v/>
          </cell>
          <cell r="BS172" t="str">
            <v/>
          </cell>
          <cell r="BT172" t="str">
            <v/>
          </cell>
          <cell r="BU172" t="str">
            <v/>
          </cell>
          <cell r="BV172" t="str">
            <v/>
          </cell>
          <cell r="BW172" t="str">
            <v/>
          </cell>
          <cell r="BX172" t="str">
            <v/>
          </cell>
          <cell r="BY172" t="str">
            <v/>
          </cell>
          <cell r="BZ172" t="str">
            <v/>
          </cell>
          <cell r="CA172" t="str">
            <v/>
          </cell>
          <cell r="CB172" t="str">
            <v/>
          </cell>
          <cell r="CC172" t="str">
            <v/>
          </cell>
          <cell r="CD172" t="str">
            <v/>
          </cell>
          <cell r="CE172" t="str">
            <v/>
          </cell>
          <cell r="CF172" t="str">
            <v/>
          </cell>
          <cell r="CG172" t="str">
            <v/>
          </cell>
          <cell r="CH172" t="str">
            <v/>
          </cell>
          <cell r="CI172" t="str">
            <v/>
          </cell>
          <cell r="CJ172" t="str">
            <v/>
          </cell>
          <cell r="CK172" t="str">
            <v/>
          </cell>
          <cell r="CL172">
            <v>0</v>
          </cell>
          <cell r="CM172">
            <v>0</v>
          </cell>
          <cell r="CN172">
            <v>0</v>
          </cell>
          <cell r="CO172" t="str">
            <v>N.R</v>
          </cell>
          <cell r="CP172" t="str">
            <v/>
          </cell>
          <cell r="CQ172">
            <v>41</v>
          </cell>
          <cell r="CR172">
            <v>87</v>
          </cell>
          <cell r="CS172" t="e">
            <v>#VALUE!</v>
          </cell>
          <cell r="CT172" t="str">
            <v/>
          </cell>
          <cell r="CU172">
            <v>35</v>
          </cell>
          <cell r="CV172">
            <v>74</v>
          </cell>
          <cell r="CW172" t="e">
            <v>#VALUE!</v>
          </cell>
          <cell r="CX172" t="str">
            <v/>
          </cell>
          <cell r="CY172">
            <v>59</v>
          </cell>
          <cell r="CZ172">
            <v>97</v>
          </cell>
          <cell r="DA172" t="e">
            <v>#VALUE!</v>
          </cell>
          <cell r="DB172" t="str">
            <v/>
          </cell>
          <cell r="DC172">
            <v>0</v>
          </cell>
          <cell r="DD172">
            <v>0</v>
          </cell>
          <cell r="DE172" t="e">
            <v>#VALUE!</v>
          </cell>
          <cell r="DF172" t="str">
            <v/>
          </cell>
          <cell r="DG172">
            <v>33</v>
          </cell>
          <cell r="DH172">
            <v>87</v>
          </cell>
          <cell r="DI172" t="e">
            <v>#VALUE!</v>
          </cell>
          <cell r="DJ172" t="str">
            <v/>
          </cell>
          <cell r="DK172">
            <v>29</v>
          </cell>
          <cell r="DL172">
            <v>88</v>
          </cell>
          <cell r="DM172" t="e">
            <v>#VALUE!</v>
          </cell>
          <cell r="DN172" t="str">
            <v/>
          </cell>
          <cell r="DO172">
            <v>35</v>
          </cell>
          <cell r="DP172">
            <v>92</v>
          </cell>
          <cell r="DQ172" t="e">
            <v>#VALUE!</v>
          </cell>
          <cell r="DR172" t="str">
            <v/>
          </cell>
          <cell r="DS172">
            <v>0</v>
          </cell>
          <cell r="DT172">
            <v>81</v>
          </cell>
          <cell r="DU172" t="e">
            <v>#VALUE!</v>
          </cell>
          <cell r="DV172" t="str">
            <v/>
          </cell>
          <cell r="DW172">
            <v>0</v>
          </cell>
          <cell r="DX172">
            <v>0</v>
          </cell>
          <cell r="DY172" t="e">
            <v>#VALUE!</v>
          </cell>
          <cell r="DZ172" t="str">
            <v/>
          </cell>
          <cell r="EA172">
            <v>0</v>
          </cell>
          <cell r="EB172">
            <v>86</v>
          </cell>
          <cell r="EC172" t="e">
            <v>#VALUE!</v>
          </cell>
          <cell r="ED172" t="str">
            <v/>
          </cell>
          <cell r="EE172">
            <v>0</v>
          </cell>
          <cell r="EF172">
            <v>162</v>
          </cell>
          <cell r="EG172" t="e">
            <v>#VALUE!</v>
          </cell>
          <cell r="EH172" t="str">
            <v/>
          </cell>
          <cell r="EI172">
            <v>0</v>
          </cell>
          <cell r="EJ172">
            <v>89</v>
          </cell>
          <cell r="EK172" t="e">
            <v>#VALUE!</v>
          </cell>
          <cell r="EL172" t="str">
            <v/>
          </cell>
          <cell r="EM172">
            <v>0</v>
          </cell>
          <cell r="EN172">
            <v>91</v>
          </cell>
          <cell r="EO172" t="e">
            <v>#VALUE!</v>
          </cell>
          <cell r="EP172" t="str">
            <v/>
          </cell>
          <cell r="EQ172">
            <v>0</v>
          </cell>
          <cell r="ER172">
            <v>0</v>
          </cell>
          <cell r="ES172" t="e">
            <v>#VALUE!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 t="str">
            <v/>
          </cell>
          <cell r="G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  <cell r="N173" t="str">
            <v/>
          </cell>
          <cell r="O173" t="str">
            <v/>
          </cell>
          <cell r="P173" t="str">
            <v/>
          </cell>
          <cell r="Q173" t="str">
            <v/>
          </cell>
          <cell r="R173" t="str">
            <v/>
          </cell>
          <cell r="S173" t="str">
            <v/>
          </cell>
          <cell r="T173" t="str">
            <v/>
          </cell>
          <cell r="U173" t="str">
            <v/>
          </cell>
          <cell r="V173" t="str">
            <v/>
          </cell>
          <cell r="W173" t="str">
            <v/>
          </cell>
          <cell r="X173" t="str">
            <v/>
          </cell>
          <cell r="Y173" t="str">
            <v/>
          </cell>
          <cell r="Z173" t="str">
            <v/>
          </cell>
          <cell r="AA173" t="str">
            <v/>
          </cell>
          <cell r="AB173" t="str">
            <v/>
          </cell>
          <cell r="AC173" t="str">
            <v/>
          </cell>
          <cell r="AD173" t="str">
            <v/>
          </cell>
          <cell r="AE173" t="str">
            <v/>
          </cell>
          <cell r="AF173" t="str">
            <v/>
          </cell>
          <cell r="AG173" t="str">
            <v/>
          </cell>
          <cell r="AH173" t="str">
            <v/>
          </cell>
          <cell r="AI173" t="str">
            <v/>
          </cell>
          <cell r="AJ173" t="str">
            <v/>
          </cell>
          <cell r="AK173" t="str">
            <v/>
          </cell>
          <cell r="AL173" t="str">
            <v/>
          </cell>
          <cell r="AM173" t="str">
            <v/>
          </cell>
          <cell r="AN173" t="str">
            <v/>
          </cell>
          <cell r="AO173" t="str">
            <v/>
          </cell>
          <cell r="AP173" t="str">
            <v/>
          </cell>
          <cell r="AQ173" t="str">
            <v/>
          </cell>
          <cell r="AR173" t="str">
            <v/>
          </cell>
          <cell r="AS173" t="str">
            <v/>
          </cell>
          <cell r="AT173" t="str">
            <v/>
          </cell>
          <cell r="AU173" t="str">
            <v/>
          </cell>
          <cell r="AV173" t="str">
            <v/>
          </cell>
          <cell r="AW173" t="str">
            <v/>
          </cell>
          <cell r="AX173" t="str">
            <v/>
          </cell>
          <cell r="AY173" t="str">
            <v/>
          </cell>
          <cell r="AZ173" t="str">
            <v/>
          </cell>
          <cell r="BA173" t="str">
            <v/>
          </cell>
          <cell r="BB173" t="str">
            <v/>
          </cell>
          <cell r="BC173" t="str">
            <v/>
          </cell>
          <cell r="BD173" t="str">
            <v/>
          </cell>
          <cell r="BE173" t="str">
            <v/>
          </cell>
          <cell r="BF173" t="str">
            <v/>
          </cell>
          <cell r="BG173" t="str">
            <v/>
          </cell>
          <cell r="BH173" t="str">
            <v/>
          </cell>
          <cell r="BI173" t="str">
            <v/>
          </cell>
          <cell r="BJ173" t="str">
            <v/>
          </cell>
          <cell r="BK173" t="str">
            <v/>
          </cell>
          <cell r="BL173" t="str">
            <v/>
          </cell>
          <cell r="BM173" t="str">
            <v/>
          </cell>
          <cell r="BN173" t="str">
            <v/>
          </cell>
          <cell r="BO173" t="str">
            <v/>
          </cell>
          <cell r="BP173" t="str">
            <v/>
          </cell>
          <cell r="BQ173" t="str">
            <v/>
          </cell>
          <cell r="BR173" t="str">
            <v/>
          </cell>
          <cell r="BS173" t="str">
            <v/>
          </cell>
          <cell r="BT173" t="str">
            <v/>
          </cell>
          <cell r="BU173" t="str">
            <v/>
          </cell>
          <cell r="BV173" t="str">
            <v/>
          </cell>
          <cell r="BW173" t="str">
            <v/>
          </cell>
          <cell r="BX173" t="str">
            <v/>
          </cell>
          <cell r="BY173" t="str">
            <v/>
          </cell>
          <cell r="BZ173" t="str">
            <v/>
          </cell>
          <cell r="CA173" t="str">
            <v/>
          </cell>
          <cell r="CB173" t="str">
            <v/>
          </cell>
          <cell r="CC173" t="str">
            <v/>
          </cell>
          <cell r="CD173" t="str">
            <v/>
          </cell>
          <cell r="CE173" t="str">
            <v/>
          </cell>
          <cell r="CF173" t="str">
            <v/>
          </cell>
          <cell r="CG173" t="str">
            <v/>
          </cell>
          <cell r="CH173" t="str">
            <v/>
          </cell>
          <cell r="CI173" t="str">
            <v/>
          </cell>
          <cell r="CJ173" t="str">
            <v/>
          </cell>
          <cell r="CK173" t="str">
            <v/>
          </cell>
          <cell r="CL173">
            <v>0</v>
          </cell>
          <cell r="CM173">
            <v>0</v>
          </cell>
          <cell r="CN173">
            <v>0</v>
          </cell>
          <cell r="CO173" t="str">
            <v>N.R</v>
          </cell>
          <cell r="CP173" t="str">
            <v/>
          </cell>
          <cell r="CQ173">
            <v>41</v>
          </cell>
          <cell r="CR173">
            <v>87</v>
          </cell>
          <cell r="CS173" t="e">
            <v>#VALUE!</v>
          </cell>
          <cell r="CT173" t="str">
            <v/>
          </cell>
          <cell r="CU173">
            <v>35</v>
          </cell>
          <cell r="CV173">
            <v>74</v>
          </cell>
          <cell r="CW173" t="e">
            <v>#VALUE!</v>
          </cell>
          <cell r="CX173" t="str">
            <v/>
          </cell>
          <cell r="CY173">
            <v>59</v>
          </cell>
          <cell r="CZ173">
            <v>97</v>
          </cell>
          <cell r="DA173" t="e">
            <v>#VALUE!</v>
          </cell>
          <cell r="DB173" t="str">
            <v/>
          </cell>
          <cell r="DC173">
            <v>0</v>
          </cell>
          <cell r="DD173">
            <v>0</v>
          </cell>
          <cell r="DE173" t="e">
            <v>#VALUE!</v>
          </cell>
          <cell r="DF173" t="str">
            <v/>
          </cell>
          <cell r="DG173">
            <v>33</v>
          </cell>
          <cell r="DH173">
            <v>87</v>
          </cell>
          <cell r="DI173" t="e">
            <v>#VALUE!</v>
          </cell>
          <cell r="DJ173" t="str">
            <v/>
          </cell>
          <cell r="DK173">
            <v>29</v>
          </cell>
          <cell r="DL173">
            <v>88</v>
          </cell>
          <cell r="DM173" t="e">
            <v>#VALUE!</v>
          </cell>
          <cell r="DN173" t="str">
            <v/>
          </cell>
          <cell r="DO173">
            <v>35</v>
          </cell>
          <cell r="DP173">
            <v>92</v>
          </cell>
          <cell r="DQ173" t="e">
            <v>#VALUE!</v>
          </cell>
          <cell r="DR173" t="str">
            <v/>
          </cell>
          <cell r="DS173">
            <v>0</v>
          </cell>
          <cell r="DT173">
            <v>81</v>
          </cell>
          <cell r="DU173" t="e">
            <v>#VALUE!</v>
          </cell>
          <cell r="DV173" t="str">
            <v/>
          </cell>
          <cell r="DW173">
            <v>0</v>
          </cell>
          <cell r="DX173">
            <v>0</v>
          </cell>
          <cell r="DY173" t="e">
            <v>#VALUE!</v>
          </cell>
          <cell r="DZ173" t="str">
            <v/>
          </cell>
          <cell r="EA173">
            <v>0</v>
          </cell>
          <cell r="EB173">
            <v>86</v>
          </cell>
          <cell r="EC173" t="e">
            <v>#VALUE!</v>
          </cell>
          <cell r="ED173" t="str">
            <v/>
          </cell>
          <cell r="EE173">
            <v>0</v>
          </cell>
          <cell r="EF173">
            <v>163</v>
          </cell>
          <cell r="EG173" t="e">
            <v>#VALUE!</v>
          </cell>
          <cell r="EH173" t="str">
            <v/>
          </cell>
          <cell r="EI173">
            <v>0</v>
          </cell>
          <cell r="EJ173">
            <v>89</v>
          </cell>
          <cell r="EK173" t="e">
            <v>#VALUE!</v>
          </cell>
          <cell r="EL173" t="str">
            <v/>
          </cell>
          <cell r="EM173">
            <v>0</v>
          </cell>
          <cell r="EN173">
            <v>91</v>
          </cell>
          <cell r="EO173" t="e">
            <v>#VALUE!</v>
          </cell>
          <cell r="EP173" t="str">
            <v/>
          </cell>
          <cell r="EQ173">
            <v>0</v>
          </cell>
          <cell r="ER173">
            <v>0</v>
          </cell>
          <cell r="ES173" t="e">
            <v>#VALUE!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  <cell r="Q174" t="str">
            <v/>
          </cell>
          <cell r="R174" t="str">
            <v/>
          </cell>
          <cell r="S174" t="str">
            <v/>
          </cell>
          <cell r="T174" t="str">
            <v/>
          </cell>
          <cell r="U174" t="str">
            <v/>
          </cell>
          <cell r="V174" t="str">
            <v/>
          </cell>
          <cell r="W174" t="str">
            <v/>
          </cell>
          <cell r="X174" t="str">
            <v/>
          </cell>
          <cell r="Y174" t="str">
            <v/>
          </cell>
          <cell r="Z174" t="str">
            <v/>
          </cell>
          <cell r="AA174" t="str">
            <v/>
          </cell>
          <cell r="AB174" t="str">
            <v/>
          </cell>
          <cell r="AC174" t="str">
            <v/>
          </cell>
          <cell r="AD174" t="str">
            <v/>
          </cell>
          <cell r="AE174" t="str">
            <v/>
          </cell>
          <cell r="AF174" t="str">
            <v/>
          </cell>
          <cell r="AG174" t="str">
            <v/>
          </cell>
          <cell r="AH174" t="str">
            <v/>
          </cell>
          <cell r="AI174" t="str">
            <v/>
          </cell>
          <cell r="AJ174" t="str">
            <v/>
          </cell>
          <cell r="AK174" t="str">
            <v/>
          </cell>
          <cell r="AL174" t="str">
            <v/>
          </cell>
          <cell r="AM174" t="str">
            <v/>
          </cell>
          <cell r="AN174" t="str">
            <v/>
          </cell>
          <cell r="AO174" t="str">
            <v/>
          </cell>
          <cell r="AP174" t="str">
            <v/>
          </cell>
          <cell r="AQ174" t="str">
            <v/>
          </cell>
          <cell r="AR174" t="str">
            <v/>
          </cell>
          <cell r="AS174" t="str">
            <v/>
          </cell>
          <cell r="AT174" t="str">
            <v/>
          </cell>
          <cell r="AU174" t="str">
            <v/>
          </cell>
          <cell r="AV174" t="str">
            <v/>
          </cell>
          <cell r="AW174" t="str">
            <v/>
          </cell>
          <cell r="AX174" t="str">
            <v/>
          </cell>
          <cell r="AY174" t="str">
            <v/>
          </cell>
          <cell r="AZ174" t="str">
            <v/>
          </cell>
          <cell r="BA174" t="str">
            <v/>
          </cell>
          <cell r="BB174" t="str">
            <v/>
          </cell>
          <cell r="BC174" t="str">
            <v/>
          </cell>
          <cell r="BD174" t="str">
            <v/>
          </cell>
          <cell r="BE174" t="str">
            <v/>
          </cell>
          <cell r="BF174" t="str">
            <v/>
          </cell>
          <cell r="BG174" t="str">
            <v/>
          </cell>
          <cell r="BH174" t="str">
            <v/>
          </cell>
          <cell r="BI174" t="str">
            <v/>
          </cell>
          <cell r="BJ174" t="str">
            <v/>
          </cell>
          <cell r="BK174" t="str">
            <v/>
          </cell>
          <cell r="BL174" t="str">
            <v/>
          </cell>
          <cell r="BM174" t="str">
            <v/>
          </cell>
          <cell r="BN174" t="str">
            <v/>
          </cell>
          <cell r="BO174" t="str">
            <v/>
          </cell>
          <cell r="BP174" t="str">
            <v/>
          </cell>
          <cell r="BQ174" t="str">
            <v/>
          </cell>
          <cell r="BR174" t="str">
            <v/>
          </cell>
          <cell r="BS174" t="str">
            <v/>
          </cell>
          <cell r="BT174" t="str">
            <v/>
          </cell>
          <cell r="BU174" t="str">
            <v/>
          </cell>
          <cell r="BV174" t="str">
            <v/>
          </cell>
          <cell r="BW174" t="str">
            <v/>
          </cell>
          <cell r="BX174" t="str">
            <v/>
          </cell>
          <cell r="BY174" t="str">
            <v/>
          </cell>
          <cell r="BZ174" t="str">
            <v/>
          </cell>
          <cell r="CA174" t="str">
            <v/>
          </cell>
          <cell r="CB174" t="str">
            <v/>
          </cell>
          <cell r="CC174" t="str">
            <v/>
          </cell>
          <cell r="CD174" t="str">
            <v/>
          </cell>
          <cell r="CE174" t="str">
            <v/>
          </cell>
          <cell r="CF174" t="str">
            <v/>
          </cell>
          <cell r="CG174" t="str">
            <v/>
          </cell>
          <cell r="CH174" t="str">
            <v/>
          </cell>
          <cell r="CI174" t="str">
            <v/>
          </cell>
          <cell r="CJ174" t="str">
            <v/>
          </cell>
          <cell r="CK174" t="str">
            <v/>
          </cell>
          <cell r="CL174">
            <v>0</v>
          </cell>
          <cell r="CM174">
            <v>0</v>
          </cell>
          <cell r="CN174">
            <v>0</v>
          </cell>
          <cell r="CO174" t="str">
            <v>N.R</v>
          </cell>
          <cell r="CP174" t="str">
            <v/>
          </cell>
          <cell r="CQ174">
            <v>41</v>
          </cell>
          <cell r="CR174">
            <v>87</v>
          </cell>
          <cell r="CS174" t="e">
            <v>#VALUE!</v>
          </cell>
          <cell r="CT174" t="str">
            <v/>
          </cell>
          <cell r="CU174">
            <v>35</v>
          </cell>
          <cell r="CV174">
            <v>74</v>
          </cell>
          <cell r="CW174" t="e">
            <v>#VALUE!</v>
          </cell>
          <cell r="CX174" t="str">
            <v/>
          </cell>
          <cell r="CY174">
            <v>59</v>
          </cell>
          <cell r="CZ174">
            <v>97</v>
          </cell>
          <cell r="DA174" t="e">
            <v>#VALUE!</v>
          </cell>
          <cell r="DB174" t="str">
            <v/>
          </cell>
          <cell r="DC174">
            <v>0</v>
          </cell>
          <cell r="DD174">
            <v>0</v>
          </cell>
          <cell r="DE174" t="e">
            <v>#VALUE!</v>
          </cell>
          <cell r="DF174" t="str">
            <v/>
          </cell>
          <cell r="DG174">
            <v>33</v>
          </cell>
          <cell r="DH174">
            <v>87</v>
          </cell>
          <cell r="DI174" t="e">
            <v>#VALUE!</v>
          </cell>
          <cell r="DJ174" t="str">
            <v/>
          </cell>
          <cell r="DK174">
            <v>29</v>
          </cell>
          <cell r="DL174">
            <v>88</v>
          </cell>
          <cell r="DM174" t="e">
            <v>#VALUE!</v>
          </cell>
          <cell r="DN174" t="str">
            <v/>
          </cell>
          <cell r="DO174">
            <v>35</v>
          </cell>
          <cell r="DP174">
            <v>92</v>
          </cell>
          <cell r="DQ174" t="e">
            <v>#VALUE!</v>
          </cell>
          <cell r="DR174" t="str">
            <v/>
          </cell>
          <cell r="DS174">
            <v>0</v>
          </cell>
          <cell r="DT174">
            <v>81</v>
          </cell>
          <cell r="DU174" t="e">
            <v>#VALUE!</v>
          </cell>
          <cell r="DV174" t="str">
            <v/>
          </cell>
          <cell r="DW174">
            <v>0</v>
          </cell>
          <cell r="DX174">
            <v>0</v>
          </cell>
          <cell r="DY174" t="e">
            <v>#VALUE!</v>
          </cell>
          <cell r="DZ174" t="str">
            <v/>
          </cell>
          <cell r="EA174">
            <v>0</v>
          </cell>
          <cell r="EB174">
            <v>86</v>
          </cell>
          <cell r="EC174" t="e">
            <v>#VALUE!</v>
          </cell>
          <cell r="ED174" t="str">
            <v/>
          </cell>
          <cell r="EE174">
            <v>0</v>
          </cell>
          <cell r="EF174">
            <v>164</v>
          </cell>
          <cell r="EG174" t="e">
            <v>#VALUE!</v>
          </cell>
          <cell r="EH174" t="str">
            <v/>
          </cell>
          <cell r="EI174">
            <v>0</v>
          </cell>
          <cell r="EJ174">
            <v>89</v>
          </cell>
          <cell r="EK174" t="e">
            <v>#VALUE!</v>
          </cell>
          <cell r="EL174" t="str">
            <v/>
          </cell>
          <cell r="EM174">
            <v>0</v>
          </cell>
          <cell r="EN174">
            <v>91</v>
          </cell>
          <cell r="EO174" t="e">
            <v>#VALUE!</v>
          </cell>
          <cell r="EP174" t="str">
            <v/>
          </cell>
          <cell r="EQ174">
            <v>0</v>
          </cell>
          <cell r="ER174">
            <v>0</v>
          </cell>
          <cell r="ES174" t="e">
            <v>#VALUE!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  <cell r="V175" t="str">
            <v/>
          </cell>
          <cell r="W175" t="str">
            <v/>
          </cell>
          <cell r="X175" t="str">
            <v/>
          </cell>
          <cell r="Y175" t="str">
            <v/>
          </cell>
          <cell r="Z175" t="str">
            <v/>
          </cell>
          <cell r="AA175" t="str">
            <v/>
          </cell>
          <cell r="AB175" t="str">
            <v/>
          </cell>
          <cell r="AC175" t="str">
            <v/>
          </cell>
          <cell r="AD175" t="str">
            <v/>
          </cell>
          <cell r="AE175" t="str">
            <v/>
          </cell>
          <cell r="AF175" t="str">
            <v/>
          </cell>
          <cell r="AG175" t="str">
            <v/>
          </cell>
          <cell r="AH175" t="str">
            <v/>
          </cell>
          <cell r="AI175" t="str">
            <v/>
          </cell>
          <cell r="AJ175" t="str">
            <v/>
          </cell>
          <cell r="AK175" t="str">
            <v/>
          </cell>
          <cell r="AL175" t="str">
            <v/>
          </cell>
          <cell r="AM175" t="str">
            <v/>
          </cell>
          <cell r="AN175" t="str">
            <v/>
          </cell>
          <cell r="AO175" t="str">
            <v/>
          </cell>
          <cell r="AP175" t="str">
            <v/>
          </cell>
          <cell r="AQ175" t="str">
            <v/>
          </cell>
          <cell r="AR175" t="str">
            <v/>
          </cell>
          <cell r="AS175" t="str">
            <v/>
          </cell>
          <cell r="AT175" t="str">
            <v/>
          </cell>
          <cell r="AU175" t="str">
            <v/>
          </cell>
          <cell r="AV175" t="str">
            <v/>
          </cell>
          <cell r="AW175" t="str">
            <v/>
          </cell>
          <cell r="AX175" t="str">
            <v/>
          </cell>
          <cell r="AY175" t="str">
            <v/>
          </cell>
          <cell r="AZ175" t="str">
            <v/>
          </cell>
          <cell r="BA175" t="str">
            <v/>
          </cell>
          <cell r="BB175" t="str">
            <v/>
          </cell>
          <cell r="BC175" t="str">
            <v/>
          </cell>
          <cell r="BD175" t="str">
            <v/>
          </cell>
          <cell r="BE175" t="str">
            <v/>
          </cell>
          <cell r="BF175" t="str">
            <v/>
          </cell>
          <cell r="BG175" t="str">
            <v/>
          </cell>
          <cell r="BH175" t="str">
            <v/>
          </cell>
          <cell r="BI175" t="str">
            <v/>
          </cell>
          <cell r="BJ175" t="str">
            <v/>
          </cell>
          <cell r="BK175" t="str">
            <v/>
          </cell>
          <cell r="BL175" t="str">
            <v/>
          </cell>
          <cell r="BM175" t="str">
            <v/>
          </cell>
          <cell r="BN175" t="str">
            <v/>
          </cell>
          <cell r="BO175" t="str">
            <v/>
          </cell>
          <cell r="BP175" t="str">
            <v/>
          </cell>
          <cell r="BQ175" t="str">
            <v/>
          </cell>
          <cell r="BR175" t="str">
            <v/>
          </cell>
          <cell r="BS175" t="str">
            <v/>
          </cell>
          <cell r="BT175" t="str">
            <v/>
          </cell>
          <cell r="BU175" t="str">
            <v/>
          </cell>
          <cell r="BV175" t="str">
            <v/>
          </cell>
          <cell r="BW175" t="str">
            <v/>
          </cell>
          <cell r="BX175" t="str">
            <v/>
          </cell>
          <cell r="BY175" t="str">
            <v/>
          </cell>
          <cell r="BZ175" t="str">
            <v/>
          </cell>
          <cell r="CA175" t="str">
            <v/>
          </cell>
          <cell r="CB175" t="str">
            <v/>
          </cell>
          <cell r="CC175" t="str">
            <v/>
          </cell>
          <cell r="CD175" t="str">
            <v/>
          </cell>
          <cell r="CE175" t="str">
            <v/>
          </cell>
          <cell r="CF175" t="str">
            <v/>
          </cell>
          <cell r="CG175" t="str">
            <v/>
          </cell>
          <cell r="CH175" t="str">
            <v/>
          </cell>
          <cell r="CI175" t="str">
            <v/>
          </cell>
          <cell r="CJ175" t="str">
            <v/>
          </cell>
          <cell r="CK175" t="str">
            <v/>
          </cell>
          <cell r="CL175">
            <v>0</v>
          </cell>
          <cell r="CM175">
            <v>0</v>
          </cell>
          <cell r="CN175">
            <v>0</v>
          </cell>
          <cell r="CO175" t="str">
            <v>N.R</v>
          </cell>
          <cell r="CP175" t="str">
            <v/>
          </cell>
          <cell r="CQ175">
            <v>41</v>
          </cell>
          <cell r="CR175">
            <v>87</v>
          </cell>
          <cell r="CS175" t="e">
            <v>#VALUE!</v>
          </cell>
          <cell r="CT175" t="str">
            <v/>
          </cell>
          <cell r="CU175">
            <v>35</v>
          </cell>
          <cell r="CV175">
            <v>74</v>
          </cell>
          <cell r="CW175" t="e">
            <v>#VALUE!</v>
          </cell>
          <cell r="CX175" t="str">
            <v/>
          </cell>
          <cell r="CY175">
            <v>59</v>
          </cell>
          <cell r="CZ175">
            <v>97</v>
          </cell>
          <cell r="DA175" t="e">
            <v>#VALUE!</v>
          </cell>
          <cell r="DB175" t="str">
            <v/>
          </cell>
          <cell r="DC175">
            <v>0</v>
          </cell>
          <cell r="DD175">
            <v>0</v>
          </cell>
          <cell r="DE175" t="e">
            <v>#VALUE!</v>
          </cell>
          <cell r="DF175" t="str">
            <v/>
          </cell>
          <cell r="DG175">
            <v>33</v>
          </cell>
          <cell r="DH175">
            <v>87</v>
          </cell>
          <cell r="DI175" t="e">
            <v>#VALUE!</v>
          </cell>
          <cell r="DJ175" t="str">
            <v/>
          </cell>
          <cell r="DK175">
            <v>29</v>
          </cell>
          <cell r="DL175">
            <v>88</v>
          </cell>
          <cell r="DM175" t="e">
            <v>#VALUE!</v>
          </cell>
          <cell r="DN175" t="str">
            <v/>
          </cell>
          <cell r="DO175">
            <v>35</v>
          </cell>
          <cell r="DP175">
            <v>92</v>
          </cell>
          <cell r="DQ175" t="e">
            <v>#VALUE!</v>
          </cell>
          <cell r="DR175" t="str">
            <v/>
          </cell>
          <cell r="DS175">
            <v>0</v>
          </cell>
          <cell r="DT175">
            <v>81</v>
          </cell>
          <cell r="DU175" t="e">
            <v>#VALUE!</v>
          </cell>
          <cell r="DV175" t="str">
            <v/>
          </cell>
          <cell r="DW175">
            <v>0</v>
          </cell>
          <cell r="DX175">
            <v>0</v>
          </cell>
          <cell r="DY175" t="e">
            <v>#VALUE!</v>
          </cell>
          <cell r="DZ175" t="str">
            <v/>
          </cell>
          <cell r="EA175">
            <v>0</v>
          </cell>
          <cell r="EB175">
            <v>86</v>
          </cell>
          <cell r="EC175" t="e">
            <v>#VALUE!</v>
          </cell>
          <cell r="ED175" t="str">
            <v/>
          </cell>
          <cell r="EE175">
            <v>0</v>
          </cell>
          <cell r="EF175">
            <v>165</v>
          </cell>
          <cell r="EG175" t="e">
            <v>#VALUE!</v>
          </cell>
          <cell r="EH175" t="str">
            <v/>
          </cell>
          <cell r="EI175">
            <v>0</v>
          </cell>
          <cell r="EJ175">
            <v>89</v>
          </cell>
          <cell r="EK175" t="e">
            <v>#VALUE!</v>
          </cell>
          <cell r="EL175" t="str">
            <v/>
          </cell>
          <cell r="EM175">
            <v>0</v>
          </cell>
          <cell r="EN175">
            <v>91</v>
          </cell>
          <cell r="EO175" t="e">
            <v>#VALUE!</v>
          </cell>
          <cell r="EP175" t="str">
            <v/>
          </cell>
          <cell r="EQ175">
            <v>0</v>
          </cell>
          <cell r="ER175">
            <v>0</v>
          </cell>
          <cell r="ES175" t="e">
            <v>#VALUE!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 t="str">
            <v/>
          </cell>
          <cell r="G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 t="str">
            <v/>
          </cell>
          <cell r="O176" t="str">
            <v/>
          </cell>
          <cell r="P176" t="str">
            <v/>
          </cell>
          <cell r="Q176" t="str">
            <v/>
          </cell>
          <cell r="R176" t="str">
            <v/>
          </cell>
          <cell r="S176" t="str">
            <v/>
          </cell>
          <cell r="T176" t="str">
            <v/>
          </cell>
          <cell r="U176" t="str">
            <v/>
          </cell>
          <cell r="V176" t="str">
            <v/>
          </cell>
          <cell r="W176" t="str">
            <v/>
          </cell>
          <cell r="X176" t="str">
            <v/>
          </cell>
          <cell r="Y176" t="str">
            <v/>
          </cell>
          <cell r="Z176" t="str">
            <v/>
          </cell>
          <cell r="AA176" t="str">
            <v/>
          </cell>
          <cell r="AB176" t="str">
            <v/>
          </cell>
          <cell r="AC176" t="str">
            <v/>
          </cell>
          <cell r="AD176" t="str">
            <v/>
          </cell>
          <cell r="AE176" t="str">
            <v/>
          </cell>
          <cell r="AF176" t="str">
            <v/>
          </cell>
          <cell r="AG176" t="str">
            <v/>
          </cell>
          <cell r="AH176" t="str">
            <v/>
          </cell>
          <cell r="AI176" t="str">
            <v/>
          </cell>
          <cell r="AJ176" t="str">
            <v/>
          </cell>
          <cell r="AK176" t="str">
            <v/>
          </cell>
          <cell r="AL176" t="str">
            <v/>
          </cell>
          <cell r="AM176" t="str">
            <v/>
          </cell>
          <cell r="AN176" t="str">
            <v/>
          </cell>
          <cell r="AO176" t="str">
            <v/>
          </cell>
          <cell r="AP176" t="str">
            <v/>
          </cell>
          <cell r="AQ176" t="str">
            <v/>
          </cell>
          <cell r="AR176" t="str">
            <v/>
          </cell>
          <cell r="AS176" t="str">
            <v/>
          </cell>
          <cell r="AT176" t="str">
            <v/>
          </cell>
          <cell r="AU176" t="str">
            <v/>
          </cell>
          <cell r="AV176" t="str">
            <v/>
          </cell>
          <cell r="AW176" t="str">
            <v/>
          </cell>
          <cell r="AX176" t="str">
            <v/>
          </cell>
          <cell r="AY176" t="str">
            <v/>
          </cell>
          <cell r="AZ176" t="str">
            <v/>
          </cell>
          <cell r="BA176" t="str">
            <v/>
          </cell>
          <cell r="BB176" t="str">
            <v/>
          </cell>
          <cell r="BC176" t="str">
            <v/>
          </cell>
          <cell r="BD176" t="str">
            <v/>
          </cell>
          <cell r="BE176" t="str">
            <v/>
          </cell>
          <cell r="BF176" t="str">
            <v/>
          </cell>
          <cell r="BG176" t="str">
            <v/>
          </cell>
          <cell r="BH176" t="str">
            <v/>
          </cell>
          <cell r="BI176" t="str">
            <v/>
          </cell>
          <cell r="BJ176" t="str">
            <v/>
          </cell>
          <cell r="BK176" t="str">
            <v/>
          </cell>
          <cell r="BL176" t="str">
            <v/>
          </cell>
          <cell r="BM176" t="str">
            <v/>
          </cell>
          <cell r="BN176" t="str">
            <v/>
          </cell>
          <cell r="BO176" t="str">
            <v/>
          </cell>
          <cell r="BP176" t="str">
            <v/>
          </cell>
          <cell r="BQ176" t="str">
            <v/>
          </cell>
          <cell r="BR176" t="str">
            <v/>
          </cell>
          <cell r="BS176" t="str">
            <v/>
          </cell>
          <cell r="BT176" t="str">
            <v/>
          </cell>
          <cell r="BU176" t="str">
            <v/>
          </cell>
          <cell r="BV176" t="str">
            <v/>
          </cell>
          <cell r="BW176" t="str">
            <v/>
          </cell>
          <cell r="BX176" t="str">
            <v/>
          </cell>
          <cell r="BY176" t="str">
            <v/>
          </cell>
          <cell r="BZ176" t="str">
            <v/>
          </cell>
          <cell r="CA176" t="str">
            <v/>
          </cell>
          <cell r="CB176" t="str">
            <v/>
          </cell>
          <cell r="CC176" t="str">
            <v/>
          </cell>
          <cell r="CD176" t="str">
            <v/>
          </cell>
          <cell r="CE176" t="str">
            <v/>
          </cell>
          <cell r="CF176" t="str">
            <v/>
          </cell>
          <cell r="CG176" t="str">
            <v/>
          </cell>
          <cell r="CH176" t="str">
            <v/>
          </cell>
          <cell r="CI176" t="str">
            <v/>
          </cell>
          <cell r="CJ176" t="str">
            <v/>
          </cell>
          <cell r="CK176" t="str">
            <v/>
          </cell>
          <cell r="CL176">
            <v>0</v>
          </cell>
          <cell r="CM176">
            <v>0</v>
          </cell>
          <cell r="CN176">
            <v>0</v>
          </cell>
          <cell r="CO176" t="str">
            <v>N.R</v>
          </cell>
          <cell r="CP176" t="str">
            <v/>
          </cell>
          <cell r="CQ176">
            <v>41</v>
          </cell>
          <cell r="CR176">
            <v>87</v>
          </cell>
          <cell r="CS176" t="e">
            <v>#VALUE!</v>
          </cell>
          <cell r="CT176" t="str">
            <v/>
          </cell>
          <cell r="CU176">
            <v>35</v>
          </cell>
          <cell r="CV176">
            <v>74</v>
          </cell>
          <cell r="CW176" t="e">
            <v>#VALUE!</v>
          </cell>
          <cell r="CX176" t="str">
            <v/>
          </cell>
          <cell r="CY176">
            <v>59</v>
          </cell>
          <cell r="CZ176">
            <v>97</v>
          </cell>
          <cell r="DA176" t="e">
            <v>#VALUE!</v>
          </cell>
          <cell r="DB176" t="str">
            <v/>
          </cell>
          <cell r="DC176">
            <v>0</v>
          </cell>
          <cell r="DD176">
            <v>0</v>
          </cell>
          <cell r="DE176" t="e">
            <v>#VALUE!</v>
          </cell>
          <cell r="DF176" t="str">
            <v/>
          </cell>
          <cell r="DG176">
            <v>33</v>
          </cell>
          <cell r="DH176">
            <v>87</v>
          </cell>
          <cell r="DI176" t="e">
            <v>#VALUE!</v>
          </cell>
          <cell r="DJ176" t="str">
            <v/>
          </cell>
          <cell r="DK176">
            <v>29</v>
          </cell>
          <cell r="DL176">
            <v>88</v>
          </cell>
          <cell r="DM176" t="e">
            <v>#VALUE!</v>
          </cell>
          <cell r="DN176" t="str">
            <v/>
          </cell>
          <cell r="DO176">
            <v>35</v>
          </cell>
          <cell r="DP176">
            <v>92</v>
          </cell>
          <cell r="DQ176" t="e">
            <v>#VALUE!</v>
          </cell>
          <cell r="DR176" t="str">
            <v/>
          </cell>
          <cell r="DS176">
            <v>0</v>
          </cell>
          <cell r="DT176">
            <v>81</v>
          </cell>
          <cell r="DU176" t="e">
            <v>#VALUE!</v>
          </cell>
          <cell r="DV176" t="str">
            <v/>
          </cell>
          <cell r="DW176">
            <v>0</v>
          </cell>
          <cell r="DX176">
            <v>0</v>
          </cell>
          <cell r="DY176" t="e">
            <v>#VALUE!</v>
          </cell>
          <cell r="DZ176" t="str">
            <v/>
          </cell>
          <cell r="EA176">
            <v>0</v>
          </cell>
          <cell r="EB176">
            <v>86</v>
          </cell>
          <cell r="EC176" t="e">
            <v>#VALUE!</v>
          </cell>
          <cell r="ED176" t="str">
            <v/>
          </cell>
          <cell r="EE176">
            <v>0</v>
          </cell>
          <cell r="EF176">
            <v>166</v>
          </cell>
          <cell r="EG176" t="e">
            <v>#VALUE!</v>
          </cell>
          <cell r="EH176" t="str">
            <v/>
          </cell>
          <cell r="EI176">
            <v>0</v>
          </cell>
          <cell r="EJ176">
            <v>89</v>
          </cell>
          <cell r="EK176" t="e">
            <v>#VALUE!</v>
          </cell>
          <cell r="EL176" t="str">
            <v/>
          </cell>
          <cell r="EM176">
            <v>0</v>
          </cell>
          <cell r="EN176">
            <v>91</v>
          </cell>
          <cell r="EO176" t="e">
            <v>#VALUE!</v>
          </cell>
          <cell r="EP176" t="str">
            <v/>
          </cell>
          <cell r="EQ176">
            <v>0</v>
          </cell>
          <cell r="ER176">
            <v>0</v>
          </cell>
          <cell r="ES176" t="e">
            <v>#VALUE!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 t="str">
            <v/>
          </cell>
          <cell r="G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 t="str">
            <v/>
          </cell>
          <cell r="O177" t="str">
            <v/>
          </cell>
          <cell r="P177" t="str">
            <v/>
          </cell>
          <cell r="Q177" t="str">
            <v/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  <cell r="V177" t="str">
            <v/>
          </cell>
          <cell r="W177" t="str">
            <v/>
          </cell>
          <cell r="X177" t="str">
            <v/>
          </cell>
          <cell r="Y177" t="str">
            <v/>
          </cell>
          <cell r="Z177" t="str">
            <v/>
          </cell>
          <cell r="AA177" t="str">
            <v/>
          </cell>
          <cell r="AB177" t="str">
            <v/>
          </cell>
          <cell r="AC177" t="str">
            <v/>
          </cell>
          <cell r="AD177" t="str">
            <v/>
          </cell>
          <cell r="AE177" t="str">
            <v/>
          </cell>
          <cell r="AF177" t="str">
            <v/>
          </cell>
          <cell r="AG177" t="str">
            <v/>
          </cell>
          <cell r="AH177" t="str">
            <v/>
          </cell>
          <cell r="AI177" t="str">
            <v/>
          </cell>
          <cell r="AJ177" t="str">
            <v/>
          </cell>
          <cell r="AK177" t="str">
            <v/>
          </cell>
          <cell r="AL177" t="str">
            <v/>
          </cell>
          <cell r="AM177" t="str">
            <v/>
          </cell>
          <cell r="AN177" t="str">
            <v/>
          </cell>
          <cell r="AO177" t="str">
            <v/>
          </cell>
          <cell r="AP177" t="str">
            <v/>
          </cell>
          <cell r="AQ177" t="str">
            <v/>
          </cell>
          <cell r="AR177" t="str">
            <v/>
          </cell>
          <cell r="AS177" t="str">
            <v/>
          </cell>
          <cell r="AT177" t="str">
            <v/>
          </cell>
          <cell r="AU177" t="str">
            <v/>
          </cell>
          <cell r="AV177" t="str">
            <v/>
          </cell>
          <cell r="AW177" t="str">
            <v/>
          </cell>
          <cell r="AX177" t="str">
            <v/>
          </cell>
          <cell r="AY177" t="str">
            <v/>
          </cell>
          <cell r="AZ177" t="str">
            <v/>
          </cell>
          <cell r="BA177" t="str">
            <v/>
          </cell>
          <cell r="BB177" t="str">
            <v/>
          </cell>
          <cell r="BC177" t="str">
            <v/>
          </cell>
          <cell r="BD177" t="str">
            <v/>
          </cell>
          <cell r="BE177" t="str">
            <v/>
          </cell>
          <cell r="BF177" t="str">
            <v/>
          </cell>
          <cell r="BG177" t="str">
            <v/>
          </cell>
          <cell r="BH177" t="str">
            <v/>
          </cell>
          <cell r="BI177" t="str">
            <v/>
          </cell>
          <cell r="BJ177" t="str">
            <v/>
          </cell>
          <cell r="BK177" t="str">
            <v/>
          </cell>
          <cell r="BL177" t="str">
            <v/>
          </cell>
          <cell r="BM177" t="str">
            <v/>
          </cell>
          <cell r="BN177" t="str">
            <v/>
          </cell>
          <cell r="BO177" t="str">
            <v/>
          </cell>
          <cell r="BP177" t="str">
            <v/>
          </cell>
          <cell r="BQ177" t="str">
            <v/>
          </cell>
          <cell r="BR177" t="str">
            <v/>
          </cell>
          <cell r="BS177" t="str">
            <v/>
          </cell>
          <cell r="BT177" t="str">
            <v/>
          </cell>
          <cell r="BU177" t="str">
            <v/>
          </cell>
          <cell r="BV177" t="str">
            <v/>
          </cell>
          <cell r="BW177" t="str">
            <v/>
          </cell>
          <cell r="BX177" t="str">
            <v/>
          </cell>
          <cell r="BY177" t="str">
            <v/>
          </cell>
          <cell r="BZ177" t="str">
            <v/>
          </cell>
          <cell r="CA177" t="str">
            <v/>
          </cell>
          <cell r="CB177" t="str">
            <v/>
          </cell>
          <cell r="CC177" t="str">
            <v/>
          </cell>
          <cell r="CD177" t="str">
            <v/>
          </cell>
          <cell r="CE177" t="str">
            <v/>
          </cell>
          <cell r="CF177" t="str">
            <v/>
          </cell>
          <cell r="CG177" t="str">
            <v/>
          </cell>
          <cell r="CH177" t="str">
            <v/>
          </cell>
          <cell r="CI177" t="str">
            <v/>
          </cell>
          <cell r="CJ177" t="str">
            <v/>
          </cell>
          <cell r="CK177" t="str">
            <v/>
          </cell>
          <cell r="CL177">
            <v>0</v>
          </cell>
          <cell r="CM177">
            <v>0</v>
          </cell>
          <cell r="CN177">
            <v>0</v>
          </cell>
          <cell r="CO177" t="str">
            <v>N.R</v>
          </cell>
          <cell r="CP177" t="str">
            <v/>
          </cell>
          <cell r="CQ177">
            <v>41</v>
          </cell>
          <cell r="CR177">
            <v>87</v>
          </cell>
          <cell r="CS177" t="e">
            <v>#VALUE!</v>
          </cell>
          <cell r="CT177" t="str">
            <v/>
          </cell>
          <cell r="CU177">
            <v>35</v>
          </cell>
          <cell r="CV177">
            <v>74</v>
          </cell>
          <cell r="CW177" t="e">
            <v>#VALUE!</v>
          </cell>
          <cell r="CX177" t="str">
            <v/>
          </cell>
          <cell r="CY177">
            <v>59</v>
          </cell>
          <cell r="CZ177">
            <v>97</v>
          </cell>
          <cell r="DA177" t="e">
            <v>#VALUE!</v>
          </cell>
          <cell r="DB177" t="str">
            <v/>
          </cell>
          <cell r="DC177">
            <v>0</v>
          </cell>
          <cell r="DD177">
            <v>0</v>
          </cell>
          <cell r="DE177" t="e">
            <v>#VALUE!</v>
          </cell>
          <cell r="DF177" t="str">
            <v/>
          </cell>
          <cell r="DG177">
            <v>33</v>
          </cell>
          <cell r="DH177">
            <v>87</v>
          </cell>
          <cell r="DI177" t="e">
            <v>#VALUE!</v>
          </cell>
          <cell r="DJ177" t="str">
            <v/>
          </cell>
          <cell r="DK177">
            <v>29</v>
          </cell>
          <cell r="DL177">
            <v>88</v>
          </cell>
          <cell r="DM177" t="e">
            <v>#VALUE!</v>
          </cell>
          <cell r="DN177" t="str">
            <v/>
          </cell>
          <cell r="DO177">
            <v>35</v>
          </cell>
          <cell r="DP177">
            <v>92</v>
          </cell>
          <cell r="DQ177" t="e">
            <v>#VALUE!</v>
          </cell>
          <cell r="DR177" t="str">
            <v/>
          </cell>
          <cell r="DS177">
            <v>0</v>
          </cell>
          <cell r="DT177">
            <v>81</v>
          </cell>
          <cell r="DU177" t="e">
            <v>#VALUE!</v>
          </cell>
          <cell r="DV177" t="str">
            <v/>
          </cell>
          <cell r="DW177">
            <v>0</v>
          </cell>
          <cell r="DX177">
            <v>0</v>
          </cell>
          <cell r="DY177" t="e">
            <v>#VALUE!</v>
          </cell>
          <cell r="DZ177" t="str">
            <v/>
          </cell>
          <cell r="EA177">
            <v>0</v>
          </cell>
          <cell r="EB177">
            <v>86</v>
          </cell>
          <cell r="EC177" t="e">
            <v>#VALUE!</v>
          </cell>
          <cell r="ED177" t="str">
            <v/>
          </cell>
          <cell r="EE177">
            <v>0</v>
          </cell>
          <cell r="EF177">
            <v>167</v>
          </cell>
          <cell r="EG177" t="e">
            <v>#VALUE!</v>
          </cell>
          <cell r="EH177" t="str">
            <v/>
          </cell>
          <cell r="EI177">
            <v>0</v>
          </cell>
          <cell r="EJ177">
            <v>89</v>
          </cell>
          <cell r="EK177" t="e">
            <v>#VALUE!</v>
          </cell>
          <cell r="EL177" t="str">
            <v/>
          </cell>
          <cell r="EM177">
            <v>0</v>
          </cell>
          <cell r="EN177">
            <v>91</v>
          </cell>
          <cell r="EO177" t="e">
            <v>#VALUE!</v>
          </cell>
          <cell r="EP177" t="str">
            <v/>
          </cell>
          <cell r="EQ177">
            <v>0</v>
          </cell>
          <cell r="ER177">
            <v>0</v>
          </cell>
          <cell r="ES177" t="e">
            <v>#VALUE!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 t="str">
            <v/>
          </cell>
          <cell r="G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 t="str">
            <v/>
          </cell>
          <cell r="O178" t="str">
            <v/>
          </cell>
          <cell r="P178" t="str">
            <v/>
          </cell>
          <cell r="Q178" t="str">
            <v/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  <cell r="V178" t="str">
            <v/>
          </cell>
          <cell r="W178" t="str">
            <v/>
          </cell>
          <cell r="X178" t="str">
            <v/>
          </cell>
          <cell r="Y178" t="str">
            <v/>
          </cell>
          <cell r="Z178" t="str">
            <v/>
          </cell>
          <cell r="AA178" t="str">
            <v/>
          </cell>
          <cell r="AB178" t="str">
            <v/>
          </cell>
          <cell r="AC178" t="str">
            <v/>
          </cell>
          <cell r="AD178" t="str">
            <v/>
          </cell>
          <cell r="AE178" t="str">
            <v/>
          </cell>
          <cell r="AF178" t="str">
            <v/>
          </cell>
          <cell r="AG178" t="str">
            <v/>
          </cell>
          <cell r="AH178" t="str">
            <v/>
          </cell>
          <cell r="AI178" t="str">
            <v/>
          </cell>
          <cell r="AJ178" t="str">
            <v/>
          </cell>
          <cell r="AK178" t="str">
            <v/>
          </cell>
          <cell r="AL178" t="str">
            <v/>
          </cell>
          <cell r="AM178" t="str">
            <v/>
          </cell>
          <cell r="AN178" t="str">
            <v/>
          </cell>
          <cell r="AO178" t="str">
            <v/>
          </cell>
          <cell r="AP178" t="str">
            <v/>
          </cell>
          <cell r="AQ178" t="str">
            <v/>
          </cell>
          <cell r="AR178" t="str">
            <v/>
          </cell>
          <cell r="AS178" t="str">
            <v/>
          </cell>
          <cell r="AT178" t="str">
            <v/>
          </cell>
          <cell r="AU178" t="str">
            <v/>
          </cell>
          <cell r="AV178" t="str">
            <v/>
          </cell>
          <cell r="AW178" t="str">
            <v/>
          </cell>
          <cell r="AX178" t="str">
            <v/>
          </cell>
          <cell r="AY178" t="str">
            <v/>
          </cell>
          <cell r="AZ178" t="str">
            <v/>
          </cell>
          <cell r="BA178" t="str">
            <v/>
          </cell>
          <cell r="BB178" t="str">
            <v/>
          </cell>
          <cell r="BC178" t="str">
            <v/>
          </cell>
          <cell r="BD178" t="str">
            <v/>
          </cell>
          <cell r="BE178" t="str">
            <v/>
          </cell>
          <cell r="BF178" t="str">
            <v/>
          </cell>
          <cell r="BG178" t="str">
            <v/>
          </cell>
          <cell r="BH178" t="str">
            <v/>
          </cell>
          <cell r="BI178" t="str">
            <v/>
          </cell>
          <cell r="BJ178" t="str">
            <v/>
          </cell>
          <cell r="BK178" t="str">
            <v/>
          </cell>
          <cell r="BL178" t="str">
            <v/>
          </cell>
          <cell r="BM178" t="str">
            <v/>
          </cell>
          <cell r="BN178" t="str">
            <v/>
          </cell>
          <cell r="BO178" t="str">
            <v/>
          </cell>
          <cell r="BP178" t="str">
            <v/>
          </cell>
          <cell r="BQ178" t="str">
            <v/>
          </cell>
          <cell r="BR178" t="str">
            <v/>
          </cell>
          <cell r="BS178" t="str">
            <v/>
          </cell>
          <cell r="BT178" t="str">
            <v/>
          </cell>
          <cell r="BU178" t="str">
            <v/>
          </cell>
          <cell r="BV178" t="str">
            <v/>
          </cell>
          <cell r="BW178" t="str">
            <v/>
          </cell>
          <cell r="BX178" t="str">
            <v/>
          </cell>
          <cell r="BY178" t="str">
            <v/>
          </cell>
          <cell r="BZ178" t="str">
            <v/>
          </cell>
          <cell r="CA178" t="str">
            <v/>
          </cell>
          <cell r="CB178" t="str">
            <v/>
          </cell>
          <cell r="CC178" t="str">
            <v/>
          </cell>
          <cell r="CD178" t="str">
            <v/>
          </cell>
          <cell r="CE178" t="str">
            <v/>
          </cell>
          <cell r="CF178" t="str">
            <v/>
          </cell>
          <cell r="CG178" t="str">
            <v/>
          </cell>
          <cell r="CH178" t="str">
            <v/>
          </cell>
          <cell r="CI178" t="str">
            <v/>
          </cell>
          <cell r="CJ178" t="str">
            <v/>
          </cell>
          <cell r="CK178" t="str">
            <v/>
          </cell>
          <cell r="CL178">
            <v>0</v>
          </cell>
          <cell r="CM178">
            <v>0</v>
          </cell>
          <cell r="CN178">
            <v>0</v>
          </cell>
          <cell r="CO178" t="str">
            <v>N.R</v>
          </cell>
          <cell r="CP178" t="str">
            <v/>
          </cell>
          <cell r="CQ178">
            <v>41</v>
          </cell>
          <cell r="CR178">
            <v>87</v>
          </cell>
          <cell r="CS178" t="e">
            <v>#VALUE!</v>
          </cell>
          <cell r="CT178" t="str">
            <v/>
          </cell>
          <cell r="CU178">
            <v>35</v>
          </cell>
          <cell r="CV178">
            <v>74</v>
          </cell>
          <cell r="CW178" t="e">
            <v>#VALUE!</v>
          </cell>
          <cell r="CX178" t="str">
            <v/>
          </cell>
          <cell r="CY178">
            <v>59</v>
          </cell>
          <cell r="CZ178">
            <v>97</v>
          </cell>
          <cell r="DA178" t="e">
            <v>#VALUE!</v>
          </cell>
          <cell r="DB178" t="str">
            <v/>
          </cell>
          <cell r="DC178">
            <v>0</v>
          </cell>
          <cell r="DD178">
            <v>0</v>
          </cell>
          <cell r="DE178" t="e">
            <v>#VALUE!</v>
          </cell>
          <cell r="DF178" t="str">
            <v/>
          </cell>
          <cell r="DG178">
            <v>33</v>
          </cell>
          <cell r="DH178">
            <v>87</v>
          </cell>
          <cell r="DI178" t="e">
            <v>#VALUE!</v>
          </cell>
          <cell r="DJ178" t="str">
            <v/>
          </cell>
          <cell r="DK178">
            <v>29</v>
          </cell>
          <cell r="DL178">
            <v>88</v>
          </cell>
          <cell r="DM178" t="e">
            <v>#VALUE!</v>
          </cell>
          <cell r="DN178" t="str">
            <v/>
          </cell>
          <cell r="DO178">
            <v>35</v>
          </cell>
          <cell r="DP178">
            <v>92</v>
          </cell>
          <cell r="DQ178" t="e">
            <v>#VALUE!</v>
          </cell>
          <cell r="DR178" t="str">
            <v/>
          </cell>
          <cell r="DS178">
            <v>0</v>
          </cell>
          <cell r="DT178">
            <v>81</v>
          </cell>
          <cell r="DU178" t="e">
            <v>#VALUE!</v>
          </cell>
          <cell r="DV178" t="str">
            <v/>
          </cell>
          <cell r="DW178">
            <v>0</v>
          </cell>
          <cell r="DX178">
            <v>0</v>
          </cell>
          <cell r="DY178" t="e">
            <v>#VALUE!</v>
          </cell>
          <cell r="DZ178" t="str">
            <v/>
          </cell>
          <cell r="EA178">
            <v>0</v>
          </cell>
          <cell r="EB178">
            <v>86</v>
          </cell>
          <cell r="EC178" t="e">
            <v>#VALUE!</v>
          </cell>
          <cell r="ED178" t="str">
            <v/>
          </cell>
          <cell r="EE178">
            <v>0</v>
          </cell>
          <cell r="EF178">
            <v>168</v>
          </cell>
          <cell r="EG178" t="e">
            <v>#VALUE!</v>
          </cell>
          <cell r="EH178" t="str">
            <v/>
          </cell>
          <cell r="EI178">
            <v>0</v>
          </cell>
          <cell r="EJ178">
            <v>89</v>
          </cell>
          <cell r="EK178" t="e">
            <v>#VALUE!</v>
          </cell>
          <cell r="EL178" t="str">
            <v/>
          </cell>
          <cell r="EM178">
            <v>0</v>
          </cell>
          <cell r="EN178">
            <v>91</v>
          </cell>
          <cell r="EO178" t="e">
            <v>#VALUE!</v>
          </cell>
          <cell r="EP178" t="str">
            <v/>
          </cell>
          <cell r="EQ178">
            <v>0</v>
          </cell>
          <cell r="ER178">
            <v>0</v>
          </cell>
          <cell r="ES178" t="e">
            <v>#VALUE!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 t="str">
            <v/>
          </cell>
          <cell r="G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 t="str">
            <v/>
          </cell>
          <cell r="O179" t="str">
            <v/>
          </cell>
          <cell r="P179" t="str">
            <v/>
          </cell>
          <cell r="Q179" t="str">
            <v/>
          </cell>
          <cell r="R179" t="str">
            <v/>
          </cell>
          <cell r="S179" t="str">
            <v/>
          </cell>
          <cell r="T179" t="str">
            <v/>
          </cell>
          <cell r="U179" t="str">
            <v/>
          </cell>
          <cell r="V179" t="str">
            <v/>
          </cell>
          <cell r="W179" t="str">
            <v/>
          </cell>
          <cell r="X179" t="str">
            <v/>
          </cell>
          <cell r="Y179" t="str">
            <v/>
          </cell>
          <cell r="Z179" t="str">
            <v/>
          </cell>
          <cell r="AA179" t="str">
            <v/>
          </cell>
          <cell r="AB179" t="str">
            <v/>
          </cell>
          <cell r="AC179" t="str">
            <v/>
          </cell>
          <cell r="AD179" t="str">
            <v/>
          </cell>
          <cell r="AE179" t="str">
            <v/>
          </cell>
          <cell r="AF179" t="str">
            <v/>
          </cell>
          <cell r="AG179" t="str">
            <v/>
          </cell>
          <cell r="AH179" t="str">
            <v/>
          </cell>
          <cell r="AI179" t="str">
            <v/>
          </cell>
          <cell r="AJ179" t="str">
            <v/>
          </cell>
          <cell r="AK179" t="str">
            <v/>
          </cell>
          <cell r="AL179" t="str">
            <v/>
          </cell>
          <cell r="AM179" t="str">
            <v/>
          </cell>
          <cell r="AN179" t="str">
            <v/>
          </cell>
          <cell r="AO179" t="str">
            <v/>
          </cell>
          <cell r="AP179" t="str">
            <v/>
          </cell>
          <cell r="AQ179" t="str">
            <v/>
          </cell>
          <cell r="AR179" t="str">
            <v/>
          </cell>
          <cell r="AS179" t="str">
            <v/>
          </cell>
          <cell r="AT179" t="str">
            <v/>
          </cell>
          <cell r="AU179" t="str">
            <v/>
          </cell>
          <cell r="AV179" t="str">
            <v/>
          </cell>
          <cell r="AW179" t="str">
            <v/>
          </cell>
          <cell r="AX179" t="str">
            <v/>
          </cell>
          <cell r="AY179" t="str">
            <v/>
          </cell>
          <cell r="AZ179" t="str">
            <v/>
          </cell>
          <cell r="BA179" t="str">
            <v/>
          </cell>
          <cell r="BB179" t="str">
            <v/>
          </cell>
          <cell r="BC179" t="str">
            <v/>
          </cell>
          <cell r="BD179" t="str">
            <v/>
          </cell>
          <cell r="BE179" t="str">
            <v/>
          </cell>
          <cell r="BF179" t="str">
            <v/>
          </cell>
          <cell r="BG179" t="str">
            <v/>
          </cell>
          <cell r="BH179" t="str">
            <v/>
          </cell>
          <cell r="BI179" t="str">
            <v/>
          </cell>
          <cell r="BJ179" t="str">
            <v/>
          </cell>
          <cell r="BK179" t="str">
            <v/>
          </cell>
          <cell r="BL179" t="str">
            <v/>
          </cell>
          <cell r="BM179" t="str">
            <v/>
          </cell>
          <cell r="BN179" t="str">
            <v/>
          </cell>
          <cell r="BO179" t="str">
            <v/>
          </cell>
          <cell r="BP179" t="str">
            <v/>
          </cell>
          <cell r="BQ179" t="str">
            <v/>
          </cell>
          <cell r="BR179" t="str">
            <v/>
          </cell>
          <cell r="BS179" t="str">
            <v/>
          </cell>
          <cell r="BT179" t="str">
            <v/>
          </cell>
          <cell r="BU179" t="str">
            <v/>
          </cell>
          <cell r="BV179" t="str">
            <v/>
          </cell>
          <cell r="BW179" t="str">
            <v/>
          </cell>
          <cell r="BX179" t="str">
            <v/>
          </cell>
          <cell r="BY179" t="str">
            <v/>
          </cell>
          <cell r="BZ179" t="str">
            <v/>
          </cell>
          <cell r="CA179" t="str">
            <v/>
          </cell>
          <cell r="CB179" t="str">
            <v/>
          </cell>
          <cell r="CC179" t="str">
            <v/>
          </cell>
          <cell r="CD179" t="str">
            <v/>
          </cell>
          <cell r="CE179" t="str">
            <v/>
          </cell>
          <cell r="CF179" t="str">
            <v/>
          </cell>
          <cell r="CG179" t="str">
            <v/>
          </cell>
          <cell r="CH179" t="str">
            <v/>
          </cell>
          <cell r="CI179" t="str">
            <v/>
          </cell>
          <cell r="CJ179" t="str">
            <v/>
          </cell>
          <cell r="CK179" t="str">
            <v/>
          </cell>
          <cell r="CL179">
            <v>0</v>
          </cell>
          <cell r="CM179">
            <v>0</v>
          </cell>
          <cell r="CN179">
            <v>0</v>
          </cell>
          <cell r="CO179" t="str">
            <v>N.R</v>
          </cell>
          <cell r="CP179" t="str">
            <v/>
          </cell>
          <cell r="CQ179">
            <v>41</v>
          </cell>
          <cell r="CR179">
            <v>87</v>
          </cell>
          <cell r="CS179" t="e">
            <v>#VALUE!</v>
          </cell>
          <cell r="CT179" t="str">
            <v/>
          </cell>
          <cell r="CU179">
            <v>35</v>
          </cell>
          <cell r="CV179">
            <v>74</v>
          </cell>
          <cell r="CW179" t="e">
            <v>#VALUE!</v>
          </cell>
          <cell r="CX179" t="str">
            <v/>
          </cell>
          <cell r="CY179">
            <v>59</v>
          </cell>
          <cell r="CZ179">
            <v>97</v>
          </cell>
          <cell r="DA179" t="e">
            <v>#VALUE!</v>
          </cell>
          <cell r="DB179" t="str">
            <v/>
          </cell>
          <cell r="DC179">
            <v>0</v>
          </cell>
          <cell r="DD179">
            <v>0</v>
          </cell>
          <cell r="DE179" t="e">
            <v>#VALUE!</v>
          </cell>
          <cell r="DF179" t="str">
            <v/>
          </cell>
          <cell r="DG179">
            <v>33</v>
          </cell>
          <cell r="DH179">
            <v>87</v>
          </cell>
          <cell r="DI179" t="e">
            <v>#VALUE!</v>
          </cell>
          <cell r="DJ179" t="str">
            <v/>
          </cell>
          <cell r="DK179">
            <v>29</v>
          </cell>
          <cell r="DL179">
            <v>88</v>
          </cell>
          <cell r="DM179" t="e">
            <v>#VALUE!</v>
          </cell>
          <cell r="DN179" t="str">
            <v/>
          </cell>
          <cell r="DO179">
            <v>35</v>
          </cell>
          <cell r="DP179">
            <v>92</v>
          </cell>
          <cell r="DQ179" t="e">
            <v>#VALUE!</v>
          </cell>
          <cell r="DR179" t="str">
            <v/>
          </cell>
          <cell r="DS179">
            <v>0</v>
          </cell>
          <cell r="DT179">
            <v>81</v>
          </cell>
          <cell r="DU179" t="e">
            <v>#VALUE!</v>
          </cell>
          <cell r="DV179" t="str">
            <v/>
          </cell>
          <cell r="DW179">
            <v>0</v>
          </cell>
          <cell r="DX179">
            <v>0</v>
          </cell>
          <cell r="DY179" t="e">
            <v>#VALUE!</v>
          </cell>
          <cell r="DZ179" t="str">
            <v/>
          </cell>
          <cell r="EA179">
            <v>0</v>
          </cell>
          <cell r="EB179">
            <v>86</v>
          </cell>
          <cell r="EC179" t="e">
            <v>#VALUE!</v>
          </cell>
          <cell r="ED179" t="str">
            <v/>
          </cell>
          <cell r="EE179">
            <v>0</v>
          </cell>
          <cell r="EF179">
            <v>169</v>
          </cell>
          <cell r="EG179" t="e">
            <v>#VALUE!</v>
          </cell>
          <cell r="EH179" t="str">
            <v/>
          </cell>
          <cell r="EI179">
            <v>0</v>
          </cell>
          <cell r="EJ179">
            <v>89</v>
          </cell>
          <cell r="EK179" t="e">
            <v>#VALUE!</v>
          </cell>
          <cell r="EL179" t="str">
            <v/>
          </cell>
          <cell r="EM179">
            <v>0</v>
          </cell>
          <cell r="EN179">
            <v>91</v>
          </cell>
          <cell r="EO179" t="e">
            <v>#VALUE!</v>
          </cell>
          <cell r="EP179" t="str">
            <v/>
          </cell>
          <cell r="EQ179">
            <v>0</v>
          </cell>
          <cell r="ER179">
            <v>0</v>
          </cell>
          <cell r="ES179" t="e">
            <v>#VALUE!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  <cell r="V180" t="str">
            <v/>
          </cell>
          <cell r="W180" t="str">
            <v/>
          </cell>
          <cell r="X180" t="str">
            <v/>
          </cell>
          <cell r="Y180" t="str">
            <v/>
          </cell>
          <cell r="Z180" t="str">
            <v/>
          </cell>
          <cell r="AA180" t="str">
            <v/>
          </cell>
          <cell r="AB180" t="str">
            <v/>
          </cell>
          <cell r="AC180" t="str">
            <v/>
          </cell>
          <cell r="AD180" t="str">
            <v/>
          </cell>
          <cell r="AE180" t="str">
            <v/>
          </cell>
          <cell r="AF180" t="str">
            <v/>
          </cell>
          <cell r="AG180" t="str">
            <v/>
          </cell>
          <cell r="AH180" t="str">
            <v/>
          </cell>
          <cell r="AI180" t="str">
            <v/>
          </cell>
          <cell r="AJ180" t="str">
            <v/>
          </cell>
          <cell r="AK180" t="str">
            <v/>
          </cell>
          <cell r="AL180" t="str">
            <v/>
          </cell>
          <cell r="AM180" t="str">
            <v/>
          </cell>
          <cell r="AN180" t="str">
            <v/>
          </cell>
          <cell r="AO180" t="str">
            <v/>
          </cell>
          <cell r="AP180" t="str">
            <v/>
          </cell>
          <cell r="AQ180" t="str">
            <v/>
          </cell>
          <cell r="AR180" t="str">
            <v/>
          </cell>
          <cell r="AS180" t="str">
            <v/>
          </cell>
          <cell r="AT180" t="str">
            <v/>
          </cell>
          <cell r="AU180" t="str">
            <v/>
          </cell>
          <cell r="AV180" t="str">
            <v/>
          </cell>
          <cell r="AW180" t="str">
            <v/>
          </cell>
          <cell r="AX180" t="str">
            <v/>
          </cell>
          <cell r="AY180" t="str">
            <v/>
          </cell>
          <cell r="AZ180" t="str">
            <v/>
          </cell>
          <cell r="BA180" t="str">
            <v/>
          </cell>
          <cell r="BB180" t="str">
            <v/>
          </cell>
          <cell r="BC180" t="str">
            <v/>
          </cell>
          <cell r="BD180" t="str">
            <v/>
          </cell>
          <cell r="BE180" t="str">
            <v/>
          </cell>
          <cell r="BF180" t="str">
            <v/>
          </cell>
          <cell r="BG180" t="str">
            <v/>
          </cell>
          <cell r="BH180" t="str">
            <v/>
          </cell>
          <cell r="BI180" t="str">
            <v/>
          </cell>
          <cell r="BJ180" t="str">
            <v/>
          </cell>
          <cell r="BK180" t="str">
            <v/>
          </cell>
          <cell r="BL180" t="str">
            <v/>
          </cell>
          <cell r="BM180" t="str">
            <v/>
          </cell>
          <cell r="BN180" t="str">
            <v/>
          </cell>
          <cell r="BO180" t="str">
            <v/>
          </cell>
          <cell r="BP180" t="str">
            <v/>
          </cell>
          <cell r="BQ180" t="str">
            <v/>
          </cell>
          <cell r="BR180" t="str">
            <v/>
          </cell>
          <cell r="BS180" t="str">
            <v/>
          </cell>
          <cell r="BT180" t="str">
            <v/>
          </cell>
          <cell r="BU180" t="str">
            <v/>
          </cell>
          <cell r="BV180" t="str">
            <v/>
          </cell>
          <cell r="BW180" t="str">
            <v/>
          </cell>
          <cell r="BX180" t="str">
            <v/>
          </cell>
          <cell r="BY180" t="str">
            <v/>
          </cell>
          <cell r="BZ180" t="str">
            <v/>
          </cell>
          <cell r="CA180" t="str">
            <v/>
          </cell>
          <cell r="CB180" t="str">
            <v/>
          </cell>
          <cell r="CC180" t="str">
            <v/>
          </cell>
          <cell r="CD180" t="str">
            <v/>
          </cell>
          <cell r="CE180" t="str">
            <v/>
          </cell>
          <cell r="CF180" t="str">
            <v/>
          </cell>
          <cell r="CG180" t="str">
            <v/>
          </cell>
          <cell r="CH180" t="str">
            <v/>
          </cell>
          <cell r="CI180" t="str">
            <v/>
          </cell>
          <cell r="CJ180" t="str">
            <v/>
          </cell>
          <cell r="CK180" t="str">
            <v/>
          </cell>
          <cell r="CL180">
            <v>0</v>
          </cell>
          <cell r="CM180">
            <v>0</v>
          </cell>
          <cell r="CN180">
            <v>0</v>
          </cell>
          <cell r="CO180" t="str">
            <v>N.R</v>
          </cell>
          <cell r="CP180" t="str">
            <v/>
          </cell>
          <cell r="CQ180">
            <v>41</v>
          </cell>
          <cell r="CR180">
            <v>87</v>
          </cell>
          <cell r="CS180" t="e">
            <v>#VALUE!</v>
          </cell>
          <cell r="CT180" t="str">
            <v/>
          </cell>
          <cell r="CU180">
            <v>35</v>
          </cell>
          <cell r="CV180">
            <v>74</v>
          </cell>
          <cell r="CW180" t="e">
            <v>#VALUE!</v>
          </cell>
          <cell r="CX180" t="str">
            <v/>
          </cell>
          <cell r="CY180">
            <v>59</v>
          </cell>
          <cell r="CZ180">
            <v>97</v>
          </cell>
          <cell r="DA180" t="e">
            <v>#VALUE!</v>
          </cell>
          <cell r="DB180" t="str">
            <v/>
          </cell>
          <cell r="DC180">
            <v>0</v>
          </cell>
          <cell r="DD180">
            <v>0</v>
          </cell>
          <cell r="DE180" t="e">
            <v>#VALUE!</v>
          </cell>
          <cell r="DF180" t="str">
            <v/>
          </cell>
          <cell r="DG180">
            <v>33</v>
          </cell>
          <cell r="DH180">
            <v>87</v>
          </cell>
          <cell r="DI180" t="e">
            <v>#VALUE!</v>
          </cell>
          <cell r="DJ180" t="str">
            <v/>
          </cell>
          <cell r="DK180">
            <v>29</v>
          </cell>
          <cell r="DL180">
            <v>88</v>
          </cell>
          <cell r="DM180" t="e">
            <v>#VALUE!</v>
          </cell>
          <cell r="DN180" t="str">
            <v/>
          </cell>
          <cell r="DO180">
            <v>35</v>
          </cell>
          <cell r="DP180">
            <v>92</v>
          </cell>
          <cell r="DQ180" t="e">
            <v>#VALUE!</v>
          </cell>
          <cell r="DR180" t="str">
            <v/>
          </cell>
          <cell r="DS180">
            <v>0</v>
          </cell>
          <cell r="DT180">
            <v>81</v>
          </cell>
          <cell r="DU180" t="e">
            <v>#VALUE!</v>
          </cell>
          <cell r="DV180" t="str">
            <v/>
          </cell>
          <cell r="DW180">
            <v>0</v>
          </cell>
          <cell r="DX180">
            <v>0</v>
          </cell>
          <cell r="DY180" t="e">
            <v>#VALUE!</v>
          </cell>
          <cell r="DZ180" t="str">
            <v/>
          </cell>
          <cell r="EA180">
            <v>0</v>
          </cell>
          <cell r="EB180">
            <v>86</v>
          </cell>
          <cell r="EC180" t="e">
            <v>#VALUE!</v>
          </cell>
          <cell r="ED180" t="str">
            <v/>
          </cell>
          <cell r="EE180">
            <v>0</v>
          </cell>
          <cell r="EF180">
            <v>170</v>
          </cell>
          <cell r="EG180" t="e">
            <v>#VALUE!</v>
          </cell>
          <cell r="EH180" t="str">
            <v/>
          </cell>
          <cell r="EI180">
            <v>0</v>
          </cell>
          <cell r="EJ180">
            <v>89</v>
          </cell>
          <cell r="EK180" t="e">
            <v>#VALUE!</v>
          </cell>
          <cell r="EL180" t="str">
            <v/>
          </cell>
          <cell r="EM180">
            <v>0</v>
          </cell>
          <cell r="EN180">
            <v>91</v>
          </cell>
          <cell r="EO180" t="e">
            <v>#VALUE!</v>
          </cell>
          <cell r="EP180" t="str">
            <v/>
          </cell>
          <cell r="EQ180">
            <v>0</v>
          </cell>
          <cell r="ER180">
            <v>0</v>
          </cell>
          <cell r="ES180" t="e">
            <v>#VALUE!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  <cell r="V181" t="str">
            <v/>
          </cell>
          <cell r="W181" t="str">
            <v/>
          </cell>
          <cell r="X181" t="str">
            <v/>
          </cell>
          <cell r="Y181" t="str">
            <v/>
          </cell>
          <cell r="Z181" t="str">
            <v/>
          </cell>
          <cell r="AA181" t="str">
            <v/>
          </cell>
          <cell r="AB181" t="str">
            <v/>
          </cell>
          <cell r="AC181" t="str">
            <v/>
          </cell>
          <cell r="AD181" t="str">
            <v/>
          </cell>
          <cell r="AE181" t="str">
            <v/>
          </cell>
          <cell r="AF181" t="str">
            <v/>
          </cell>
          <cell r="AG181" t="str">
            <v/>
          </cell>
          <cell r="AH181" t="str">
            <v/>
          </cell>
          <cell r="AI181" t="str">
            <v/>
          </cell>
          <cell r="AJ181" t="str">
            <v/>
          </cell>
          <cell r="AK181" t="str">
            <v/>
          </cell>
          <cell r="AL181" t="str">
            <v/>
          </cell>
          <cell r="AM181" t="str">
            <v/>
          </cell>
          <cell r="AN181" t="str">
            <v/>
          </cell>
          <cell r="AO181" t="str">
            <v/>
          </cell>
          <cell r="AP181" t="str">
            <v/>
          </cell>
          <cell r="AQ181" t="str">
            <v/>
          </cell>
          <cell r="AR181" t="str">
            <v/>
          </cell>
          <cell r="AS181" t="str">
            <v/>
          </cell>
          <cell r="AT181" t="str">
            <v/>
          </cell>
          <cell r="AU181" t="str">
            <v/>
          </cell>
          <cell r="AV181" t="str">
            <v/>
          </cell>
          <cell r="AW181" t="str">
            <v/>
          </cell>
          <cell r="AX181" t="str">
            <v/>
          </cell>
          <cell r="AY181" t="str">
            <v/>
          </cell>
          <cell r="AZ181" t="str">
            <v/>
          </cell>
          <cell r="BA181" t="str">
            <v/>
          </cell>
          <cell r="BB181" t="str">
            <v/>
          </cell>
          <cell r="BC181" t="str">
            <v/>
          </cell>
          <cell r="BD181" t="str">
            <v/>
          </cell>
          <cell r="BE181" t="str">
            <v/>
          </cell>
          <cell r="BF181" t="str">
            <v/>
          </cell>
          <cell r="BG181" t="str">
            <v/>
          </cell>
          <cell r="BH181" t="str">
            <v/>
          </cell>
          <cell r="BI181" t="str">
            <v/>
          </cell>
          <cell r="BJ181" t="str">
            <v/>
          </cell>
          <cell r="BK181" t="str">
            <v/>
          </cell>
          <cell r="BL181" t="str">
            <v/>
          </cell>
          <cell r="BM181" t="str">
            <v/>
          </cell>
          <cell r="BN181" t="str">
            <v/>
          </cell>
          <cell r="BO181" t="str">
            <v/>
          </cell>
          <cell r="BP181" t="str">
            <v/>
          </cell>
          <cell r="BQ181" t="str">
            <v/>
          </cell>
          <cell r="BR181" t="str">
            <v/>
          </cell>
          <cell r="BS181" t="str">
            <v/>
          </cell>
          <cell r="BT181" t="str">
            <v/>
          </cell>
          <cell r="BU181" t="str">
            <v/>
          </cell>
          <cell r="BV181" t="str">
            <v/>
          </cell>
          <cell r="BW181" t="str">
            <v/>
          </cell>
          <cell r="BX181" t="str">
            <v/>
          </cell>
          <cell r="BY181" t="str">
            <v/>
          </cell>
          <cell r="BZ181" t="str">
            <v/>
          </cell>
          <cell r="CA181" t="str">
            <v/>
          </cell>
          <cell r="CB181" t="str">
            <v/>
          </cell>
          <cell r="CC181" t="str">
            <v/>
          </cell>
          <cell r="CD181" t="str">
            <v/>
          </cell>
          <cell r="CE181" t="str">
            <v/>
          </cell>
          <cell r="CF181" t="str">
            <v/>
          </cell>
          <cell r="CG181" t="str">
            <v/>
          </cell>
          <cell r="CH181" t="str">
            <v/>
          </cell>
          <cell r="CI181" t="str">
            <v/>
          </cell>
          <cell r="CJ181" t="str">
            <v/>
          </cell>
          <cell r="CK181" t="str">
            <v/>
          </cell>
          <cell r="CL181">
            <v>0</v>
          </cell>
          <cell r="CM181">
            <v>0</v>
          </cell>
          <cell r="CN181">
            <v>0</v>
          </cell>
          <cell r="CO181" t="str">
            <v>N.R</v>
          </cell>
          <cell r="CP181" t="str">
            <v/>
          </cell>
          <cell r="CQ181">
            <v>41</v>
          </cell>
          <cell r="CR181">
            <v>87</v>
          </cell>
          <cell r="CS181" t="e">
            <v>#VALUE!</v>
          </cell>
          <cell r="CT181" t="str">
            <v/>
          </cell>
          <cell r="CU181">
            <v>35</v>
          </cell>
          <cell r="CV181">
            <v>74</v>
          </cell>
          <cell r="CW181" t="e">
            <v>#VALUE!</v>
          </cell>
          <cell r="CX181" t="str">
            <v/>
          </cell>
          <cell r="CY181">
            <v>59</v>
          </cell>
          <cell r="CZ181">
            <v>97</v>
          </cell>
          <cell r="DA181" t="e">
            <v>#VALUE!</v>
          </cell>
          <cell r="DB181" t="str">
            <v/>
          </cell>
          <cell r="DC181">
            <v>0</v>
          </cell>
          <cell r="DD181">
            <v>0</v>
          </cell>
          <cell r="DE181" t="e">
            <v>#VALUE!</v>
          </cell>
          <cell r="DF181" t="str">
            <v/>
          </cell>
          <cell r="DG181">
            <v>33</v>
          </cell>
          <cell r="DH181">
            <v>87</v>
          </cell>
          <cell r="DI181" t="e">
            <v>#VALUE!</v>
          </cell>
          <cell r="DJ181" t="str">
            <v/>
          </cell>
          <cell r="DK181">
            <v>29</v>
          </cell>
          <cell r="DL181">
            <v>88</v>
          </cell>
          <cell r="DM181" t="e">
            <v>#VALUE!</v>
          </cell>
          <cell r="DN181" t="str">
            <v/>
          </cell>
          <cell r="DO181">
            <v>35</v>
          </cell>
          <cell r="DP181">
            <v>92</v>
          </cell>
          <cell r="DQ181" t="e">
            <v>#VALUE!</v>
          </cell>
          <cell r="DR181" t="str">
            <v/>
          </cell>
          <cell r="DS181">
            <v>0</v>
          </cell>
          <cell r="DT181">
            <v>81</v>
          </cell>
          <cell r="DU181" t="e">
            <v>#VALUE!</v>
          </cell>
          <cell r="DV181" t="str">
            <v/>
          </cell>
          <cell r="DW181">
            <v>0</v>
          </cell>
          <cell r="DX181">
            <v>0</v>
          </cell>
          <cell r="DY181" t="e">
            <v>#VALUE!</v>
          </cell>
          <cell r="DZ181" t="str">
            <v/>
          </cell>
          <cell r="EA181">
            <v>0</v>
          </cell>
          <cell r="EB181">
            <v>86</v>
          </cell>
          <cell r="EC181" t="e">
            <v>#VALUE!</v>
          </cell>
          <cell r="ED181" t="str">
            <v/>
          </cell>
          <cell r="EE181">
            <v>0</v>
          </cell>
          <cell r="EF181">
            <v>171</v>
          </cell>
          <cell r="EG181" t="e">
            <v>#VALUE!</v>
          </cell>
          <cell r="EH181" t="str">
            <v/>
          </cell>
          <cell r="EI181">
            <v>0</v>
          </cell>
          <cell r="EJ181">
            <v>89</v>
          </cell>
          <cell r="EK181" t="e">
            <v>#VALUE!</v>
          </cell>
          <cell r="EL181" t="str">
            <v/>
          </cell>
          <cell r="EM181">
            <v>0</v>
          </cell>
          <cell r="EN181">
            <v>91</v>
          </cell>
          <cell r="EO181" t="e">
            <v>#VALUE!</v>
          </cell>
          <cell r="EP181" t="str">
            <v/>
          </cell>
          <cell r="EQ181">
            <v>0</v>
          </cell>
          <cell r="ER181">
            <v>0</v>
          </cell>
          <cell r="ES181" t="e">
            <v>#VALUE!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 t="str">
            <v/>
          </cell>
          <cell r="G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  <cell r="N182" t="str">
            <v/>
          </cell>
          <cell r="O182" t="str">
            <v/>
          </cell>
          <cell r="P182" t="str">
            <v/>
          </cell>
          <cell r="Q182" t="str">
            <v/>
          </cell>
          <cell r="R182" t="str">
            <v/>
          </cell>
          <cell r="S182" t="str">
            <v/>
          </cell>
          <cell r="T182" t="str">
            <v/>
          </cell>
          <cell r="U182" t="str">
            <v/>
          </cell>
          <cell r="V182" t="str">
            <v/>
          </cell>
          <cell r="W182" t="str">
            <v/>
          </cell>
          <cell r="X182" t="str">
            <v/>
          </cell>
          <cell r="Y182" t="str">
            <v/>
          </cell>
          <cell r="Z182" t="str">
            <v/>
          </cell>
          <cell r="AA182" t="str">
            <v/>
          </cell>
          <cell r="AB182" t="str">
            <v/>
          </cell>
          <cell r="AC182" t="str">
            <v/>
          </cell>
          <cell r="AD182" t="str">
            <v/>
          </cell>
          <cell r="AE182" t="str">
            <v/>
          </cell>
          <cell r="AF182" t="str">
            <v/>
          </cell>
          <cell r="AG182" t="str">
            <v/>
          </cell>
          <cell r="AH182" t="str">
            <v/>
          </cell>
          <cell r="AI182" t="str">
            <v/>
          </cell>
          <cell r="AJ182" t="str">
            <v/>
          </cell>
          <cell r="AK182" t="str">
            <v/>
          </cell>
          <cell r="AL182" t="str">
            <v/>
          </cell>
          <cell r="AM182" t="str">
            <v/>
          </cell>
          <cell r="AN182" t="str">
            <v/>
          </cell>
          <cell r="AO182" t="str">
            <v/>
          </cell>
          <cell r="AP182" t="str">
            <v/>
          </cell>
          <cell r="AQ182" t="str">
            <v/>
          </cell>
          <cell r="AR182" t="str">
            <v/>
          </cell>
          <cell r="AS182" t="str">
            <v/>
          </cell>
          <cell r="AT182" t="str">
            <v/>
          </cell>
          <cell r="AU182" t="str">
            <v/>
          </cell>
          <cell r="AV182" t="str">
            <v/>
          </cell>
          <cell r="AW182" t="str">
            <v/>
          </cell>
          <cell r="AX182" t="str">
            <v/>
          </cell>
          <cell r="AY182" t="str">
            <v/>
          </cell>
          <cell r="AZ182" t="str">
            <v/>
          </cell>
          <cell r="BA182" t="str">
            <v/>
          </cell>
          <cell r="BB182" t="str">
            <v/>
          </cell>
          <cell r="BC182" t="str">
            <v/>
          </cell>
          <cell r="BD182" t="str">
            <v/>
          </cell>
          <cell r="BE182" t="str">
            <v/>
          </cell>
          <cell r="BF182" t="str">
            <v/>
          </cell>
          <cell r="BG182" t="str">
            <v/>
          </cell>
          <cell r="BH182" t="str">
            <v/>
          </cell>
          <cell r="BI182" t="str">
            <v/>
          </cell>
          <cell r="BJ182" t="str">
            <v/>
          </cell>
          <cell r="BK182" t="str">
            <v/>
          </cell>
          <cell r="BL182" t="str">
            <v/>
          </cell>
          <cell r="BM182" t="str">
            <v/>
          </cell>
          <cell r="BN182" t="str">
            <v/>
          </cell>
          <cell r="BO182" t="str">
            <v/>
          </cell>
          <cell r="BP182" t="str">
            <v/>
          </cell>
          <cell r="BQ182" t="str">
            <v/>
          </cell>
          <cell r="BR182" t="str">
            <v/>
          </cell>
          <cell r="BS182" t="str">
            <v/>
          </cell>
          <cell r="BT182" t="str">
            <v/>
          </cell>
          <cell r="BU182" t="str">
            <v/>
          </cell>
          <cell r="BV182" t="str">
            <v/>
          </cell>
          <cell r="BW182" t="str">
            <v/>
          </cell>
          <cell r="BX182" t="str">
            <v/>
          </cell>
          <cell r="BY182" t="str">
            <v/>
          </cell>
          <cell r="BZ182" t="str">
            <v/>
          </cell>
          <cell r="CA182" t="str">
            <v/>
          </cell>
          <cell r="CB182" t="str">
            <v/>
          </cell>
          <cell r="CC182" t="str">
            <v/>
          </cell>
          <cell r="CD182" t="str">
            <v/>
          </cell>
          <cell r="CE182" t="str">
            <v/>
          </cell>
          <cell r="CF182" t="str">
            <v/>
          </cell>
          <cell r="CG182" t="str">
            <v/>
          </cell>
          <cell r="CH182" t="str">
            <v/>
          </cell>
          <cell r="CI182" t="str">
            <v/>
          </cell>
          <cell r="CJ182" t="str">
            <v/>
          </cell>
          <cell r="CK182" t="str">
            <v/>
          </cell>
          <cell r="CL182">
            <v>0</v>
          </cell>
          <cell r="CM182">
            <v>0</v>
          </cell>
          <cell r="CN182">
            <v>0</v>
          </cell>
          <cell r="CO182" t="str">
            <v>N.R</v>
          </cell>
          <cell r="CP182" t="str">
            <v/>
          </cell>
          <cell r="CQ182">
            <v>41</v>
          </cell>
          <cell r="CR182">
            <v>87</v>
          </cell>
          <cell r="CS182" t="e">
            <v>#VALUE!</v>
          </cell>
          <cell r="CT182" t="str">
            <v/>
          </cell>
          <cell r="CU182">
            <v>35</v>
          </cell>
          <cell r="CV182">
            <v>74</v>
          </cell>
          <cell r="CW182" t="e">
            <v>#VALUE!</v>
          </cell>
          <cell r="CX182" t="str">
            <v/>
          </cell>
          <cell r="CY182">
            <v>59</v>
          </cell>
          <cell r="CZ182">
            <v>97</v>
          </cell>
          <cell r="DA182" t="e">
            <v>#VALUE!</v>
          </cell>
          <cell r="DB182" t="str">
            <v/>
          </cell>
          <cell r="DC182">
            <v>0</v>
          </cell>
          <cell r="DD182">
            <v>0</v>
          </cell>
          <cell r="DE182" t="e">
            <v>#VALUE!</v>
          </cell>
          <cell r="DF182" t="str">
            <v/>
          </cell>
          <cell r="DG182">
            <v>33</v>
          </cell>
          <cell r="DH182">
            <v>87</v>
          </cell>
          <cell r="DI182" t="e">
            <v>#VALUE!</v>
          </cell>
          <cell r="DJ182" t="str">
            <v/>
          </cell>
          <cell r="DK182">
            <v>29</v>
          </cell>
          <cell r="DL182">
            <v>88</v>
          </cell>
          <cell r="DM182" t="e">
            <v>#VALUE!</v>
          </cell>
          <cell r="DN182" t="str">
            <v/>
          </cell>
          <cell r="DO182">
            <v>35</v>
          </cell>
          <cell r="DP182">
            <v>92</v>
          </cell>
          <cell r="DQ182" t="e">
            <v>#VALUE!</v>
          </cell>
          <cell r="DR182" t="str">
            <v/>
          </cell>
          <cell r="DS182">
            <v>0</v>
          </cell>
          <cell r="DT182">
            <v>81</v>
          </cell>
          <cell r="DU182" t="e">
            <v>#VALUE!</v>
          </cell>
          <cell r="DV182" t="str">
            <v/>
          </cell>
          <cell r="DW182">
            <v>0</v>
          </cell>
          <cell r="DX182">
            <v>0</v>
          </cell>
          <cell r="DY182" t="e">
            <v>#VALUE!</v>
          </cell>
          <cell r="DZ182" t="str">
            <v/>
          </cell>
          <cell r="EA182">
            <v>0</v>
          </cell>
          <cell r="EB182">
            <v>86</v>
          </cell>
          <cell r="EC182" t="e">
            <v>#VALUE!</v>
          </cell>
          <cell r="ED182" t="str">
            <v/>
          </cell>
          <cell r="EE182">
            <v>0</v>
          </cell>
          <cell r="EF182">
            <v>172</v>
          </cell>
          <cell r="EG182" t="e">
            <v>#VALUE!</v>
          </cell>
          <cell r="EH182" t="str">
            <v/>
          </cell>
          <cell r="EI182">
            <v>0</v>
          </cell>
          <cell r="EJ182">
            <v>89</v>
          </cell>
          <cell r="EK182" t="e">
            <v>#VALUE!</v>
          </cell>
          <cell r="EL182" t="str">
            <v/>
          </cell>
          <cell r="EM182">
            <v>0</v>
          </cell>
          <cell r="EN182">
            <v>91</v>
          </cell>
          <cell r="EO182" t="e">
            <v>#VALUE!</v>
          </cell>
          <cell r="EP182" t="str">
            <v/>
          </cell>
          <cell r="EQ182">
            <v>0</v>
          </cell>
          <cell r="ER182">
            <v>0</v>
          </cell>
          <cell r="ES182" t="e">
            <v>#VALUE!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 t="str">
            <v/>
          </cell>
          <cell r="G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  <cell r="N183" t="str">
            <v/>
          </cell>
          <cell r="O183" t="str">
            <v/>
          </cell>
          <cell r="P183" t="str">
            <v/>
          </cell>
          <cell r="Q183" t="str">
            <v/>
          </cell>
          <cell r="R183" t="str">
            <v/>
          </cell>
          <cell r="S183" t="str">
            <v/>
          </cell>
          <cell r="T183" t="str">
            <v/>
          </cell>
          <cell r="U183" t="str">
            <v/>
          </cell>
          <cell r="V183" t="str">
            <v/>
          </cell>
          <cell r="W183" t="str">
            <v/>
          </cell>
          <cell r="X183" t="str">
            <v/>
          </cell>
          <cell r="Y183" t="str">
            <v/>
          </cell>
          <cell r="Z183" t="str">
            <v/>
          </cell>
          <cell r="AA183" t="str">
            <v/>
          </cell>
          <cell r="AB183" t="str">
            <v/>
          </cell>
          <cell r="AC183" t="str">
            <v/>
          </cell>
          <cell r="AD183" t="str">
            <v/>
          </cell>
          <cell r="AE183" t="str">
            <v/>
          </cell>
          <cell r="AF183" t="str">
            <v/>
          </cell>
          <cell r="AG183" t="str">
            <v/>
          </cell>
          <cell r="AH183" t="str">
            <v/>
          </cell>
          <cell r="AI183" t="str">
            <v/>
          </cell>
          <cell r="AJ183" t="str">
            <v/>
          </cell>
          <cell r="AK183" t="str">
            <v/>
          </cell>
          <cell r="AL183" t="str">
            <v/>
          </cell>
          <cell r="AM183" t="str">
            <v/>
          </cell>
          <cell r="AN183" t="str">
            <v/>
          </cell>
          <cell r="AO183" t="str">
            <v/>
          </cell>
          <cell r="AP183" t="str">
            <v/>
          </cell>
          <cell r="AQ183" t="str">
            <v/>
          </cell>
          <cell r="AR183" t="str">
            <v/>
          </cell>
          <cell r="AS183" t="str">
            <v/>
          </cell>
          <cell r="AT183" t="str">
            <v/>
          </cell>
          <cell r="AU183" t="str">
            <v/>
          </cell>
          <cell r="AV183" t="str">
            <v/>
          </cell>
          <cell r="AW183" t="str">
            <v/>
          </cell>
          <cell r="AX183" t="str">
            <v/>
          </cell>
          <cell r="AY183" t="str">
            <v/>
          </cell>
          <cell r="AZ183" t="str">
            <v/>
          </cell>
          <cell r="BA183" t="str">
            <v/>
          </cell>
          <cell r="BB183" t="str">
            <v/>
          </cell>
          <cell r="BC183" t="str">
            <v/>
          </cell>
          <cell r="BD183" t="str">
            <v/>
          </cell>
          <cell r="BE183" t="str">
            <v/>
          </cell>
          <cell r="BF183" t="str">
            <v/>
          </cell>
          <cell r="BG183" t="str">
            <v/>
          </cell>
          <cell r="BH183" t="str">
            <v/>
          </cell>
          <cell r="BI183" t="str">
            <v/>
          </cell>
          <cell r="BJ183" t="str">
            <v/>
          </cell>
          <cell r="BK183" t="str">
            <v/>
          </cell>
          <cell r="BL183" t="str">
            <v/>
          </cell>
          <cell r="BM183" t="str">
            <v/>
          </cell>
          <cell r="BN183" t="str">
            <v/>
          </cell>
          <cell r="BO183" t="str">
            <v/>
          </cell>
          <cell r="BP183" t="str">
            <v/>
          </cell>
          <cell r="BQ183" t="str">
            <v/>
          </cell>
          <cell r="BR183" t="str">
            <v/>
          </cell>
          <cell r="BS183" t="str">
            <v/>
          </cell>
          <cell r="BT183" t="str">
            <v/>
          </cell>
          <cell r="BU183" t="str">
            <v/>
          </cell>
          <cell r="BV183" t="str">
            <v/>
          </cell>
          <cell r="BW183" t="str">
            <v/>
          </cell>
          <cell r="BX183" t="str">
            <v/>
          </cell>
          <cell r="BY183" t="str">
            <v/>
          </cell>
          <cell r="BZ183" t="str">
            <v/>
          </cell>
          <cell r="CA183" t="str">
            <v/>
          </cell>
          <cell r="CB183" t="str">
            <v/>
          </cell>
          <cell r="CC183" t="str">
            <v/>
          </cell>
          <cell r="CD183" t="str">
            <v/>
          </cell>
          <cell r="CE183" t="str">
            <v/>
          </cell>
          <cell r="CF183" t="str">
            <v/>
          </cell>
          <cell r="CG183" t="str">
            <v/>
          </cell>
          <cell r="CH183" t="str">
            <v/>
          </cell>
          <cell r="CI183" t="str">
            <v/>
          </cell>
          <cell r="CJ183" t="str">
            <v/>
          </cell>
          <cell r="CK183" t="str">
            <v/>
          </cell>
          <cell r="CL183">
            <v>0</v>
          </cell>
          <cell r="CM183">
            <v>0</v>
          </cell>
          <cell r="CN183">
            <v>0</v>
          </cell>
          <cell r="CO183" t="str">
            <v>N.R</v>
          </cell>
          <cell r="CP183" t="str">
            <v/>
          </cell>
          <cell r="CQ183">
            <v>41</v>
          </cell>
          <cell r="CR183">
            <v>87</v>
          </cell>
          <cell r="CS183" t="e">
            <v>#VALUE!</v>
          </cell>
          <cell r="CT183" t="str">
            <v/>
          </cell>
          <cell r="CU183">
            <v>35</v>
          </cell>
          <cell r="CV183">
            <v>74</v>
          </cell>
          <cell r="CW183" t="e">
            <v>#VALUE!</v>
          </cell>
          <cell r="CX183" t="str">
            <v/>
          </cell>
          <cell r="CY183">
            <v>59</v>
          </cell>
          <cell r="CZ183">
            <v>97</v>
          </cell>
          <cell r="DA183" t="e">
            <v>#VALUE!</v>
          </cell>
          <cell r="DB183" t="str">
            <v/>
          </cell>
          <cell r="DC183">
            <v>0</v>
          </cell>
          <cell r="DD183">
            <v>0</v>
          </cell>
          <cell r="DE183" t="e">
            <v>#VALUE!</v>
          </cell>
          <cell r="DF183" t="str">
            <v/>
          </cell>
          <cell r="DG183">
            <v>33</v>
          </cell>
          <cell r="DH183">
            <v>87</v>
          </cell>
          <cell r="DI183" t="e">
            <v>#VALUE!</v>
          </cell>
          <cell r="DJ183" t="str">
            <v/>
          </cell>
          <cell r="DK183">
            <v>29</v>
          </cell>
          <cell r="DL183">
            <v>88</v>
          </cell>
          <cell r="DM183" t="e">
            <v>#VALUE!</v>
          </cell>
          <cell r="DN183" t="str">
            <v/>
          </cell>
          <cell r="DO183">
            <v>35</v>
          </cell>
          <cell r="DP183">
            <v>92</v>
          </cell>
          <cell r="DQ183" t="e">
            <v>#VALUE!</v>
          </cell>
          <cell r="DR183" t="str">
            <v/>
          </cell>
          <cell r="DS183">
            <v>0</v>
          </cell>
          <cell r="DT183">
            <v>81</v>
          </cell>
          <cell r="DU183" t="e">
            <v>#VALUE!</v>
          </cell>
          <cell r="DV183" t="str">
            <v/>
          </cell>
          <cell r="DW183">
            <v>0</v>
          </cell>
          <cell r="DX183">
            <v>0</v>
          </cell>
          <cell r="DY183" t="e">
            <v>#VALUE!</v>
          </cell>
          <cell r="DZ183" t="str">
            <v/>
          </cell>
          <cell r="EA183">
            <v>0</v>
          </cell>
          <cell r="EB183">
            <v>86</v>
          </cell>
          <cell r="EC183" t="e">
            <v>#VALUE!</v>
          </cell>
          <cell r="ED183" t="str">
            <v/>
          </cell>
          <cell r="EE183">
            <v>0</v>
          </cell>
          <cell r="EF183">
            <v>173</v>
          </cell>
          <cell r="EG183" t="e">
            <v>#VALUE!</v>
          </cell>
          <cell r="EH183" t="str">
            <v/>
          </cell>
          <cell r="EI183">
            <v>0</v>
          </cell>
          <cell r="EJ183">
            <v>89</v>
          </cell>
          <cell r="EK183" t="e">
            <v>#VALUE!</v>
          </cell>
          <cell r="EL183" t="str">
            <v/>
          </cell>
          <cell r="EM183">
            <v>0</v>
          </cell>
          <cell r="EN183">
            <v>91</v>
          </cell>
          <cell r="EO183" t="e">
            <v>#VALUE!</v>
          </cell>
          <cell r="EP183" t="str">
            <v/>
          </cell>
          <cell r="EQ183">
            <v>0</v>
          </cell>
          <cell r="ER183">
            <v>0</v>
          </cell>
          <cell r="ES183" t="e">
            <v>#VALUE!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 t="str">
            <v/>
          </cell>
          <cell r="G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  <cell r="N184" t="str">
            <v/>
          </cell>
          <cell r="O184" t="str">
            <v/>
          </cell>
          <cell r="P184" t="str">
            <v/>
          </cell>
          <cell r="Q184" t="str">
            <v/>
          </cell>
          <cell r="R184" t="str">
            <v/>
          </cell>
          <cell r="S184" t="str">
            <v/>
          </cell>
          <cell r="T184" t="str">
            <v/>
          </cell>
          <cell r="U184" t="str">
            <v/>
          </cell>
          <cell r="V184" t="str">
            <v/>
          </cell>
          <cell r="W184" t="str">
            <v/>
          </cell>
          <cell r="X184" t="str">
            <v/>
          </cell>
          <cell r="Y184" t="str">
            <v/>
          </cell>
          <cell r="Z184" t="str">
            <v/>
          </cell>
          <cell r="AA184" t="str">
            <v/>
          </cell>
          <cell r="AB184" t="str">
            <v/>
          </cell>
          <cell r="AC184" t="str">
            <v/>
          </cell>
          <cell r="AD184" t="str">
            <v/>
          </cell>
          <cell r="AE184" t="str">
            <v/>
          </cell>
          <cell r="AF184" t="str">
            <v/>
          </cell>
          <cell r="AG184" t="str">
            <v/>
          </cell>
          <cell r="AH184" t="str">
            <v/>
          </cell>
          <cell r="AI184" t="str">
            <v/>
          </cell>
          <cell r="AJ184" t="str">
            <v/>
          </cell>
          <cell r="AK184" t="str">
            <v/>
          </cell>
          <cell r="AL184" t="str">
            <v/>
          </cell>
          <cell r="AM184" t="str">
            <v/>
          </cell>
          <cell r="AN184" t="str">
            <v/>
          </cell>
          <cell r="AO184" t="str">
            <v/>
          </cell>
          <cell r="AP184" t="str">
            <v/>
          </cell>
          <cell r="AQ184" t="str">
            <v/>
          </cell>
          <cell r="AR184" t="str">
            <v/>
          </cell>
          <cell r="AS184" t="str">
            <v/>
          </cell>
          <cell r="AT184" t="str">
            <v/>
          </cell>
          <cell r="AU184" t="str">
            <v/>
          </cell>
          <cell r="AV184" t="str">
            <v/>
          </cell>
          <cell r="AW184" t="str">
            <v/>
          </cell>
          <cell r="AX184" t="str">
            <v/>
          </cell>
          <cell r="AY184" t="str">
            <v/>
          </cell>
          <cell r="AZ184" t="str">
            <v/>
          </cell>
          <cell r="BA184" t="str">
            <v/>
          </cell>
          <cell r="BB184" t="str">
            <v/>
          </cell>
          <cell r="BC184" t="str">
            <v/>
          </cell>
          <cell r="BD184" t="str">
            <v/>
          </cell>
          <cell r="BE184" t="str">
            <v/>
          </cell>
          <cell r="BF184" t="str">
            <v/>
          </cell>
          <cell r="BG184" t="str">
            <v/>
          </cell>
          <cell r="BH184" t="str">
            <v/>
          </cell>
          <cell r="BI184" t="str">
            <v/>
          </cell>
          <cell r="BJ184" t="str">
            <v/>
          </cell>
          <cell r="BK184" t="str">
            <v/>
          </cell>
          <cell r="BL184" t="str">
            <v/>
          </cell>
          <cell r="BM184" t="str">
            <v/>
          </cell>
          <cell r="BN184" t="str">
            <v/>
          </cell>
          <cell r="BO184" t="str">
            <v/>
          </cell>
          <cell r="BP184" t="str">
            <v/>
          </cell>
          <cell r="BQ184" t="str">
            <v/>
          </cell>
          <cell r="BR184" t="str">
            <v/>
          </cell>
          <cell r="BS184" t="str">
            <v/>
          </cell>
          <cell r="BT184" t="str">
            <v/>
          </cell>
          <cell r="BU184" t="str">
            <v/>
          </cell>
          <cell r="BV184" t="str">
            <v/>
          </cell>
          <cell r="BW184" t="str">
            <v/>
          </cell>
          <cell r="BX184" t="str">
            <v/>
          </cell>
          <cell r="BY184" t="str">
            <v/>
          </cell>
          <cell r="BZ184" t="str">
            <v/>
          </cell>
          <cell r="CA184" t="str">
            <v/>
          </cell>
          <cell r="CB184" t="str">
            <v/>
          </cell>
          <cell r="CC184" t="str">
            <v/>
          </cell>
          <cell r="CD184" t="str">
            <v/>
          </cell>
          <cell r="CE184" t="str">
            <v/>
          </cell>
          <cell r="CF184" t="str">
            <v/>
          </cell>
          <cell r="CG184" t="str">
            <v/>
          </cell>
          <cell r="CH184" t="str">
            <v/>
          </cell>
          <cell r="CI184" t="str">
            <v/>
          </cell>
          <cell r="CJ184" t="str">
            <v/>
          </cell>
          <cell r="CK184" t="str">
            <v/>
          </cell>
          <cell r="CL184">
            <v>0</v>
          </cell>
          <cell r="CM184">
            <v>0</v>
          </cell>
          <cell r="CN184">
            <v>0</v>
          </cell>
          <cell r="CO184" t="str">
            <v>N.R</v>
          </cell>
          <cell r="CP184" t="str">
            <v/>
          </cell>
          <cell r="CQ184">
            <v>41</v>
          </cell>
          <cell r="CR184">
            <v>87</v>
          </cell>
          <cell r="CS184" t="e">
            <v>#VALUE!</v>
          </cell>
          <cell r="CT184" t="str">
            <v/>
          </cell>
          <cell r="CU184">
            <v>35</v>
          </cell>
          <cell r="CV184">
            <v>74</v>
          </cell>
          <cell r="CW184" t="e">
            <v>#VALUE!</v>
          </cell>
          <cell r="CX184" t="str">
            <v/>
          </cell>
          <cell r="CY184">
            <v>59</v>
          </cell>
          <cell r="CZ184">
            <v>97</v>
          </cell>
          <cell r="DA184" t="e">
            <v>#VALUE!</v>
          </cell>
          <cell r="DB184" t="str">
            <v/>
          </cell>
          <cell r="DC184">
            <v>0</v>
          </cell>
          <cell r="DD184">
            <v>0</v>
          </cell>
          <cell r="DE184" t="e">
            <v>#VALUE!</v>
          </cell>
          <cell r="DF184" t="str">
            <v/>
          </cell>
          <cell r="DG184">
            <v>33</v>
          </cell>
          <cell r="DH184">
            <v>87</v>
          </cell>
          <cell r="DI184" t="e">
            <v>#VALUE!</v>
          </cell>
          <cell r="DJ184" t="str">
            <v/>
          </cell>
          <cell r="DK184">
            <v>29</v>
          </cell>
          <cell r="DL184">
            <v>88</v>
          </cell>
          <cell r="DM184" t="e">
            <v>#VALUE!</v>
          </cell>
          <cell r="DN184" t="str">
            <v/>
          </cell>
          <cell r="DO184">
            <v>35</v>
          </cell>
          <cell r="DP184">
            <v>92</v>
          </cell>
          <cell r="DQ184" t="e">
            <v>#VALUE!</v>
          </cell>
          <cell r="DR184" t="str">
            <v/>
          </cell>
          <cell r="DS184">
            <v>0</v>
          </cell>
          <cell r="DT184">
            <v>81</v>
          </cell>
          <cell r="DU184" t="e">
            <v>#VALUE!</v>
          </cell>
          <cell r="DV184" t="str">
            <v/>
          </cell>
          <cell r="DW184">
            <v>0</v>
          </cell>
          <cell r="DX184">
            <v>0</v>
          </cell>
          <cell r="DY184" t="e">
            <v>#VALUE!</v>
          </cell>
          <cell r="DZ184" t="str">
            <v/>
          </cell>
          <cell r="EA184">
            <v>0</v>
          </cell>
          <cell r="EB184">
            <v>86</v>
          </cell>
          <cell r="EC184" t="e">
            <v>#VALUE!</v>
          </cell>
          <cell r="ED184" t="str">
            <v/>
          </cell>
          <cell r="EE184">
            <v>0</v>
          </cell>
          <cell r="EF184">
            <v>174</v>
          </cell>
          <cell r="EG184" t="e">
            <v>#VALUE!</v>
          </cell>
          <cell r="EH184" t="str">
            <v/>
          </cell>
          <cell r="EI184">
            <v>0</v>
          </cell>
          <cell r="EJ184">
            <v>89</v>
          </cell>
          <cell r="EK184" t="e">
            <v>#VALUE!</v>
          </cell>
          <cell r="EL184" t="str">
            <v/>
          </cell>
          <cell r="EM184">
            <v>0</v>
          </cell>
          <cell r="EN184">
            <v>91</v>
          </cell>
          <cell r="EO184" t="e">
            <v>#VALUE!</v>
          </cell>
          <cell r="EP184" t="str">
            <v/>
          </cell>
          <cell r="EQ184">
            <v>0</v>
          </cell>
          <cell r="ER184">
            <v>0</v>
          </cell>
          <cell r="ES184" t="e">
            <v>#VALUE!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 t="str">
            <v/>
          </cell>
          <cell r="G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  <cell r="N185" t="str">
            <v/>
          </cell>
          <cell r="O185" t="str">
            <v/>
          </cell>
          <cell r="P185" t="str">
            <v/>
          </cell>
          <cell r="Q185" t="str">
            <v/>
          </cell>
          <cell r="R185" t="str">
            <v/>
          </cell>
          <cell r="S185" t="str">
            <v/>
          </cell>
          <cell r="T185" t="str">
            <v/>
          </cell>
          <cell r="U185" t="str">
            <v/>
          </cell>
          <cell r="V185" t="str">
            <v/>
          </cell>
          <cell r="W185" t="str">
            <v/>
          </cell>
          <cell r="X185" t="str">
            <v/>
          </cell>
          <cell r="Y185" t="str">
            <v/>
          </cell>
          <cell r="Z185" t="str">
            <v/>
          </cell>
          <cell r="AA185" t="str">
            <v/>
          </cell>
          <cell r="AB185" t="str">
            <v/>
          </cell>
          <cell r="AC185" t="str">
            <v/>
          </cell>
          <cell r="AD185" t="str">
            <v/>
          </cell>
          <cell r="AE185" t="str">
            <v/>
          </cell>
          <cell r="AF185" t="str">
            <v/>
          </cell>
          <cell r="AG185" t="str">
            <v/>
          </cell>
          <cell r="AH185" t="str">
            <v/>
          </cell>
          <cell r="AI185" t="str">
            <v/>
          </cell>
          <cell r="AJ185" t="str">
            <v/>
          </cell>
          <cell r="AK185" t="str">
            <v/>
          </cell>
          <cell r="AL185" t="str">
            <v/>
          </cell>
          <cell r="AM185" t="str">
            <v/>
          </cell>
          <cell r="AN185" t="str">
            <v/>
          </cell>
          <cell r="AO185" t="str">
            <v/>
          </cell>
          <cell r="AP185" t="str">
            <v/>
          </cell>
          <cell r="AQ185" t="str">
            <v/>
          </cell>
          <cell r="AR185" t="str">
            <v/>
          </cell>
          <cell r="AS185" t="str">
            <v/>
          </cell>
          <cell r="AT185" t="str">
            <v/>
          </cell>
          <cell r="AU185" t="str">
            <v/>
          </cell>
          <cell r="AV185" t="str">
            <v/>
          </cell>
          <cell r="AW185" t="str">
            <v/>
          </cell>
          <cell r="AX185" t="str">
            <v/>
          </cell>
          <cell r="AY185" t="str">
            <v/>
          </cell>
          <cell r="AZ185" t="str">
            <v/>
          </cell>
          <cell r="BA185" t="str">
            <v/>
          </cell>
          <cell r="BB185" t="str">
            <v/>
          </cell>
          <cell r="BC185" t="str">
            <v/>
          </cell>
          <cell r="BD185" t="str">
            <v/>
          </cell>
          <cell r="BE185" t="str">
            <v/>
          </cell>
          <cell r="BF185" t="str">
            <v/>
          </cell>
          <cell r="BG185" t="str">
            <v/>
          </cell>
          <cell r="BH185" t="str">
            <v/>
          </cell>
          <cell r="BI185" t="str">
            <v/>
          </cell>
          <cell r="BJ185" t="str">
            <v/>
          </cell>
          <cell r="BK185" t="str">
            <v/>
          </cell>
          <cell r="BL185" t="str">
            <v/>
          </cell>
          <cell r="BM185" t="str">
            <v/>
          </cell>
          <cell r="BN185" t="str">
            <v/>
          </cell>
          <cell r="BO185" t="str">
            <v/>
          </cell>
          <cell r="BP185" t="str">
            <v/>
          </cell>
          <cell r="BQ185" t="str">
            <v/>
          </cell>
          <cell r="BR185" t="str">
            <v/>
          </cell>
          <cell r="BS185" t="str">
            <v/>
          </cell>
          <cell r="BT185" t="str">
            <v/>
          </cell>
          <cell r="BU185" t="str">
            <v/>
          </cell>
          <cell r="BV185" t="str">
            <v/>
          </cell>
          <cell r="BW185" t="str">
            <v/>
          </cell>
          <cell r="BX185" t="str">
            <v/>
          </cell>
          <cell r="BY185" t="str">
            <v/>
          </cell>
          <cell r="BZ185" t="str">
            <v/>
          </cell>
          <cell r="CA185" t="str">
            <v/>
          </cell>
          <cell r="CB185" t="str">
            <v/>
          </cell>
          <cell r="CC185" t="str">
            <v/>
          </cell>
          <cell r="CD185" t="str">
            <v/>
          </cell>
          <cell r="CE185" t="str">
            <v/>
          </cell>
          <cell r="CF185" t="str">
            <v/>
          </cell>
          <cell r="CG185" t="str">
            <v/>
          </cell>
          <cell r="CH185" t="str">
            <v/>
          </cell>
          <cell r="CI185" t="str">
            <v/>
          </cell>
          <cell r="CJ185" t="str">
            <v/>
          </cell>
          <cell r="CK185" t="str">
            <v/>
          </cell>
          <cell r="CL185">
            <v>0</v>
          </cell>
          <cell r="CM185">
            <v>0</v>
          </cell>
          <cell r="CN185">
            <v>0</v>
          </cell>
          <cell r="CO185" t="str">
            <v>N.R</v>
          </cell>
          <cell r="CP185" t="str">
            <v/>
          </cell>
          <cell r="CQ185">
            <v>41</v>
          </cell>
          <cell r="CR185">
            <v>87</v>
          </cell>
          <cell r="CS185" t="e">
            <v>#VALUE!</v>
          </cell>
          <cell r="CT185" t="str">
            <v/>
          </cell>
          <cell r="CU185">
            <v>35</v>
          </cell>
          <cell r="CV185">
            <v>74</v>
          </cell>
          <cell r="CW185" t="e">
            <v>#VALUE!</v>
          </cell>
          <cell r="CX185" t="str">
            <v/>
          </cell>
          <cell r="CY185">
            <v>59</v>
          </cell>
          <cell r="CZ185">
            <v>97</v>
          </cell>
          <cell r="DA185" t="e">
            <v>#VALUE!</v>
          </cell>
          <cell r="DB185" t="str">
            <v/>
          </cell>
          <cell r="DC185">
            <v>0</v>
          </cell>
          <cell r="DD185">
            <v>0</v>
          </cell>
          <cell r="DE185" t="e">
            <v>#VALUE!</v>
          </cell>
          <cell r="DF185" t="str">
            <v/>
          </cell>
          <cell r="DG185">
            <v>33</v>
          </cell>
          <cell r="DH185">
            <v>87</v>
          </cell>
          <cell r="DI185" t="e">
            <v>#VALUE!</v>
          </cell>
          <cell r="DJ185" t="str">
            <v/>
          </cell>
          <cell r="DK185">
            <v>29</v>
          </cell>
          <cell r="DL185">
            <v>88</v>
          </cell>
          <cell r="DM185" t="e">
            <v>#VALUE!</v>
          </cell>
          <cell r="DN185" t="str">
            <v/>
          </cell>
          <cell r="DO185">
            <v>35</v>
          </cell>
          <cell r="DP185">
            <v>92</v>
          </cell>
          <cell r="DQ185" t="e">
            <v>#VALUE!</v>
          </cell>
          <cell r="DR185" t="str">
            <v/>
          </cell>
          <cell r="DS185">
            <v>0</v>
          </cell>
          <cell r="DT185">
            <v>81</v>
          </cell>
          <cell r="DU185" t="e">
            <v>#VALUE!</v>
          </cell>
          <cell r="DV185" t="str">
            <v/>
          </cell>
          <cell r="DW185">
            <v>0</v>
          </cell>
          <cell r="DX185">
            <v>0</v>
          </cell>
          <cell r="DY185" t="e">
            <v>#VALUE!</v>
          </cell>
          <cell r="DZ185" t="str">
            <v/>
          </cell>
          <cell r="EA185">
            <v>0</v>
          </cell>
          <cell r="EB185">
            <v>86</v>
          </cell>
          <cell r="EC185" t="e">
            <v>#VALUE!</v>
          </cell>
          <cell r="ED185" t="str">
            <v/>
          </cell>
          <cell r="EE185">
            <v>0</v>
          </cell>
          <cell r="EF185">
            <v>175</v>
          </cell>
          <cell r="EG185" t="e">
            <v>#VALUE!</v>
          </cell>
          <cell r="EH185" t="str">
            <v/>
          </cell>
          <cell r="EI185">
            <v>0</v>
          </cell>
          <cell r="EJ185">
            <v>89</v>
          </cell>
          <cell r="EK185" t="e">
            <v>#VALUE!</v>
          </cell>
          <cell r="EL185" t="str">
            <v/>
          </cell>
          <cell r="EM185">
            <v>0</v>
          </cell>
          <cell r="EN185">
            <v>91</v>
          </cell>
          <cell r="EO185" t="e">
            <v>#VALUE!</v>
          </cell>
          <cell r="EP185" t="str">
            <v/>
          </cell>
          <cell r="EQ185">
            <v>0</v>
          </cell>
          <cell r="ER185">
            <v>0</v>
          </cell>
          <cell r="ES185" t="e">
            <v>#VALUE!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  <cell r="N186" t="str">
            <v/>
          </cell>
          <cell r="O186" t="str">
            <v/>
          </cell>
          <cell r="P186" t="str">
            <v/>
          </cell>
          <cell r="Q186" t="str">
            <v/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  <cell r="V186" t="str">
            <v/>
          </cell>
          <cell r="W186" t="str">
            <v/>
          </cell>
          <cell r="X186" t="str">
            <v/>
          </cell>
          <cell r="Y186" t="str">
            <v/>
          </cell>
          <cell r="Z186" t="str">
            <v/>
          </cell>
          <cell r="AA186" t="str">
            <v/>
          </cell>
          <cell r="AB186" t="str">
            <v/>
          </cell>
          <cell r="AC186" t="str">
            <v/>
          </cell>
          <cell r="AD186" t="str">
            <v/>
          </cell>
          <cell r="AE186" t="str">
            <v/>
          </cell>
          <cell r="AF186" t="str">
            <v/>
          </cell>
          <cell r="AG186" t="str">
            <v/>
          </cell>
          <cell r="AH186" t="str">
            <v/>
          </cell>
          <cell r="AI186" t="str">
            <v/>
          </cell>
          <cell r="AJ186" t="str">
            <v/>
          </cell>
          <cell r="AK186" t="str">
            <v/>
          </cell>
          <cell r="AL186" t="str">
            <v/>
          </cell>
          <cell r="AM186" t="str">
            <v/>
          </cell>
          <cell r="AN186" t="str">
            <v/>
          </cell>
          <cell r="AO186" t="str">
            <v/>
          </cell>
          <cell r="AP186" t="str">
            <v/>
          </cell>
          <cell r="AQ186" t="str">
            <v/>
          </cell>
          <cell r="AR186" t="str">
            <v/>
          </cell>
          <cell r="AS186" t="str">
            <v/>
          </cell>
          <cell r="AT186" t="str">
            <v/>
          </cell>
          <cell r="AU186" t="str">
            <v/>
          </cell>
          <cell r="AV186" t="str">
            <v/>
          </cell>
          <cell r="AW186" t="str">
            <v/>
          </cell>
          <cell r="AX186" t="str">
            <v/>
          </cell>
          <cell r="AY186" t="str">
            <v/>
          </cell>
          <cell r="AZ186" t="str">
            <v/>
          </cell>
          <cell r="BA186" t="str">
            <v/>
          </cell>
          <cell r="BB186" t="str">
            <v/>
          </cell>
          <cell r="BC186" t="str">
            <v/>
          </cell>
          <cell r="BD186" t="str">
            <v/>
          </cell>
          <cell r="BE186" t="str">
            <v/>
          </cell>
          <cell r="BF186" t="str">
            <v/>
          </cell>
          <cell r="BG186" t="str">
            <v/>
          </cell>
          <cell r="BH186" t="str">
            <v/>
          </cell>
          <cell r="BI186" t="str">
            <v/>
          </cell>
          <cell r="BJ186" t="str">
            <v/>
          </cell>
          <cell r="BK186" t="str">
            <v/>
          </cell>
          <cell r="BL186" t="str">
            <v/>
          </cell>
          <cell r="BM186" t="str">
            <v/>
          </cell>
          <cell r="BN186" t="str">
            <v/>
          </cell>
          <cell r="BO186" t="str">
            <v/>
          </cell>
          <cell r="BP186" t="str">
            <v/>
          </cell>
          <cell r="BQ186" t="str">
            <v/>
          </cell>
          <cell r="BR186" t="str">
            <v/>
          </cell>
          <cell r="BS186" t="str">
            <v/>
          </cell>
          <cell r="BT186" t="str">
            <v/>
          </cell>
          <cell r="BU186" t="str">
            <v/>
          </cell>
          <cell r="BV186" t="str">
            <v/>
          </cell>
          <cell r="BW186" t="str">
            <v/>
          </cell>
          <cell r="BX186" t="str">
            <v/>
          </cell>
          <cell r="BY186" t="str">
            <v/>
          </cell>
          <cell r="BZ186" t="str">
            <v/>
          </cell>
          <cell r="CA186" t="str">
            <v/>
          </cell>
          <cell r="CB186" t="str">
            <v/>
          </cell>
          <cell r="CC186" t="str">
            <v/>
          </cell>
          <cell r="CD186" t="str">
            <v/>
          </cell>
          <cell r="CE186" t="str">
            <v/>
          </cell>
          <cell r="CF186" t="str">
            <v/>
          </cell>
          <cell r="CG186" t="str">
            <v/>
          </cell>
          <cell r="CH186" t="str">
            <v/>
          </cell>
          <cell r="CI186" t="str">
            <v/>
          </cell>
          <cell r="CJ186" t="str">
            <v/>
          </cell>
          <cell r="CK186" t="str">
            <v/>
          </cell>
          <cell r="CL186">
            <v>0</v>
          </cell>
          <cell r="CM186">
            <v>0</v>
          </cell>
          <cell r="CN186">
            <v>0</v>
          </cell>
          <cell r="CO186" t="str">
            <v>N.R</v>
          </cell>
          <cell r="CP186" t="str">
            <v/>
          </cell>
          <cell r="CQ186">
            <v>41</v>
          </cell>
          <cell r="CR186">
            <v>87</v>
          </cell>
          <cell r="CS186" t="e">
            <v>#VALUE!</v>
          </cell>
          <cell r="CT186" t="str">
            <v/>
          </cell>
          <cell r="CU186">
            <v>35</v>
          </cell>
          <cell r="CV186">
            <v>74</v>
          </cell>
          <cell r="CW186" t="e">
            <v>#VALUE!</v>
          </cell>
          <cell r="CX186" t="str">
            <v/>
          </cell>
          <cell r="CY186">
            <v>59</v>
          </cell>
          <cell r="CZ186">
            <v>97</v>
          </cell>
          <cell r="DA186" t="e">
            <v>#VALUE!</v>
          </cell>
          <cell r="DB186" t="str">
            <v/>
          </cell>
          <cell r="DC186">
            <v>0</v>
          </cell>
          <cell r="DD186">
            <v>0</v>
          </cell>
          <cell r="DE186" t="e">
            <v>#VALUE!</v>
          </cell>
          <cell r="DF186" t="str">
            <v/>
          </cell>
          <cell r="DG186">
            <v>33</v>
          </cell>
          <cell r="DH186">
            <v>87</v>
          </cell>
          <cell r="DI186" t="e">
            <v>#VALUE!</v>
          </cell>
          <cell r="DJ186" t="str">
            <v/>
          </cell>
          <cell r="DK186">
            <v>29</v>
          </cell>
          <cell r="DL186">
            <v>88</v>
          </cell>
          <cell r="DM186" t="e">
            <v>#VALUE!</v>
          </cell>
          <cell r="DN186" t="str">
            <v/>
          </cell>
          <cell r="DO186">
            <v>35</v>
          </cell>
          <cell r="DP186">
            <v>92</v>
          </cell>
          <cell r="DQ186" t="e">
            <v>#VALUE!</v>
          </cell>
          <cell r="DR186" t="str">
            <v/>
          </cell>
          <cell r="DS186">
            <v>0</v>
          </cell>
          <cell r="DT186">
            <v>81</v>
          </cell>
          <cell r="DU186" t="e">
            <v>#VALUE!</v>
          </cell>
          <cell r="DV186" t="str">
            <v/>
          </cell>
          <cell r="DW186">
            <v>0</v>
          </cell>
          <cell r="DX186">
            <v>0</v>
          </cell>
          <cell r="DY186" t="e">
            <v>#VALUE!</v>
          </cell>
          <cell r="DZ186" t="str">
            <v/>
          </cell>
          <cell r="EA186">
            <v>0</v>
          </cell>
          <cell r="EB186">
            <v>86</v>
          </cell>
          <cell r="EC186" t="e">
            <v>#VALUE!</v>
          </cell>
          <cell r="ED186" t="str">
            <v/>
          </cell>
          <cell r="EE186">
            <v>0</v>
          </cell>
          <cell r="EF186">
            <v>176</v>
          </cell>
          <cell r="EG186" t="e">
            <v>#VALUE!</v>
          </cell>
          <cell r="EH186" t="str">
            <v/>
          </cell>
          <cell r="EI186">
            <v>0</v>
          </cell>
          <cell r="EJ186">
            <v>89</v>
          </cell>
          <cell r="EK186" t="e">
            <v>#VALUE!</v>
          </cell>
          <cell r="EL186" t="str">
            <v/>
          </cell>
          <cell r="EM186">
            <v>0</v>
          </cell>
          <cell r="EN186">
            <v>91</v>
          </cell>
          <cell r="EO186" t="e">
            <v>#VALUE!</v>
          </cell>
          <cell r="EP186" t="str">
            <v/>
          </cell>
          <cell r="EQ186">
            <v>0</v>
          </cell>
          <cell r="ER186">
            <v>0</v>
          </cell>
          <cell r="ES186" t="e">
            <v>#VALUE!</v>
          </cell>
        </row>
      </sheetData>
      <sheetData sheetId="6"/>
      <sheetData sheetId="7"/>
      <sheetData sheetId="8"/>
      <sheetData sheetId="9"/>
      <sheetData sheetId="10">
        <row r="1">
          <cell r="A1" t="str">
            <v>REG. No.</v>
          </cell>
          <cell r="B1" t="str">
            <v>Name</v>
          </cell>
          <cell r="C1" t="str">
            <v>SEX</v>
          </cell>
          <cell r="D1" t="str">
            <v>D.O.B</v>
          </cell>
          <cell r="E1" t="str">
            <v>CLUB</v>
          </cell>
          <cell r="F1" t="str">
            <v>HOUSE</v>
          </cell>
        </row>
        <row r="2">
          <cell r="A2" t="str">
            <v>BDS/21/001</v>
          </cell>
          <cell r="B2" t="str">
            <v>ANAELE NKEIRU TESTIMONY</v>
          </cell>
          <cell r="C2" t="str">
            <v>FEMALE</v>
          </cell>
          <cell r="D2" t="str">
            <v>21/06/2011</v>
          </cell>
          <cell r="E2" t="str">
            <v xml:space="preserve">SINGING AND DANCING </v>
          </cell>
          <cell r="F2" t="str">
            <v>BLUE</v>
          </cell>
        </row>
        <row r="3">
          <cell r="A3" t="str">
            <v>BDS/21/003</v>
          </cell>
          <cell r="B3" t="str">
            <v>AZUNNA PRECIOUS</v>
          </cell>
          <cell r="C3" t="str">
            <v>FEMALE</v>
          </cell>
          <cell r="D3">
            <v>40336</v>
          </cell>
          <cell r="E3" t="str">
            <v xml:space="preserve">SINGING AND DANCING </v>
          </cell>
          <cell r="F3" t="str">
            <v>YELLOW</v>
          </cell>
        </row>
        <row r="4">
          <cell r="A4" t="str">
            <v>BDS/21/004</v>
          </cell>
          <cell r="B4" t="str">
            <v>CHIGOZIE ONYINYECHI PRAISE</v>
          </cell>
          <cell r="C4" t="str">
            <v>FEMALE</v>
          </cell>
          <cell r="D4">
            <v>40275</v>
          </cell>
          <cell r="E4" t="str">
            <v>SINGING</v>
          </cell>
          <cell r="F4" t="str">
            <v>BLUE</v>
          </cell>
        </row>
        <row r="5">
          <cell r="A5" t="str">
            <v>BDS/21/005</v>
          </cell>
          <cell r="B5" t="str">
            <v>CHIMA DESTINY CHIMECHEFULAM</v>
          </cell>
          <cell r="C5" t="str">
            <v>MALE</v>
          </cell>
          <cell r="D5" t="str">
            <v>29/02/2012</v>
          </cell>
          <cell r="E5" t="str">
            <v>JET</v>
          </cell>
          <cell r="F5" t="str">
            <v>RED</v>
          </cell>
        </row>
        <row r="6">
          <cell r="A6" t="str">
            <v>BDS/21/008</v>
          </cell>
          <cell r="B6" t="str">
            <v>CHUKS NMESOMA EMMANUEL</v>
          </cell>
          <cell r="C6" t="str">
            <v>MALE</v>
          </cell>
          <cell r="D6">
            <v>40607</v>
          </cell>
          <cell r="E6" t="str">
            <v>DEBATE</v>
          </cell>
          <cell r="F6" t="str">
            <v>ORANGE</v>
          </cell>
        </row>
        <row r="7">
          <cell r="A7" t="str">
            <v>BDS/21/009</v>
          </cell>
          <cell r="B7" t="str">
            <v xml:space="preserve">EBEREGBULAM CHIDIEBUBE </v>
          </cell>
          <cell r="C7" t="str">
            <v>MALE</v>
          </cell>
          <cell r="D7" t="str">
            <v>14/05/2010</v>
          </cell>
          <cell r="E7" t="str">
            <v>JET</v>
          </cell>
          <cell r="F7" t="str">
            <v>RED</v>
          </cell>
        </row>
        <row r="8">
          <cell r="A8" t="str">
            <v>BDS/21/011</v>
          </cell>
          <cell r="B8" t="str">
            <v>ETUZU CHIMAMANDA HILDA</v>
          </cell>
          <cell r="C8" t="str">
            <v>FEMALE</v>
          </cell>
          <cell r="D8" t="str">
            <v>16/11/2011</v>
          </cell>
          <cell r="E8" t="str">
            <v>DEBATE</v>
          </cell>
          <cell r="F8" t="str">
            <v>ORANGE</v>
          </cell>
        </row>
        <row r="9">
          <cell r="A9" t="str">
            <v>BDS/21/014</v>
          </cell>
          <cell r="B9" t="str">
            <v>IBEKU EMMANUELLA OLUCHUKWU</v>
          </cell>
          <cell r="C9" t="str">
            <v>FEMALE</v>
          </cell>
          <cell r="D9" t="str">
            <v>16/12/2011</v>
          </cell>
          <cell r="E9" t="str">
            <v>DEBATE</v>
          </cell>
          <cell r="F9" t="str">
            <v>RED</v>
          </cell>
        </row>
        <row r="10">
          <cell r="A10" t="str">
            <v>BDS/21/018</v>
          </cell>
          <cell r="B10" t="str">
            <v>JOHN CHIAMAKA MARYJANE</v>
          </cell>
          <cell r="C10" t="str">
            <v>FEMALE</v>
          </cell>
          <cell r="D10">
            <v>40733</v>
          </cell>
          <cell r="E10" t="str">
            <v>DEBATE</v>
          </cell>
          <cell r="F10" t="str">
            <v>YELLOW</v>
          </cell>
        </row>
        <row r="11">
          <cell r="A11" t="str">
            <v>BDS/21/020</v>
          </cell>
          <cell r="B11" t="str">
            <v>JONATHAN CHIDIEBUBE ANTHONY</v>
          </cell>
          <cell r="C11" t="str">
            <v>MALE</v>
          </cell>
          <cell r="D11" t="str">
            <v>13/06/2011</v>
          </cell>
          <cell r="E11" t="str">
            <v>DEBATE</v>
          </cell>
          <cell r="F11" t="str">
            <v>ORANGE</v>
          </cell>
        </row>
        <row r="12">
          <cell r="A12" t="str">
            <v>BDS/21/021</v>
          </cell>
          <cell r="B12" t="str">
            <v>KANU FAVOUR AKUDO</v>
          </cell>
          <cell r="C12" t="str">
            <v>FEMALE</v>
          </cell>
          <cell r="D12" t="str">
            <v>15/04/2011</v>
          </cell>
          <cell r="E12" t="str">
            <v>DANCING</v>
          </cell>
          <cell r="F12" t="str">
            <v>BLUE</v>
          </cell>
        </row>
        <row r="13">
          <cell r="A13" t="str">
            <v>BDS/21/022</v>
          </cell>
          <cell r="B13" t="str">
            <v>KANU GOODLUCK CHIGOZIRIM</v>
          </cell>
          <cell r="C13" t="str">
            <v>MALE</v>
          </cell>
          <cell r="D13" t="str">
            <v>30/05/2010</v>
          </cell>
          <cell r="E13" t="str">
            <v>JET</v>
          </cell>
          <cell r="F13" t="str">
            <v>RED</v>
          </cell>
        </row>
        <row r="14">
          <cell r="A14" t="str">
            <v>BDS/21/024</v>
          </cell>
          <cell r="B14" t="str">
            <v>NKEMAKOLAM GLORY CHINWEOTITO</v>
          </cell>
          <cell r="C14" t="str">
            <v>FEMALE</v>
          </cell>
          <cell r="D14" t="str">
            <v>21/03/2010</v>
          </cell>
          <cell r="E14" t="str">
            <v xml:space="preserve">SINGING AND DANCING </v>
          </cell>
          <cell r="F14" t="str">
            <v>RED</v>
          </cell>
        </row>
        <row r="15">
          <cell r="A15" t="str">
            <v>BDS/21/030</v>
          </cell>
          <cell r="B15" t="str">
            <v xml:space="preserve">ORJI SUCCESS CHIOMA </v>
          </cell>
          <cell r="C15" t="str">
            <v>FEMALE</v>
          </cell>
          <cell r="D15" t="str">
            <v>22/02/2012</v>
          </cell>
          <cell r="E15" t="str">
            <v>DEBATE</v>
          </cell>
          <cell r="F15" t="str">
            <v>ORANGE</v>
          </cell>
        </row>
        <row r="16">
          <cell r="A16" t="str">
            <v>BDS/21/033</v>
          </cell>
          <cell r="B16" t="str">
            <v>RICHARD SALVATION IHENDU</v>
          </cell>
          <cell r="C16" t="str">
            <v>FEMALE</v>
          </cell>
          <cell r="D16">
            <v>40455</v>
          </cell>
          <cell r="E16" t="str">
            <v xml:space="preserve">SINGING AND DANCING </v>
          </cell>
          <cell r="F16" t="str">
            <v>BLUE</v>
          </cell>
        </row>
        <row r="17">
          <cell r="A17" t="str">
            <v>BDS/21/034</v>
          </cell>
          <cell r="B17" t="str">
            <v>STANLEY HALELLUYAH</v>
          </cell>
          <cell r="C17" t="str">
            <v>FEMALE</v>
          </cell>
          <cell r="D17" t="str">
            <v>16/06/2012</v>
          </cell>
          <cell r="E17" t="str">
            <v>SINGING</v>
          </cell>
          <cell r="F17" t="str">
            <v>ORANGE</v>
          </cell>
        </row>
        <row r="18">
          <cell r="A18" t="str">
            <v>BDS/21/038</v>
          </cell>
          <cell r="B18" t="str">
            <v>UDUMA CHIMDI DELIGHT</v>
          </cell>
          <cell r="C18" t="str">
            <v>MALE</v>
          </cell>
          <cell r="D18" t="str">
            <v>29/04/2011</v>
          </cell>
          <cell r="E18" t="str">
            <v>DEBATE</v>
          </cell>
          <cell r="F18" t="str">
            <v>ORANGE</v>
          </cell>
        </row>
        <row r="19">
          <cell r="A19" t="str">
            <v>BDS/21/039</v>
          </cell>
          <cell r="B19" t="str">
            <v xml:space="preserve"> UGOCHUKWU VICTORIA ADAEZE</v>
          </cell>
          <cell r="C19" t="str">
            <v>FEMALE</v>
          </cell>
          <cell r="D19">
            <v>40850</v>
          </cell>
          <cell r="E19" t="str">
            <v xml:space="preserve">SINGING AND DANCING </v>
          </cell>
          <cell r="F19" t="str">
            <v>RED</v>
          </cell>
        </row>
        <row r="20">
          <cell r="A20" t="str">
            <v>BDS/21/040</v>
          </cell>
          <cell r="B20" t="str">
            <v>UGOCHUKWU TOCHUKWU PROSPER</v>
          </cell>
          <cell r="C20" t="str">
            <v>MALE</v>
          </cell>
          <cell r="D20" t="str">
            <v>19/11/2011</v>
          </cell>
          <cell r="E20" t="str">
            <v>JET</v>
          </cell>
          <cell r="F20" t="str">
            <v>YELLOW</v>
          </cell>
        </row>
        <row r="21">
          <cell r="A21" t="str">
            <v>BDS/21/042</v>
          </cell>
          <cell r="B21" t="str">
            <v>UZOMA UDOCHUKWU MICHEAL</v>
          </cell>
          <cell r="C21" t="str">
            <v>MALE</v>
          </cell>
          <cell r="D21">
            <v>40765</v>
          </cell>
          <cell r="E21" t="str">
            <v>JET</v>
          </cell>
          <cell r="F21" t="str">
            <v>RED</v>
          </cell>
        </row>
        <row r="22">
          <cell r="A22" t="str">
            <v>BDS/21/043</v>
          </cell>
          <cell r="B22" t="str">
            <v>WISDOM TOCHUKWU PAUL</v>
          </cell>
          <cell r="C22" t="str">
            <v>MALE</v>
          </cell>
          <cell r="D22" t="str">
            <v>31/08/2010</v>
          </cell>
          <cell r="E22" t="str">
            <v>DANCING</v>
          </cell>
          <cell r="F22" t="str">
            <v>RED</v>
          </cell>
        </row>
        <row r="23">
          <cell r="A23" t="str">
            <v>BDS/21/054</v>
          </cell>
          <cell r="B23" t="str">
            <v>OBIGWE PRINCEWILL</v>
          </cell>
          <cell r="C23" t="str">
            <v>MALE</v>
          </cell>
          <cell r="D23">
            <v>40733</v>
          </cell>
          <cell r="E23" t="str">
            <v>DEBATE</v>
          </cell>
          <cell r="F23" t="str">
            <v>YELLOW</v>
          </cell>
        </row>
        <row r="24">
          <cell r="A24" t="str">
            <v>BDS/21/062</v>
          </cell>
          <cell r="B24" t="str">
            <v>PROMISE BLESSING</v>
          </cell>
          <cell r="C24" t="str">
            <v>FEMALE</v>
          </cell>
          <cell r="D24" t="str">
            <v>23/06/2011</v>
          </cell>
          <cell r="E24" t="str">
            <v xml:space="preserve"> SINGING AND DANCING </v>
          </cell>
          <cell r="F24" t="str">
            <v>YELLOW</v>
          </cell>
        </row>
        <row r="25">
          <cell r="A25" t="str">
            <v>BDS/21/068</v>
          </cell>
          <cell r="B25" t="str">
            <v>AKUCHIE CHIOMA</v>
          </cell>
          <cell r="C25" t="str">
            <v>FEMALE</v>
          </cell>
          <cell r="D25" t="str">
            <v>16/2/2010</v>
          </cell>
          <cell r="E25" t="str">
            <v xml:space="preserve">SINGING AND DANCING </v>
          </cell>
          <cell r="F25" t="str">
            <v>ORANGE</v>
          </cell>
        </row>
        <row r="26">
          <cell r="A26" t="str">
            <v>BDS/21/075</v>
          </cell>
          <cell r="B26" t="str">
            <v>ADACHI CHIDI MARVELOUS</v>
          </cell>
          <cell r="C26" t="str">
            <v>FEMALE</v>
          </cell>
          <cell r="D26" t="str">
            <v>13/12/2010</v>
          </cell>
          <cell r="E26" t="str">
            <v xml:space="preserve">SINGING AND DANCING </v>
          </cell>
          <cell r="F26" t="str">
            <v>RED</v>
          </cell>
        </row>
        <row r="27">
          <cell r="A27" t="str">
            <v>BDS/21/080</v>
          </cell>
          <cell r="B27" t="str">
            <v>TIMOTHY TREASURE</v>
          </cell>
          <cell r="C27" t="str">
            <v>MALE</v>
          </cell>
          <cell r="D27" t="str">
            <v>15/5/2010</v>
          </cell>
          <cell r="E27" t="str">
            <v>JET</v>
          </cell>
          <cell r="F27" t="str">
            <v>BLUE</v>
          </cell>
        </row>
        <row r="28">
          <cell r="A28" t="str">
            <v>BDS/21/081</v>
          </cell>
          <cell r="B28" t="str">
            <v xml:space="preserve">UGOEKE NMESOMACHI </v>
          </cell>
          <cell r="C28" t="str">
            <v>FEMALE</v>
          </cell>
          <cell r="D28">
            <v>40430</v>
          </cell>
          <cell r="E28" t="str">
            <v>SINGING</v>
          </cell>
          <cell r="F28" t="str">
            <v>RED</v>
          </cell>
        </row>
        <row r="29">
          <cell r="A29" t="str">
            <v>BDS/21/082</v>
          </cell>
          <cell r="B29" t="str">
            <v xml:space="preserve">BARTHOLOMEN GOODNESS AMARACHI </v>
          </cell>
          <cell r="C29" t="str">
            <v>FEMALE</v>
          </cell>
          <cell r="D29" t="str">
            <v>13/5/2011</v>
          </cell>
          <cell r="E29" t="str">
            <v xml:space="preserve">SINGING AND DANCING </v>
          </cell>
          <cell r="F29" t="str">
            <v>YELLOW</v>
          </cell>
        </row>
        <row r="30">
          <cell r="A30" t="str">
            <v>BDS/21/083</v>
          </cell>
          <cell r="B30" t="str">
            <v>SUNDAY LIGHT CHIZARAM</v>
          </cell>
          <cell r="C30" t="str">
            <v>MALE</v>
          </cell>
          <cell r="D30">
            <v>40798</v>
          </cell>
          <cell r="E30" t="str">
            <v>JET</v>
          </cell>
          <cell r="F30" t="str">
            <v>YELLOW</v>
          </cell>
        </row>
        <row r="31">
          <cell r="A31" t="str">
            <v>BDS/21/084</v>
          </cell>
          <cell r="B31" t="str">
            <v>ONYEBUCHI TOCHUKWU</v>
          </cell>
          <cell r="C31" t="str">
            <v>MALE</v>
          </cell>
        </row>
        <row r="32">
          <cell r="A32" t="str">
            <v>BDS/21/085</v>
          </cell>
          <cell r="B32" t="str">
            <v>GODSWILL KOSISOCHUKWU</v>
          </cell>
          <cell r="C32" t="str">
            <v>MALE</v>
          </cell>
        </row>
        <row r="33">
          <cell r="A33" t="str">
            <v>BDS/21/086</v>
          </cell>
          <cell r="B33" t="str">
            <v>PASCHAL DANIEL</v>
          </cell>
          <cell r="C33" t="str">
            <v>MALE</v>
          </cell>
        </row>
      </sheetData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 Data Entry Sheet (2)"/>
      <sheetName val="Basic Data Entry Sheet"/>
      <sheetName val="Marksheet"/>
      <sheetName val="student sheet"/>
      <sheetName val="student sheet T1"/>
      <sheetName val="Marksheet T1"/>
      <sheetName val="student sheet T2"/>
      <sheetName val="Basic Data Entry Sheet T2"/>
      <sheetName val="Marksheet T2"/>
      <sheetName val="POSITION"/>
      <sheetName val="Basic Data Entry Sheet T1"/>
      <sheetName val="student details"/>
      <sheetName val="Sheet1"/>
      <sheetName val="Sheet3"/>
    </sheetNames>
    <sheetDataSet>
      <sheetData sheetId="0"/>
      <sheetData sheetId="1">
        <row r="18">
          <cell r="G18">
            <v>80</v>
          </cell>
        </row>
        <row r="19">
          <cell r="G19">
            <v>70</v>
          </cell>
        </row>
        <row r="20">
          <cell r="G20">
            <v>60</v>
          </cell>
        </row>
        <row r="21">
          <cell r="G21">
            <v>50</v>
          </cell>
        </row>
        <row r="22">
          <cell r="G22">
            <v>45</v>
          </cell>
        </row>
        <row r="23">
          <cell r="G23">
            <v>40</v>
          </cell>
        </row>
        <row r="24">
          <cell r="G24">
            <v>35</v>
          </cell>
        </row>
        <row r="25">
          <cell r="G25"/>
        </row>
      </sheetData>
      <sheetData sheetId="2">
        <row r="8">
          <cell r="A8" t="str">
            <v>Roll No.</v>
          </cell>
          <cell r="D8" t="str">
            <v>ENGLISH LANG.</v>
          </cell>
          <cell r="I8" t="str">
            <v>MATHEMATICS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 Data Entry Sheet"/>
      <sheetName val="Marksheet"/>
      <sheetName val="student sheet"/>
      <sheetName val="student detail"/>
    </sheetNames>
    <sheetDataSet>
      <sheetData sheetId="0">
        <row r="18">
          <cell r="G18">
            <v>80</v>
          </cell>
        </row>
      </sheetData>
      <sheetData sheetId="1">
        <row r="8">
          <cell r="D8" t="str">
            <v>ENGLISH LANG.</v>
          </cell>
          <cell r="AC8" t="str">
            <v>PHYSICS</v>
          </cell>
          <cell r="AW8" t="str">
            <v>ECONOMICS</v>
          </cell>
          <cell r="BB8" t="str">
            <v>GEOGRAPHY</v>
          </cell>
        </row>
      </sheetData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 Data Entry Sheet"/>
      <sheetName val="Marksheet"/>
      <sheetName val="student sheet"/>
      <sheetName val="student details"/>
      <sheetName val="Sheet1"/>
    </sheetNames>
    <sheetDataSet>
      <sheetData sheetId="0">
        <row r="10">
          <cell r="F10" t="str">
            <v>30/7/2022</v>
          </cell>
        </row>
      </sheetData>
      <sheetData sheetId="1">
        <row r="8">
          <cell r="A8" t="str">
            <v>Roll No.</v>
          </cell>
        </row>
      </sheetData>
      <sheetData sheetId="2">
        <row r="1">
          <cell r="Y1" t="str">
            <v>MARKETING</v>
          </cell>
          <cell r="AA1" t="str">
            <v>ANIMAL HUS.</v>
          </cell>
        </row>
      </sheetData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 Data Entry Sheet"/>
      <sheetName val="Marksheet"/>
      <sheetName val="student sheet"/>
      <sheetName val="student detail"/>
      <sheetName val="Sheet1"/>
    </sheetNames>
    <sheetDataSet>
      <sheetData sheetId="0"/>
      <sheetData sheetId="1"/>
      <sheetData sheetId="2">
        <row r="1">
          <cell r="G1" t="str">
            <v xml:space="preserve">MATHEMATICS </v>
          </cell>
          <cell r="AY1" t="str">
            <v>COMPUTER SC</v>
          </cell>
        </row>
      </sheetData>
      <sheetData sheetId="3"/>
      <sheetData sheetId="4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blipFill>
          <a:blip xmlns:r="http://schemas.openxmlformats.org/officeDocument/2006/relationships" r:embed="rId1" cstate="print"/>
          <a:stretch>
            <a:fillRect/>
          </a:stretch>
        </a:blipFill>
        <a:ln w="34925">
          <a:noFill/>
        </a:ln>
        <a:effectLst>
          <a:outerShdw blurRad="107950" dist="12700" dir="5400000" algn="ctr">
            <a:srgbClr val="000000"/>
          </a:outerShdw>
        </a:effectLst>
      </a:spPr>
      <a:bodyPr rot="0" spcFirstLastPara="0" vert="horz" wrap="square" lIns="91440" tIns="45720" rIns="91440" bIns="45720" numCol="1" spcCol="0" rtlCol="0" fromWordArt="0" anchor="ctr" anchorCtr="0" forceAA="0" compatLnSpc="1">
        <a:noAutofit/>
      </a:bodyPr>
      <a:lstStyle>
        <a:defPPr>
          <a:defRPr/>
        </a:defPPr>
      </a:lstStyle>
      <a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  <pageSetUpPr fitToPage="1"/>
  </sheetPr>
  <dimension ref="A1:AT74"/>
  <sheetViews>
    <sheetView tabSelected="1" zoomScale="132" zoomScaleNormal="130" workbookViewId="0">
      <selection activeCell="B16" sqref="B16:AA17"/>
    </sheetView>
  </sheetViews>
  <sheetFormatPr defaultColWidth="2.7109375" defaultRowHeight="15"/>
  <cols>
    <col min="1" max="1" width="4" customWidth="1"/>
    <col min="3" max="3" width="2.85546875" customWidth="1"/>
    <col min="8" max="8" width="3.28515625" customWidth="1"/>
    <col min="9" max="9" width="4.5703125" customWidth="1"/>
    <col min="10" max="10" width="4" customWidth="1"/>
    <col min="11" max="11" width="4.140625" customWidth="1"/>
    <col min="13" max="13" width="3.5703125" customWidth="1"/>
    <col min="14" max="15" width="4.42578125" customWidth="1"/>
    <col min="17" max="17" width="5" customWidth="1"/>
    <col min="18" max="18" width="2.7109375" customWidth="1"/>
    <col min="19" max="19" width="5.5703125" customWidth="1"/>
    <col min="20" max="20" width="3.5703125" customWidth="1"/>
    <col min="21" max="21" width="4.140625" customWidth="1"/>
    <col min="22" max="22" width="3.5703125" customWidth="1"/>
    <col min="23" max="23" width="5.28515625" customWidth="1"/>
    <col min="26" max="26" width="9.42578125" customWidth="1"/>
    <col min="28" max="28" width="3.85546875" customWidth="1"/>
    <col min="29" max="29" width="3.28515625" customWidth="1"/>
    <col min="34" max="37" width="2.85546875" customWidth="1"/>
    <col min="43" max="43" width="0.7109375" customWidth="1"/>
    <col min="44" max="45" width="3.42578125" customWidth="1"/>
    <col min="46" max="46" width="6.7109375" hidden="1" customWidth="1"/>
    <col min="47" max="47" width="4.140625" customWidth="1"/>
  </cols>
  <sheetData>
    <row r="1" spans="1:46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</row>
    <row r="2" spans="1:46">
      <c r="A2" s="139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  <c r="AE2" s="139"/>
      <c r="AF2" s="139"/>
      <c r="AG2" s="139"/>
      <c r="AH2" s="139"/>
      <c r="AI2" s="139"/>
      <c r="AJ2" s="139"/>
      <c r="AK2" s="139"/>
      <c r="AL2" s="139"/>
      <c r="AM2" s="139"/>
      <c r="AN2" s="139"/>
      <c r="AO2" s="139"/>
      <c r="AP2" s="139"/>
      <c r="AQ2" s="139"/>
    </row>
    <row r="3" spans="1:46">
      <c r="A3" s="139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</row>
    <row r="4" spans="1:46">
      <c r="A4" s="139"/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</row>
    <row r="5" spans="1:46">
      <c r="A5" s="139"/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139"/>
      <c r="AB5" s="139"/>
      <c r="AC5" s="139"/>
      <c r="AD5" s="139"/>
      <c r="AE5" s="139"/>
      <c r="AF5" s="139"/>
      <c r="AG5" s="139"/>
      <c r="AH5" s="139"/>
      <c r="AI5" s="139"/>
      <c r="AJ5" s="139"/>
      <c r="AK5" s="139"/>
      <c r="AL5" s="139"/>
      <c r="AM5" s="139"/>
      <c r="AN5" s="139"/>
      <c r="AO5" s="139"/>
      <c r="AP5" s="139"/>
      <c r="AQ5" s="139"/>
    </row>
    <row r="6" spans="1:46" ht="17.25" customHeight="1" thickBot="1">
      <c r="C6" s="17"/>
      <c r="D6" s="17"/>
      <c r="E6" s="17"/>
      <c r="F6" s="17"/>
      <c r="G6" s="17"/>
      <c r="H6" s="202" t="s">
        <v>78</v>
      </c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3"/>
      <c r="T6" s="203"/>
      <c r="U6" s="203"/>
      <c r="V6" s="203"/>
      <c r="W6" s="203"/>
      <c r="X6" s="203"/>
      <c r="Y6" s="203"/>
      <c r="Z6" s="203"/>
      <c r="AA6" s="203"/>
      <c r="AB6" s="203"/>
      <c r="AC6" s="203"/>
      <c r="AD6" s="203"/>
      <c r="AE6" s="203"/>
      <c r="AF6" s="203"/>
      <c r="AG6" s="203"/>
      <c r="AH6" s="203"/>
      <c r="AI6" s="203"/>
    </row>
    <row r="7" spans="1:46" ht="4.5" customHeight="1">
      <c r="A7" s="2"/>
      <c r="B7" s="2"/>
      <c r="C7" s="2"/>
      <c r="D7" s="2"/>
      <c r="E7" s="2"/>
      <c r="F7" s="2"/>
      <c r="G7" s="2"/>
      <c r="H7" s="2"/>
      <c r="I7" s="2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105"/>
      <c r="AM7" s="105"/>
      <c r="AN7" s="105"/>
      <c r="AO7" s="105"/>
      <c r="AP7" s="105"/>
    </row>
    <row r="8" spans="1:46" ht="12" customHeight="1">
      <c r="AL8" s="24"/>
      <c r="AM8" s="224" t="s">
        <v>53</v>
      </c>
      <c r="AN8" s="224"/>
      <c r="AO8" s="224"/>
      <c r="AP8" s="201"/>
    </row>
    <row r="9" spans="1:46" ht="18.75">
      <c r="A9" s="1"/>
      <c r="B9" s="71" t="s">
        <v>0</v>
      </c>
      <c r="C9" s="71"/>
      <c r="D9" s="71"/>
      <c r="E9" s="29"/>
      <c r="F9" s="73" t="str">
        <f>VLOOKUP(AB9, '[1]Marksheet T1'!$A$10:$FC$203,2)</f>
        <v>UZOMA UDOCHUKWU MICHEAL</v>
      </c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30"/>
      <c r="Y9" s="33"/>
      <c r="Z9" s="70" t="s">
        <v>1</v>
      </c>
      <c r="AA9" s="71"/>
      <c r="AB9" s="69" t="s">
        <v>79</v>
      </c>
      <c r="AC9" s="69"/>
      <c r="AD9" s="69"/>
      <c r="AE9" s="69"/>
      <c r="AF9" s="69"/>
      <c r="AG9" s="69"/>
      <c r="AH9" s="69"/>
      <c r="AI9" s="69"/>
      <c r="AJ9" s="69"/>
      <c r="AK9" s="69"/>
      <c r="AL9" s="24"/>
      <c r="AM9" s="224"/>
      <c r="AN9" s="224"/>
      <c r="AO9" s="224"/>
      <c r="AP9" s="201"/>
    </row>
    <row r="10" spans="1:46" ht="18.75">
      <c r="A10" s="3"/>
      <c r="B10" s="71" t="s">
        <v>2</v>
      </c>
      <c r="C10" s="71"/>
      <c r="D10" s="71"/>
      <c r="E10" s="30"/>
      <c r="F10" s="73" t="str">
        <f>VLOOKUP(AB9, '[1]Marksheet T1'!$A$10:$FC$203,3)</f>
        <v>MALE</v>
      </c>
      <c r="G10" s="73"/>
      <c r="H10" s="73"/>
      <c r="I10" s="73"/>
      <c r="J10" s="73"/>
      <c r="K10" s="79"/>
      <c r="L10" s="79"/>
      <c r="M10" s="79"/>
      <c r="N10" s="77" t="s">
        <v>57</v>
      </c>
      <c r="O10" s="78"/>
      <c r="P10" s="78"/>
      <c r="Q10" s="78"/>
      <c r="R10" s="78"/>
      <c r="S10" s="215">
        <f>AC49/100/9</f>
        <v>0.69444444444444442</v>
      </c>
      <c r="T10" s="215"/>
      <c r="U10" s="215"/>
      <c r="V10" s="215"/>
      <c r="W10" s="215"/>
      <c r="X10" s="30"/>
      <c r="Y10" s="29"/>
      <c r="Z10" s="70" t="s">
        <v>3</v>
      </c>
      <c r="AA10" s="71"/>
      <c r="AB10" s="71"/>
      <c r="AC10" s="72" t="str">
        <f>VLOOKUP(AB9, '[1]Marksheet T1'!$A$10:$FC$203,93)</f>
        <v>15th</v>
      </c>
      <c r="AD10" s="72"/>
      <c r="AE10" s="72"/>
      <c r="AF10" s="72"/>
      <c r="AG10" s="72"/>
      <c r="AH10" s="72"/>
      <c r="AI10" s="72"/>
      <c r="AJ10" s="72"/>
      <c r="AK10" s="72"/>
      <c r="AL10" s="24"/>
      <c r="AM10" s="224"/>
      <c r="AN10" s="224"/>
      <c r="AO10" s="224"/>
      <c r="AP10" s="201"/>
    </row>
    <row r="11" spans="1:46" ht="26.25" customHeight="1">
      <c r="A11" s="1"/>
      <c r="B11" s="71" t="s">
        <v>4</v>
      </c>
      <c r="C11" s="71"/>
      <c r="D11" s="71"/>
      <c r="E11" s="71"/>
      <c r="F11" s="71"/>
      <c r="G11" s="71"/>
      <c r="H11" s="71"/>
      <c r="I11" s="71"/>
      <c r="J11" s="30"/>
      <c r="K11" s="73">
        <f>COUNTA('[1]Marksheet T1'!$B$10:$B$41)</f>
        <v>32</v>
      </c>
      <c r="L11" s="73"/>
      <c r="M11" s="73"/>
      <c r="N11" s="70" t="s">
        <v>68</v>
      </c>
      <c r="O11" s="70"/>
      <c r="P11" s="70"/>
      <c r="Q11" s="70"/>
      <c r="R11" s="70"/>
      <c r="S11" s="70"/>
      <c r="T11" s="216">
        <f>VLOOKUP(AB9, '[1]Marksheet T1'!$A$10:$FC$203,4)</f>
        <v>40765</v>
      </c>
      <c r="U11" s="216"/>
      <c r="V11" s="216"/>
      <c r="W11" s="216"/>
      <c r="X11" s="29"/>
      <c r="Y11" s="29"/>
      <c r="Z11" s="70" t="s">
        <v>5</v>
      </c>
      <c r="AA11" s="71"/>
      <c r="AB11" s="73" t="s">
        <v>76</v>
      </c>
      <c r="AC11" s="73"/>
      <c r="AD11" s="73"/>
      <c r="AE11" s="73"/>
      <c r="AF11" s="73"/>
      <c r="AG11" s="73"/>
      <c r="AH11" s="73"/>
      <c r="AI11" s="73"/>
      <c r="AJ11" s="30"/>
      <c r="AK11" s="30"/>
      <c r="AL11" s="24"/>
      <c r="AM11" s="224"/>
      <c r="AN11" s="224"/>
      <c r="AO11" s="224"/>
      <c r="AP11" s="201"/>
    </row>
    <row r="12" spans="1:46" ht="26.25" customHeight="1">
      <c r="A12" s="1"/>
      <c r="B12" s="70" t="s">
        <v>67</v>
      </c>
      <c r="C12" s="70"/>
      <c r="D12" s="70"/>
      <c r="E12" s="70"/>
      <c r="F12" s="70"/>
      <c r="G12" s="33"/>
      <c r="H12" s="73" t="str">
        <f>VLOOKUP(AB9, '[1]Marksheet T1'!$A$10:$FC$203,5)</f>
        <v>JET</v>
      </c>
      <c r="I12" s="73"/>
      <c r="J12" s="73"/>
      <c r="K12" s="73"/>
      <c r="L12" s="73"/>
      <c r="M12" s="73"/>
      <c r="N12" s="70" t="s">
        <v>56</v>
      </c>
      <c r="O12" s="71"/>
      <c r="P12" s="71"/>
      <c r="Q12" s="71"/>
      <c r="R12" s="71"/>
      <c r="S12" s="71"/>
      <c r="T12" s="134" t="str">
        <f>IF(S10="","",IF(S10&lt;=40%,"FAIL",IF(S10&lt;=45%,"ON TRIAL","PASS")))</f>
        <v>PASS</v>
      </c>
      <c r="U12" s="134"/>
      <c r="V12" s="134"/>
      <c r="W12" s="134"/>
      <c r="X12" s="34"/>
      <c r="Y12" s="35"/>
      <c r="Z12" s="70" t="s">
        <v>69</v>
      </c>
      <c r="AA12" s="70"/>
      <c r="AB12" s="70"/>
      <c r="AC12" s="35"/>
      <c r="AD12" s="35"/>
      <c r="AE12" s="73" t="str">
        <f>VLOOKUP(AB9,'[1]student details'!$A$1:$F$180,6)</f>
        <v>RED</v>
      </c>
      <c r="AF12" s="73"/>
      <c r="AG12" s="73"/>
      <c r="AH12" s="73"/>
      <c r="AI12" s="73"/>
      <c r="AJ12" s="30"/>
      <c r="AK12" s="30"/>
      <c r="AL12" s="24"/>
      <c r="AM12" s="224"/>
      <c r="AN12" s="224"/>
      <c r="AO12" s="224"/>
      <c r="AP12" s="201"/>
    </row>
    <row r="13" spans="1:46" ht="20.25" customHeight="1">
      <c r="A13" s="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204"/>
      <c r="N13" s="204"/>
      <c r="O13" s="204"/>
      <c r="P13" s="204"/>
      <c r="Q13" s="204"/>
      <c r="R13" s="204"/>
      <c r="S13" s="204"/>
      <c r="T13" s="204"/>
      <c r="U13" s="204"/>
      <c r="V13" s="204"/>
      <c r="W13" s="204"/>
      <c r="X13" s="204"/>
      <c r="Y13" s="204"/>
      <c r="Z13" s="204"/>
      <c r="AA13" s="31"/>
      <c r="AB13" s="30"/>
      <c r="AC13" s="32"/>
      <c r="AD13" s="30"/>
      <c r="AE13" s="30"/>
      <c r="AF13" s="30"/>
      <c r="AG13" s="30"/>
      <c r="AH13" s="30"/>
      <c r="AI13" s="30"/>
      <c r="AJ13" s="30"/>
      <c r="AK13" s="30"/>
      <c r="AL13" s="24"/>
      <c r="AM13" s="224"/>
      <c r="AN13" s="224"/>
      <c r="AO13" s="224"/>
      <c r="AP13" s="201"/>
    </row>
    <row r="14" spans="1:46" ht="18" customHeight="1">
      <c r="A14" s="1"/>
      <c r="B14" s="19"/>
      <c r="C14" s="19"/>
      <c r="D14" s="19"/>
      <c r="E14" s="19"/>
      <c r="F14" s="19"/>
      <c r="G14" s="19"/>
      <c r="H14" s="19"/>
      <c r="I14" s="19"/>
      <c r="K14" s="16"/>
      <c r="L14" s="16"/>
      <c r="M14" s="16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8"/>
      <c r="Z14" s="18"/>
      <c r="AA14" s="18"/>
      <c r="AC14" s="16"/>
      <c r="AL14" s="24"/>
      <c r="AM14" s="224"/>
      <c r="AN14" s="224"/>
      <c r="AO14" s="224"/>
      <c r="AP14" s="201"/>
      <c r="AR14" s="222"/>
      <c r="AS14" s="223"/>
      <c r="AT14" s="223"/>
    </row>
    <row r="15" spans="1:46" ht="18" customHeight="1">
      <c r="A15" s="1"/>
      <c r="B15" s="205" t="s">
        <v>74</v>
      </c>
      <c r="C15" s="206"/>
      <c r="D15" s="206"/>
      <c r="E15" s="206"/>
      <c r="F15" s="206"/>
      <c r="G15" s="206"/>
      <c r="H15" s="206"/>
      <c r="I15" s="206"/>
      <c r="J15" s="206"/>
      <c r="K15" s="206"/>
      <c r="L15" s="206"/>
      <c r="M15" s="206"/>
      <c r="N15" s="206"/>
      <c r="O15" s="206"/>
      <c r="P15" s="206"/>
      <c r="Q15" s="206"/>
      <c r="R15" s="206"/>
      <c r="S15" s="206"/>
      <c r="T15" s="206"/>
      <c r="U15" s="206"/>
      <c r="V15" s="206"/>
      <c r="W15" s="206"/>
      <c r="X15" s="206"/>
      <c r="Y15" s="206"/>
      <c r="Z15" s="206"/>
      <c r="AA15" s="207"/>
      <c r="AC15" s="208" t="s">
        <v>49</v>
      </c>
      <c r="AD15" s="209"/>
      <c r="AE15" s="209"/>
      <c r="AF15" s="209"/>
      <c r="AG15" s="209"/>
      <c r="AH15" s="209"/>
      <c r="AI15" s="209"/>
      <c r="AJ15" s="209"/>
      <c r="AK15" s="209"/>
      <c r="AL15" s="24"/>
      <c r="AM15" s="224"/>
      <c r="AN15" s="224"/>
      <c r="AO15" s="224"/>
      <c r="AP15" s="201"/>
    </row>
    <row r="16" spans="1:46" ht="18" customHeight="1">
      <c r="A16" s="1"/>
      <c r="B16" s="210" t="s">
        <v>6</v>
      </c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1"/>
      <c r="T16" s="211"/>
      <c r="U16" s="211"/>
      <c r="V16" s="211"/>
      <c r="W16" s="211"/>
      <c r="X16" s="211"/>
      <c r="Y16" s="211"/>
      <c r="Z16" s="211"/>
      <c r="AA16" s="212"/>
      <c r="AC16" s="209"/>
      <c r="AD16" s="209"/>
      <c r="AE16" s="209"/>
      <c r="AF16" s="209"/>
      <c r="AG16" s="209"/>
      <c r="AH16" s="209"/>
      <c r="AI16" s="209"/>
      <c r="AJ16" s="209"/>
      <c r="AK16" s="209"/>
      <c r="AL16" s="24"/>
      <c r="AM16" s="224"/>
      <c r="AN16" s="224"/>
      <c r="AO16" s="224"/>
      <c r="AP16" s="201"/>
    </row>
    <row r="17" spans="1:46" ht="18.75" customHeight="1">
      <c r="A17" s="1"/>
      <c r="B17" s="213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214"/>
      <c r="AL17" s="24"/>
      <c r="AM17" s="224"/>
      <c r="AN17" s="224"/>
      <c r="AO17" s="224"/>
      <c r="AP17" s="201"/>
    </row>
    <row r="18" spans="1:46" ht="18.75" customHeight="1" thickBot="1">
      <c r="A18" s="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5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L18" s="24"/>
      <c r="AM18" s="224"/>
      <c r="AN18" s="224"/>
      <c r="AO18" s="224"/>
      <c r="AP18" s="201"/>
    </row>
    <row r="19" spans="1:46" ht="18.75" customHeight="1">
      <c r="A19" s="1"/>
      <c r="B19" s="80" t="s">
        <v>7</v>
      </c>
      <c r="C19" s="81"/>
      <c r="D19" s="81"/>
      <c r="E19" s="81"/>
      <c r="F19" s="81"/>
      <c r="G19" s="81"/>
      <c r="H19" s="81"/>
      <c r="I19" s="86" t="s">
        <v>62</v>
      </c>
      <c r="J19" s="89"/>
      <c r="K19" s="86" t="s">
        <v>65</v>
      </c>
      <c r="L19" s="89"/>
      <c r="M19" s="86" t="s">
        <v>63</v>
      </c>
      <c r="N19" s="89"/>
      <c r="O19" s="86" t="s">
        <v>64</v>
      </c>
      <c r="P19" s="89"/>
      <c r="Q19" s="86" t="s">
        <v>55</v>
      </c>
      <c r="R19" s="89"/>
      <c r="S19" s="86" t="s">
        <v>50</v>
      </c>
      <c r="T19" s="89"/>
      <c r="U19" s="86" t="s">
        <v>72</v>
      </c>
      <c r="V19" s="89"/>
      <c r="W19" s="86" t="s">
        <v>73</v>
      </c>
      <c r="X19" s="89"/>
      <c r="Y19" s="144" t="s">
        <v>8</v>
      </c>
      <c r="Z19" s="145"/>
      <c r="AA19" s="146"/>
      <c r="AL19" s="24"/>
      <c r="AM19" s="224"/>
      <c r="AN19" s="224"/>
      <c r="AO19" s="224"/>
      <c r="AP19" s="201"/>
    </row>
    <row r="20" spans="1:46" ht="18.75" customHeight="1">
      <c r="A20" s="1"/>
      <c r="B20" s="82"/>
      <c r="C20" s="83"/>
      <c r="D20" s="83"/>
      <c r="E20" s="83"/>
      <c r="F20" s="83"/>
      <c r="G20" s="83"/>
      <c r="H20" s="83"/>
      <c r="I20" s="87"/>
      <c r="J20" s="90"/>
      <c r="K20" s="87"/>
      <c r="L20" s="90"/>
      <c r="M20" s="87"/>
      <c r="N20" s="90"/>
      <c r="O20" s="87"/>
      <c r="P20" s="90"/>
      <c r="Q20" s="87"/>
      <c r="R20" s="90"/>
      <c r="S20" s="87"/>
      <c r="T20" s="90"/>
      <c r="U20" s="87"/>
      <c r="V20" s="90"/>
      <c r="W20" s="87"/>
      <c r="X20" s="90"/>
      <c r="Y20" s="147"/>
      <c r="Z20" s="148"/>
      <c r="AA20" s="149"/>
      <c r="AL20" s="24"/>
      <c r="AM20" s="224"/>
      <c r="AN20" s="224"/>
      <c r="AO20" s="224"/>
      <c r="AP20" s="201"/>
    </row>
    <row r="21" spans="1:46" ht="15" customHeight="1">
      <c r="B21" s="82"/>
      <c r="C21" s="83"/>
      <c r="D21" s="83"/>
      <c r="E21" s="83"/>
      <c r="F21" s="83"/>
      <c r="G21" s="83"/>
      <c r="H21" s="83"/>
      <c r="I21" s="87"/>
      <c r="J21" s="90"/>
      <c r="K21" s="87"/>
      <c r="L21" s="90"/>
      <c r="M21" s="87"/>
      <c r="N21" s="90"/>
      <c r="O21" s="87"/>
      <c r="P21" s="90"/>
      <c r="Q21" s="87"/>
      <c r="R21" s="90"/>
      <c r="S21" s="87"/>
      <c r="T21" s="90"/>
      <c r="U21" s="87"/>
      <c r="V21" s="90"/>
      <c r="W21" s="87"/>
      <c r="X21" s="90"/>
      <c r="Y21" s="147"/>
      <c r="Z21" s="148"/>
      <c r="AA21" s="149"/>
      <c r="AC21" s="131" t="s">
        <v>9</v>
      </c>
      <c r="AD21" s="132"/>
      <c r="AE21" s="132"/>
      <c r="AF21" s="132"/>
      <c r="AG21" s="133"/>
      <c r="AH21" s="74" t="s">
        <v>10</v>
      </c>
      <c r="AI21" s="75"/>
      <c r="AJ21" s="75"/>
      <c r="AK21" s="76"/>
      <c r="AL21" s="24"/>
      <c r="AM21" s="224"/>
      <c r="AN21" s="224"/>
      <c r="AO21" s="224"/>
      <c r="AP21" s="201"/>
    </row>
    <row r="22" spans="1:46">
      <c r="B22" s="82"/>
      <c r="C22" s="83"/>
      <c r="D22" s="83"/>
      <c r="E22" s="83"/>
      <c r="F22" s="83"/>
      <c r="G22" s="83"/>
      <c r="H22" s="83"/>
      <c r="I22" s="87"/>
      <c r="J22" s="90"/>
      <c r="K22" s="87"/>
      <c r="L22" s="90"/>
      <c r="M22" s="87"/>
      <c r="N22" s="90"/>
      <c r="O22" s="87"/>
      <c r="P22" s="90"/>
      <c r="Q22" s="87"/>
      <c r="R22" s="90"/>
      <c r="S22" s="87"/>
      <c r="T22" s="90"/>
      <c r="U22" s="87"/>
      <c r="V22" s="90"/>
      <c r="W22" s="87"/>
      <c r="X22" s="90"/>
      <c r="Y22" s="147"/>
      <c r="Z22" s="148"/>
      <c r="AA22" s="149"/>
      <c r="AC22" s="131"/>
      <c r="AD22" s="132"/>
      <c r="AE22" s="132"/>
      <c r="AF22" s="132"/>
      <c r="AG22" s="133"/>
      <c r="AH22" s="9">
        <v>1</v>
      </c>
      <c r="AI22" s="9">
        <v>2</v>
      </c>
      <c r="AJ22" s="9">
        <v>3</v>
      </c>
      <c r="AK22" s="9">
        <v>4</v>
      </c>
      <c r="AL22" s="24"/>
      <c r="AM22" s="224"/>
      <c r="AN22" s="224"/>
      <c r="AO22" s="224"/>
      <c r="AP22" s="201"/>
      <c r="AT22">
        <v>1800</v>
      </c>
    </row>
    <row r="23" spans="1:46" ht="22.5" customHeight="1" thickBot="1">
      <c r="B23" s="84"/>
      <c r="C23" s="85"/>
      <c r="D23" s="85"/>
      <c r="E23" s="85"/>
      <c r="F23" s="85"/>
      <c r="G23" s="85"/>
      <c r="H23" s="85"/>
      <c r="I23" s="88"/>
      <c r="J23" s="91"/>
      <c r="K23" s="88"/>
      <c r="L23" s="91"/>
      <c r="M23" s="88"/>
      <c r="N23" s="91"/>
      <c r="O23" s="88"/>
      <c r="P23" s="91"/>
      <c r="Q23" s="88"/>
      <c r="R23" s="91"/>
      <c r="S23" s="88"/>
      <c r="T23" s="91"/>
      <c r="U23" s="88"/>
      <c r="V23" s="91"/>
      <c r="W23" s="88"/>
      <c r="X23" s="91"/>
      <c r="Y23" s="150"/>
      <c r="Z23" s="151"/>
      <c r="AA23" s="152"/>
      <c r="AC23" s="100" t="s">
        <v>11</v>
      </c>
      <c r="AD23" s="101"/>
      <c r="AE23" s="101"/>
      <c r="AF23" s="101"/>
      <c r="AG23" s="102"/>
      <c r="AH23" s="10"/>
      <c r="AI23" s="10"/>
      <c r="AJ23" s="11" t="s">
        <v>12</v>
      </c>
      <c r="AK23" s="10"/>
      <c r="AL23" s="24"/>
      <c r="AM23" s="224"/>
      <c r="AN23" s="224"/>
      <c r="AO23" s="224"/>
      <c r="AP23" s="201"/>
      <c r="AT23">
        <v>100</v>
      </c>
    </row>
    <row r="24" spans="1:46" ht="17.25">
      <c r="B24" s="94" t="str">
        <f>[2]Marksheet!$D$8</f>
        <v>ENGLISH LANG.</v>
      </c>
      <c r="C24" s="95"/>
      <c r="D24" s="95"/>
      <c r="E24" s="95"/>
      <c r="F24" s="95"/>
      <c r="G24" s="95"/>
      <c r="H24" s="95"/>
      <c r="I24" s="56">
        <f>VLOOKUP(AB9, '[1]Marksheet T1'!$A$9:$ES$88,6)</f>
        <v>15</v>
      </c>
      <c r="J24" s="60"/>
      <c r="K24" s="56">
        <f>VLOOKUP(AB9, '[1]Marksheet T1'!$A$9:$ES$88,7)</f>
        <v>15</v>
      </c>
      <c r="L24" s="60"/>
      <c r="M24" s="56">
        <f>VLOOKUP(AB9, '[1]Marksheet T1'!$A$9:$ES$88,8)</f>
        <v>54</v>
      </c>
      <c r="N24" s="60"/>
      <c r="O24" s="56">
        <f>VLOOKUP(AB9, '[1]Marksheet T1'!$A$9:$ES$88,9)</f>
        <v>84</v>
      </c>
      <c r="P24" s="60"/>
      <c r="Q24" s="56" t="str">
        <f>VLOOKUP(AB9, '[1]Marksheet T1'!$A$9:$ES$88,11)</f>
        <v>A</v>
      </c>
      <c r="R24" s="60"/>
      <c r="S24" s="56" t="str">
        <f>VLOOKUP(AB9, '[1]Marksheet T1'!$A$9:$ES$88,97)</f>
        <v>3rd</v>
      </c>
      <c r="T24" s="60"/>
      <c r="U24" s="56">
        <f>VLOOKUP(AB9, '[1]Marksheet T1'!$A$9:$ES$88,95)</f>
        <v>41</v>
      </c>
      <c r="V24" s="60"/>
      <c r="W24" s="56">
        <f>VLOOKUP(AB9, '[1]Marksheet T1'!$A$9:$ES$88,96)</f>
        <v>87</v>
      </c>
      <c r="X24" s="7"/>
      <c r="Y24" s="103" t="str">
        <f>IF(AT24="","",IF(AT24&lt;='[2]Basic Data Entry Sheet'!$G$25,"Nil",IF(AT24&lt;='[2]Basic Data Entry Sheet'!$G$24,"Fail",IF(AT24&lt;='[2]Basic Data Entry Sheet'!$G$23,"Pass",IF(AT24&lt;='[2]Basic Data Entry Sheet'!$G$22,"Fair",IF(AT24&lt;='[2]Basic Data Entry Sheet'!$G$21,"Average",IF(AT24&lt;='[2]Basic Data Entry Sheet'!$G$20,"Good",IF(AT24&lt;='[2]Basic Data Entry Sheet'!$G$19,"Very Good",IF(AT24&lt;='[2]Basic Data Entry Sheet'!$G$18,"Excellent","Distinction")))))))))</f>
        <v>Distinction</v>
      </c>
      <c r="Z24" s="103"/>
      <c r="AA24" s="104"/>
      <c r="AC24" s="100" t="s">
        <v>13</v>
      </c>
      <c r="AD24" s="101"/>
      <c r="AE24" s="101"/>
      <c r="AF24" s="101"/>
      <c r="AG24" s="102"/>
      <c r="AH24" s="10"/>
      <c r="AI24" s="10"/>
      <c r="AJ24" s="12"/>
      <c r="AK24" s="11" t="s">
        <v>12</v>
      </c>
      <c r="AL24" s="24"/>
      <c r="AM24" s="224"/>
      <c r="AN24" s="224"/>
      <c r="AO24" s="224"/>
      <c r="AP24" s="201"/>
      <c r="AT24">
        <f>O24/$AT$23*100</f>
        <v>84</v>
      </c>
    </row>
    <row r="25" spans="1:46">
      <c r="B25" s="96"/>
      <c r="C25" s="97"/>
      <c r="D25" s="97"/>
      <c r="E25" s="97"/>
      <c r="F25" s="97"/>
      <c r="G25" s="97"/>
      <c r="H25" s="43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98"/>
      <c r="Y25" s="98"/>
      <c r="Z25" s="98"/>
      <c r="AA25" s="99"/>
      <c r="AC25" s="100" t="s">
        <v>14</v>
      </c>
      <c r="AD25" s="101"/>
      <c r="AE25" s="101"/>
      <c r="AF25" s="101"/>
      <c r="AG25" s="102"/>
      <c r="AH25" s="10"/>
      <c r="AI25" s="10"/>
      <c r="AJ25" s="11" t="s">
        <v>12</v>
      </c>
      <c r="AK25" s="12"/>
      <c r="AL25" s="24"/>
      <c r="AM25" s="224"/>
      <c r="AN25" s="224"/>
      <c r="AO25" s="224"/>
      <c r="AP25" s="201"/>
    </row>
    <row r="26" spans="1:46" ht="17.25">
      <c r="B26" s="92" t="str">
        <f>[2]Marksheet!$I$8</f>
        <v>MATHEMATICS</v>
      </c>
      <c r="C26" s="93"/>
      <c r="D26" s="93"/>
      <c r="E26" s="93"/>
      <c r="F26" s="93"/>
      <c r="G26" s="93"/>
      <c r="H26" s="93"/>
      <c r="I26" s="56">
        <f>VLOOKUP(AB9, '[1]Marksheet T1'!$A$9:$ES$88,12)</f>
        <v>11</v>
      </c>
      <c r="J26" s="60"/>
      <c r="K26" s="56">
        <f>VLOOKUP(AB9, '[1]Marksheet T1'!$A$9:$ES$88,13)</f>
        <v>20</v>
      </c>
      <c r="L26" s="60"/>
      <c r="M26" s="56">
        <f>VLOOKUP(AB9, '[1]Marksheet T1'!$A$9:$ES$88,14)</f>
        <v>21</v>
      </c>
      <c r="N26" s="60"/>
      <c r="O26" s="56">
        <f>VLOOKUP(AB9, '[1]Marksheet T1'!$A$9:$ES$88,15)</f>
        <v>52</v>
      </c>
      <c r="P26" s="60"/>
      <c r="Q26" s="56" t="str">
        <f>VLOOKUP(AB9, '[1]Marksheet T1'!$A$9:$ES$88,17)</f>
        <v>C4</v>
      </c>
      <c r="R26" s="60"/>
      <c r="S26" s="56" t="str">
        <f>VLOOKUP(AB9, '[1]Marksheet T1'!$A$9:$ES$88,101)</f>
        <v>18th</v>
      </c>
      <c r="T26" s="60"/>
      <c r="U26" s="56">
        <f>VLOOKUP(AB9, '[1]Marksheet T1'!$A$9:$ES$88,99)</f>
        <v>35</v>
      </c>
      <c r="V26" s="60"/>
      <c r="W26" s="56">
        <f>VLOOKUP(AB9, '[1]Marksheet T1'!$A$9:$ES$88,100)</f>
        <v>74</v>
      </c>
      <c r="X26" s="7"/>
      <c r="Y26" s="103" t="str">
        <f>IF(AT26="","",IF(AT26&lt;='[2]Basic Data Entry Sheet'!$G$25,"Nil",IF(AT26&lt;='[2]Basic Data Entry Sheet'!$G$24,"Fail",IF(AT26&lt;='[2]Basic Data Entry Sheet'!$G$23,"Pass",IF(AT26&lt;='[2]Basic Data Entry Sheet'!$G$22,"Fair",IF(AT26&lt;='[2]Basic Data Entry Sheet'!$G$21,"Average",IF(AT26&lt;='[2]Basic Data Entry Sheet'!$G$20,"Good",IF(AT26&lt;='[2]Basic Data Entry Sheet'!$G$19,"Very Good",IF(AT26&lt;='[2]Basic Data Entry Sheet'!$G$18,"Excellent","Distinction")))))))))</f>
        <v>Good</v>
      </c>
      <c r="Z26" s="103"/>
      <c r="AA26" s="104"/>
      <c r="AC26" s="100" t="s">
        <v>15</v>
      </c>
      <c r="AD26" s="101"/>
      <c r="AE26" s="101"/>
      <c r="AF26" s="101"/>
      <c r="AG26" s="102"/>
      <c r="AH26" s="10"/>
      <c r="AI26" s="10"/>
      <c r="AJ26" s="11" t="s">
        <v>12</v>
      </c>
      <c r="AK26" s="10"/>
      <c r="AL26" s="24"/>
      <c r="AM26" s="224"/>
      <c r="AN26" s="224"/>
      <c r="AO26" s="224"/>
      <c r="AP26" s="201"/>
      <c r="AT26">
        <f>O26/$AT$23*100</f>
        <v>52</v>
      </c>
    </row>
    <row r="27" spans="1:46">
      <c r="B27" s="96"/>
      <c r="C27" s="97"/>
      <c r="D27" s="97"/>
      <c r="E27" s="97"/>
      <c r="F27" s="97"/>
      <c r="G27" s="97"/>
      <c r="H27" s="43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98"/>
      <c r="Y27" s="98"/>
      <c r="Z27" s="98"/>
      <c r="AA27" s="99"/>
      <c r="AC27" s="100" t="s">
        <v>16</v>
      </c>
      <c r="AD27" s="101"/>
      <c r="AE27" s="101"/>
      <c r="AF27" s="101"/>
      <c r="AG27" s="102"/>
      <c r="AH27" s="10"/>
      <c r="AI27" s="11" t="s">
        <v>12</v>
      </c>
      <c r="AJ27" s="12"/>
      <c r="AK27" s="10"/>
      <c r="AL27" s="24"/>
      <c r="AM27" s="224"/>
      <c r="AN27" s="224"/>
      <c r="AO27" s="224"/>
      <c r="AP27" s="201"/>
    </row>
    <row r="28" spans="1:46" ht="17.25">
      <c r="B28" s="92" t="s">
        <v>58</v>
      </c>
      <c r="C28" s="93"/>
      <c r="D28" s="93"/>
      <c r="E28" s="93"/>
      <c r="F28" s="93"/>
      <c r="G28" s="93"/>
      <c r="H28" s="93"/>
      <c r="I28" s="56">
        <f>VLOOKUP(AB9, '[1]Marksheet T1'!$A$9:$ES$88,18)</f>
        <v>19</v>
      </c>
      <c r="J28" s="60"/>
      <c r="K28" s="56">
        <f>VLOOKUP(AB9, '[1]Marksheet T1'!$A$9:$ES$88,19)</f>
        <v>20</v>
      </c>
      <c r="L28" s="60"/>
      <c r="M28" s="56">
        <f>VLOOKUP(AB9, '[1]Marksheet T1'!$A$9:$ES$88,20)</f>
        <v>48</v>
      </c>
      <c r="N28" s="60"/>
      <c r="O28" s="56">
        <f>VLOOKUP(AB9, '[1]Marksheet T1'!$A$9:$ES$88,21)</f>
        <v>87</v>
      </c>
      <c r="P28" s="60"/>
      <c r="Q28" s="56" t="str">
        <f>VLOOKUP(AB9, '[1]Marksheet T1'!$A$9:$ES$88,23)</f>
        <v>A</v>
      </c>
      <c r="R28" s="60"/>
      <c r="S28" s="56" t="str">
        <f>VLOOKUP(AB9, '[1]Marksheet T1'!$A$9:$ES$88,105)</f>
        <v>7th</v>
      </c>
      <c r="T28" s="60"/>
      <c r="U28" s="56">
        <f>VLOOKUP(AB9, '[1]Marksheet T1'!$A$9:$ES$88,103)</f>
        <v>59</v>
      </c>
      <c r="V28" s="60"/>
      <c r="W28" s="56">
        <f>VLOOKUP(AB9, '[1]Marksheet T1'!$A$9:$ES$88,104)</f>
        <v>97</v>
      </c>
      <c r="X28" s="7"/>
      <c r="Y28" s="103" t="str">
        <f>IF(AT28="","",IF(AT28&lt;='[2]Basic Data Entry Sheet'!$G$25,"Nil",IF(AT28&lt;='[2]Basic Data Entry Sheet'!$G$24,"Fail",IF(AT28&lt;='[2]Basic Data Entry Sheet'!$G$23,"Pass",IF(AT28&lt;='[2]Basic Data Entry Sheet'!$G$22,"Fair",IF(AT28&lt;='[2]Basic Data Entry Sheet'!$G$21,"Average",IF(AT28&lt;='[2]Basic Data Entry Sheet'!$G$20,"Good",IF(AT28&lt;='[2]Basic Data Entry Sheet'!$G$19,"Very Good",IF(AT28&lt;='[2]Basic Data Entry Sheet'!$G$18,"Excellent","Distinction")))))))))</f>
        <v>Distinction</v>
      </c>
      <c r="Z28" s="103"/>
      <c r="AA28" s="104"/>
      <c r="AC28" s="100" t="s">
        <v>17</v>
      </c>
      <c r="AD28" s="101"/>
      <c r="AE28" s="101"/>
      <c r="AF28" s="101"/>
      <c r="AG28" s="102"/>
      <c r="AH28" s="10"/>
      <c r="AI28" s="12"/>
      <c r="AJ28" s="11" t="s">
        <v>12</v>
      </c>
      <c r="AK28" s="10"/>
      <c r="AL28" s="24"/>
      <c r="AM28" s="224"/>
      <c r="AN28" s="224"/>
      <c r="AO28" s="224"/>
      <c r="AP28" s="201"/>
      <c r="AT28">
        <f>O28/$AT$23*100</f>
        <v>87</v>
      </c>
    </row>
    <row r="29" spans="1:46">
      <c r="B29" s="96"/>
      <c r="C29" s="97"/>
      <c r="D29" s="97"/>
      <c r="E29" s="97"/>
      <c r="F29" s="97"/>
      <c r="G29" s="97"/>
      <c r="H29" s="43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98"/>
      <c r="Y29" s="98"/>
      <c r="Z29" s="98"/>
      <c r="AA29" s="99"/>
      <c r="AC29" s="100" t="s">
        <v>18</v>
      </c>
      <c r="AD29" s="101"/>
      <c r="AE29" s="101"/>
      <c r="AF29" s="101"/>
      <c r="AG29" s="102"/>
      <c r="AH29" s="10"/>
      <c r="AI29" s="11" t="s">
        <v>12</v>
      </c>
      <c r="AJ29" s="12"/>
      <c r="AK29" s="10"/>
      <c r="AL29" s="24"/>
      <c r="AM29" s="224"/>
      <c r="AN29" s="224"/>
      <c r="AO29" s="224"/>
      <c r="AP29" s="201"/>
    </row>
    <row r="30" spans="1:46" ht="17.25">
      <c r="B30" s="92" t="s">
        <v>59</v>
      </c>
      <c r="C30" s="93"/>
      <c r="D30" s="93"/>
      <c r="E30" s="93"/>
      <c r="F30" s="93"/>
      <c r="G30" s="93"/>
      <c r="H30" s="93"/>
      <c r="I30" s="56" t="str">
        <f>VLOOKUP(AB9, '[1]Marksheet T1'!$A$9:$ES$88,24)</f>
        <v/>
      </c>
      <c r="J30" s="60"/>
      <c r="K30" s="56" t="str">
        <f>VLOOKUP(AB9, '[1]Marksheet T1'!$A$9:$ES$88,25)</f>
        <v/>
      </c>
      <c r="L30" s="60"/>
      <c r="M30" s="56" t="str">
        <f>VLOOKUP(AB9, '[1]Marksheet T1'!$A$9:$ES$88,26)</f>
        <v/>
      </c>
      <c r="N30" s="60"/>
      <c r="O30" s="56">
        <f>VLOOKUP(AB9, '[1]Marksheet T1'!$A$9:$ES$88,27)</f>
        <v>0</v>
      </c>
      <c r="P30" s="60"/>
      <c r="Q30" s="56" t="str">
        <f>VLOOKUP(AB9, '[1]Marksheet T1'!$A$9:$ES$88,29)</f>
        <v>-</v>
      </c>
      <c r="R30" s="60"/>
      <c r="S30" s="56" t="str">
        <f>VLOOKUP(AB9, '[1]Marksheet T1'!$A$9:$ES$88,109)</f>
        <v>NILL</v>
      </c>
      <c r="T30" s="60"/>
      <c r="U30" s="56">
        <f>VLOOKUP(AB9, '[1]Marksheet T1'!$A$9:$ES$88,107)</f>
        <v>0</v>
      </c>
      <c r="V30" s="60"/>
      <c r="W30" s="56">
        <f>VLOOKUP(AB9, '[1]Marksheet T1'!$A$9:$ES$88,108)</f>
        <v>0</v>
      </c>
      <c r="X30" s="7"/>
      <c r="Y30" s="103" t="str">
        <f>IF(AT30="","",IF(AT30&lt;='[2]Basic Data Entry Sheet'!$G$25,"Nil",IF(AT30&lt;='[2]Basic Data Entry Sheet'!$G$24,"Fail",IF(AT30&lt;='[2]Basic Data Entry Sheet'!$G$23,"Pass",IF(AT30&lt;='[2]Basic Data Entry Sheet'!$G$22,"Fair",IF(AT30&lt;='[2]Basic Data Entry Sheet'!$G$21,"Average",IF(AT30&lt;='[2]Basic Data Entry Sheet'!$G$20,"Good",IF(AT30&lt;='[2]Basic Data Entry Sheet'!$G$19,"Very Good",IF(AT30&lt;='[2]Basic Data Entry Sheet'!$G$18,"Excellent","Distinction")))))))))</f>
        <v>Nil</v>
      </c>
      <c r="Z30" s="103"/>
      <c r="AA30" s="104"/>
      <c r="AI30" s="12"/>
      <c r="AL30" s="24"/>
      <c r="AM30" s="224"/>
      <c r="AN30" s="224"/>
      <c r="AO30" s="224"/>
      <c r="AP30" s="201"/>
      <c r="AT30">
        <f>O30/$AT$23*100</f>
        <v>0</v>
      </c>
    </row>
    <row r="31" spans="1:46">
      <c r="B31" s="96"/>
      <c r="C31" s="97"/>
      <c r="D31" s="97"/>
      <c r="E31" s="97"/>
      <c r="F31" s="97"/>
      <c r="G31" s="97"/>
      <c r="H31" s="43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98"/>
      <c r="Y31" s="98"/>
      <c r="Z31" s="98"/>
      <c r="AA31" s="99"/>
      <c r="AC31" s="125" t="s">
        <v>19</v>
      </c>
      <c r="AD31" s="126"/>
      <c r="AE31" s="126"/>
      <c r="AF31" s="126"/>
      <c r="AG31" s="127"/>
      <c r="AH31" s="228" t="s">
        <v>20</v>
      </c>
      <c r="AI31" s="175"/>
      <c r="AJ31" s="175"/>
      <c r="AK31" s="176"/>
      <c r="AL31" s="24"/>
      <c r="AM31" s="26"/>
      <c r="AN31" s="26"/>
      <c r="AO31" s="23"/>
      <c r="AP31" s="201"/>
    </row>
    <row r="32" spans="1:46" ht="17.25">
      <c r="B32" s="92" t="s">
        <v>60</v>
      </c>
      <c r="C32" s="93"/>
      <c r="D32" s="93"/>
      <c r="E32" s="93"/>
      <c r="F32" s="93"/>
      <c r="G32" s="93"/>
      <c r="H32" s="93"/>
      <c r="I32" s="56">
        <f>VLOOKUP(AB9, '[1]Marksheet T1'!$A$9:$ES$88,30)</f>
        <v>18</v>
      </c>
      <c r="J32" s="60"/>
      <c r="K32" s="56">
        <f>VLOOKUP(AB9, '[1]Marksheet T1'!$A$9:$ES$88,31)</f>
        <v>18</v>
      </c>
      <c r="L32" s="60"/>
      <c r="M32" s="56">
        <f>VLOOKUP(AB9, '[1]Marksheet T1'!$A$9:$ES$88,32)</f>
        <v>45</v>
      </c>
      <c r="N32" s="60"/>
      <c r="O32" s="56">
        <f>VLOOKUP(AB9, '[1]Marksheet T1'!$A$9:$ES$88,33)</f>
        <v>81</v>
      </c>
      <c r="P32" s="60"/>
      <c r="Q32" s="56" t="str">
        <f>VLOOKUP(AB9, '[1]Marksheet T1'!$A$9:$ES$88,35)</f>
        <v>A</v>
      </c>
      <c r="R32" s="60"/>
      <c r="S32" s="56" t="str">
        <f>VLOOKUP(AB9, '[1]Marksheet T1'!$A$9:$ES$88,113)</f>
        <v>8th</v>
      </c>
      <c r="T32" s="60"/>
      <c r="U32" s="56">
        <f>VLOOKUP(AB9, '[1]Marksheet T1'!$A$9:$ES$88,111)</f>
        <v>33</v>
      </c>
      <c r="V32" s="60"/>
      <c r="W32" s="56">
        <f>VLOOKUP(AB9, '[1]Marksheet T1'!$A$9:$ES$88,112)</f>
        <v>87</v>
      </c>
      <c r="X32" s="7"/>
      <c r="Y32" s="103" t="str">
        <f>IF(AT32="","",IF(AT32&lt;='[2]Basic Data Entry Sheet'!$G$25,"Nil",IF(AT32&lt;='[2]Basic Data Entry Sheet'!$G$24,"Fail",IF(AT32&lt;='[2]Basic Data Entry Sheet'!$G$23,"Pass",IF(AT32&lt;='[2]Basic Data Entry Sheet'!$G$22,"Fair",IF(AT32&lt;='[2]Basic Data Entry Sheet'!$G$21,"Average",IF(AT32&lt;='[2]Basic Data Entry Sheet'!$G$20,"Good",IF(AT32&lt;='[2]Basic Data Entry Sheet'!$G$19,"Very Good",IF(AT32&lt;='[2]Basic Data Entry Sheet'!$G$18,"Excellent","Distinction")))))))))</f>
        <v>Distinction</v>
      </c>
      <c r="Z32" s="103"/>
      <c r="AA32" s="104"/>
      <c r="AC32" s="128"/>
      <c r="AD32" s="129"/>
      <c r="AE32" s="129"/>
      <c r="AF32" s="129"/>
      <c r="AG32" s="130"/>
      <c r="AH32" s="13">
        <v>1</v>
      </c>
      <c r="AI32" s="13">
        <v>2</v>
      </c>
      <c r="AJ32" s="13">
        <v>3</v>
      </c>
      <c r="AK32" s="13">
        <v>4</v>
      </c>
      <c r="AL32" s="24"/>
      <c r="AM32" s="26"/>
      <c r="AN32" s="26"/>
      <c r="AO32" s="23"/>
      <c r="AP32" s="201"/>
      <c r="AT32">
        <f>O32/$AT$23*100</f>
        <v>81</v>
      </c>
    </row>
    <row r="33" spans="2:46" ht="15" customHeight="1">
      <c r="B33" s="159"/>
      <c r="C33" s="160"/>
      <c r="D33" s="160"/>
      <c r="E33" s="160"/>
      <c r="F33" s="160"/>
      <c r="G33" s="160"/>
      <c r="H33" s="43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98"/>
      <c r="Y33" s="98"/>
      <c r="Z33" s="98"/>
      <c r="AA33" s="99"/>
      <c r="AC33" s="165" t="s">
        <v>21</v>
      </c>
      <c r="AD33" s="166"/>
      <c r="AE33" s="166"/>
      <c r="AF33" s="166"/>
      <c r="AG33" s="167"/>
      <c r="AH33" s="121"/>
      <c r="AI33" s="121"/>
      <c r="AJ33" s="123" t="s">
        <v>12</v>
      </c>
      <c r="AK33" s="121"/>
      <c r="AL33" s="24"/>
      <c r="AM33" s="26"/>
      <c r="AN33" s="26"/>
      <c r="AO33" s="23"/>
      <c r="AP33" s="201"/>
    </row>
    <row r="34" spans="2:46" ht="15" customHeight="1">
      <c r="B34" s="92" t="str">
        <f>[3]Marksheet!$AC8</f>
        <v>PHYSICS</v>
      </c>
      <c r="C34" s="93"/>
      <c r="D34" s="93"/>
      <c r="E34" s="93"/>
      <c r="F34" s="93"/>
      <c r="G34" s="93"/>
      <c r="H34" s="93"/>
      <c r="I34" s="56">
        <f>VLOOKUP(AB9, '[1]Marksheet T1'!$A$9:$ES$88,36)</f>
        <v>20</v>
      </c>
      <c r="J34" s="60"/>
      <c r="K34" s="56">
        <f>VLOOKUP(AB9, '[1]Marksheet T1'!$A$9:$ES$88,37)</f>
        <v>20</v>
      </c>
      <c r="L34" s="60"/>
      <c r="M34" s="56">
        <f>VLOOKUP(AB9, '[1]Marksheet T1'!$A$9:$ES$88,38)</f>
        <v>42</v>
      </c>
      <c r="N34" s="60"/>
      <c r="O34" s="56">
        <f>VLOOKUP(AB9, '[1]Marksheet T1'!$A$9:$ES$88,39)</f>
        <v>82</v>
      </c>
      <c r="P34" s="60"/>
      <c r="Q34" s="56" t="str">
        <f>VLOOKUP(AB9, '[1]Marksheet T1'!$A$9:$ES$88,41)</f>
        <v>A</v>
      </c>
      <c r="R34" s="60"/>
      <c r="S34" s="56" t="str">
        <f>VLOOKUP(AB9, '[1]Marksheet T1'!$A$9:$ES$88,117)</f>
        <v>8th</v>
      </c>
      <c r="T34" s="60"/>
      <c r="U34" s="56">
        <f>VLOOKUP(AB9, '[1]Marksheet T1'!$A$9:$ES$88,115)</f>
        <v>29</v>
      </c>
      <c r="V34" s="60"/>
      <c r="W34" s="56">
        <f>VLOOKUP(AB9, '[1]Marksheet T1'!$A$9:$ES$88,116)</f>
        <v>88</v>
      </c>
      <c r="X34" s="7"/>
      <c r="Y34" s="103" t="str">
        <f>IF(AT34="","",IF(AT34&lt;='[2]Basic Data Entry Sheet'!$G$25,"Nil",IF(AT34&lt;='[2]Basic Data Entry Sheet'!$G$24,"Fail",IF(AT34&lt;='[2]Basic Data Entry Sheet'!$G$23,"Pass",IF(AT34&lt;='[2]Basic Data Entry Sheet'!$G$22,"Fair",IF(AT34&lt;='[2]Basic Data Entry Sheet'!$G$21,"Average",IF(AT34&lt;='[2]Basic Data Entry Sheet'!$G$20,"Good",IF(AT34&lt;='[2]Basic Data Entry Sheet'!$G$19,"Very Good",IF(AT34&lt;='[2]Basic Data Entry Sheet'!$G$18,"Excellent","Distinction")))))))))</f>
        <v>Distinction</v>
      </c>
      <c r="Z34" s="103"/>
      <c r="AA34" s="104"/>
      <c r="AC34" s="168"/>
      <c r="AD34" s="169"/>
      <c r="AE34" s="169"/>
      <c r="AF34" s="169"/>
      <c r="AG34" s="170"/>
      <c r="AH34" s="122"/>
      <c r="AI34" s="122"/>
      <c r="AJ34" s="124"/>
      <c r="AK34" s="122"/>
      <c r="AL34" s="24"/>
      <c r="AM34" s="26"/>
      <c r="AN34" s="26"/>
      <c r="AO34" s="23"/>
      <c r="AP34" s="201"/>
      <c r="AT34">
        <f>O34/$AT$23*100</f>
        <v>82</v>
      </c>
    </row>
    <row r="35" spans="2:46">
      <c r="B35" s="96"/>
      <c r="C35" s="97"/>
      <c r="D35" s="97"/>
      <c r="E35" s="97"/>
      <c r="F35" s="97"/>
      <c r="G35" s="97"/>
      <c r="H35" s="44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98"/>
      <c r="Y35" s="98"/>
      <c r="Z35" s="98"/>
      <c r="AA35" s="99"/>
      <c r="AC35" s="164" t="s">
        <v>22</v>
      </c>
      <c r="AD35" s="164"/>
      <c r="AE35" s="164"/>
      <c r="AF35" s="164"/>
      <c r="AG35" s="164"/>
      <c r="AH35" s="121"/>
      <c r="AI35" s="123" t="s">
        <v>12</v>
      </c>
      <c r="AJ35" s="121"/>
      <c r="AK35" s="121"/>
      <c r="AL35" s="24"/>
      <c r="AM35" s="26"/>
      <c r="AN35" s="26"/>
      <c r="AO35" s="23"/>
      <c r="AP35" s="201"/>
    </row>
    <row r="36" spans="2:46" ht="18" thickBot="1">
      <c r="B36" s="157" t="s">
        <v>61</v>
      </c>
      <c r="C36" s="158"/>
      <c r="D36" s="158"/>
      <c r="E36" s="158"/>
      <c r="F36" s="158"/>
      <c r="G36" s="158"/>
      <c r="H36" s="158"/>
      <c r="I36" s="58">
        <f>VLOOKUP(AB9, '[1]Marksheet T1'!$A$9:$ES$88,42)</f>
        <v>15</v>
      </c>
      <c r="J36" s="62"/>
      <c r="K36" s="58">
        <f>VLOOKUP(AB9, '[1]Marksheet T1'!$A$9:$ES$88,43)</f>
        <v>20</v>
      </c>
      <c r="L36" s="62"/>
      <c r="M36" s="58">
        <f>VLOOKUP(AB9, '[1]Marksheet T1'!$A$9:$ES$88,44)</f>
        <v>10</v>
      </c>
      <c r="N36" s="62"/>
      <c r="O36" s="58">
        <f>VLOOKUP(AB9, '[1]Marksheet T1'!$A$9:$ES$88,45)</f>
        <v>45</v>
      </c>
      <c r="P36" s="62"/>
      <c r="Q36" s="58" t="str">
        <f>VLOOKUP(AB9, '[1]Marksheet T1'!$A$9:$ES$88,47)</f>
        <v>D</v>
      </c>
      <c r="R36" s="62"/>
      <c r="S36" s="58" t="str">
        <f>VLOOKUP(AB9, '[1]Marksheet T1'!$A$9:$ES$88,121)</f>
        <v>28th</v>
      </c>
      <c r="T36" s="62"/>
      <c r="U36" s="58">
        <f>VLOOKUP(AB9, '[1]Marksheet T1'!$A$9:$ES$88,119)</f>
        <v>35</v>
      </c>
      <c r="V36" s="62"/>
      <c r="W36" s="58">
        <f>VLOOKUP(AB9, '[1]Marksheet T1'!$A$9:$ES$88,120)</f>
        <v>92</v>
      </c>
      <c r="X36" s="38"/>
      <c r="Y36" s="155" t="str">
        <f>IF(AT36="","",IF(AT36&lt;='[2]Basic Data Entry Sheet'!$G$25,"Nil",IF(AT36&lt;='[2]Basic Data Entry Sheet'!$G$24,"Fail",IF(AT36&lt;='[2]Basic Data Entry Sheet'!$G$23,"Pass",IF(AT36&lt;='[2]Basic Data Entry Sheet'!$G$22,"Fair",IF(AT36&lt;='[2]Basic Data Entry Sheet'!$G$21,"Average",IF(AT36&lt;='[2]Basic Data Entry Sheet'!$G$20,"Good",IF(AT36&lt;='[2]Basic Data Entry Sheet'!$G$19,"Very Good",IF(AT36&lt;='[2]Basic Data Entry Sheet'!$G$18,"Excellent","Distinction")))))))))</f>
        <v>Fair</v>
      </c>
      <c r="Z36" s="155"/>
      <c r="AA36" s="156"/>
      <c r="AC36" s="164"/>
      <c r="AD36" s="164"/>
      <c r="AE36" s="164"/>
      <c r="AF36" s="164"/>
      <c r="AG36" s="164"/>
      <c r="AH36" s="122"/>
      <c r="AI36" s="124"/>
      <c r="AJ36" s="122"/>
      <c r="AK36" s="122"/>
      <c r="AL36" s="24"/>
      <c r="AM36" s="26"/>
      <c r="AN36" s="26"/>
      <c r="AO36" s="23"/>
      <c r="AP36" s="201"/>
      <c r="AT36">
        <f>O36/$AT$23*100</f>
        <v>45</v>
      </c>
    </row>
    <row r="37" spans="2:46">
      <c r="B37" s="171" t="s">
        <v>66</v>
      </c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C37" s="161" t="s">
        <v>23</v>
      </c>
      <c r="AD37" s="161"/>
      <c r="AE37" s="161"/>
      <c r="AF37" s="161"/>
      <c r="AG37" s="161"/>
      <c r="AH37" s="10"/>
      <c r="AI37" s="11" t="s">
        <v>12</v>
      </c>
      <c r="AJ37" s="10"/>
      <c r="AK37" s="10"/>
      <c r="AL37" s="24"/>
      <c r="AM37" s="26"/>
      <c r="AN37" s="26"/>
      <c r="AO37" s="23"/>
      <c r="AP37" s="201"/>
    </row>
    <row r="38" spans="2:46">
      <c r="B38" s="172"/>
      <c r="C38" s="172"/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72"/>
      <c r="AA38" s="172"/>
      <c r="AC38" s="164" t="s">
        <v>24</v>
      </c>
      <c r="AD38" s="164"/>
      <c r="AE38" s="164"/>
      <c r="AF38" s="164"/>
      <c r="AG38" s="164"/>
      <c r="AH38" s="121"/>
      <c r="AI38" s="121"/>
      <c r="AJ38" s="123" t="s">
        <v>12</v>
      </c>
      <c r="AK38" s="121"/>
      <c r="AL38" s="24"/>
      <c r="AM38" s="26"/>
      <c r="AN38" s="26"/>
      <c r="AO38" s="23"/>
      <c r="AP38" s="201"/>
    </row>
    <row r="39" spans="2:46">
      <c r="B39" s="172"/>
      <c r="C39" s="172"/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72"/>
      <c r="AA39" s="172"/>
      <c r="AC39" s="164"/>
      <c r="AD39" s="164"/>
      <c r="AE39" s="164"/>
      <c r="AF39" s="164"/>
      <c r="AG39" s="164"/>
      <c r="AH39" s="122"/>
      <c r="AI39" s="122"/>
      <c r="AJ39" s="124"/>
      <c r="AK39" s="122"/>
      <c r="AL39" s="24"/>
      <c r="AM39" s="26"/>
      <c r="AN39" s="26"/>
      <c r="AO39" s="23"/>
      <c r="AP39" s="201"/>
    </row>
    <row r="40" spans="2:46" ht="15.75" thickBot="1"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3"/>
      <c r="P40" s="173"/>
      <c r="Q40" s="173"/>
      <c r="R40" s="173"/>
      <c r="S40" s="173"/>
      <c r="T40" s="173"/>
      <c r="U40" s="173"/>
      <c r="V40" s="173"/>
      <c r="W40" s="173"/>
      <c r="X40" s="173"/>
      <c r="Y40" s="173"/>
      <c r="Z40" s="173"/>
      <c r="AA40" s="173"/>
      <c r="AC40" s="164" t="s">
        <v>25</v>
      </c>
      <c r="AD40" s="164"/>
      <c r="AE40" s="164"/>
      <c r="AF40" s="164"/>
      <c r="AG40" s="164"/>
      <c r="AH40" s="135"/>
      <c r="AI40" s="137"/>
      <c r="AJ40" s="123" t="s">
        <v>12</v>
      </c>
      <c r="AK40" s="153"/>
      <c r="AL40" s="24"/>
      <c r="AM40" s="26"/>
      <c r="AN40" s="26"/>
      <c r="AO40" s="23"/>
      <c r="AP40" s="201"/>
    </row>
    <row r="41" spans="2:46" ht="17.25">
      <c r="B41" s="94" t="str">
        <f>[3]Marksheet!$AW$8</f>
        <v>ECONOMICS</v>
      </c>
      <c r="C41" s="95"/>
      <c r="D41" s="95"/>
      <c r="E41" s="95"/>
      <c r="F41" s="95"/>
      <c r="G41" s="95"/>
      <c r="H41" s="230"/>
      <c r="I41" s="59">
        <f>VLOOKUP(AB9, '[1]Marksheet T1'!$A$9:$ES$88,48)</f>
        <v>16</v>
      </c>
      <c r="J41" s="63"/>
      <c r="K41" s="59">
        <f>VLOOKUP(AB9, '[1]Marksheet T1'!$A$9:$ES$88,49)</f>
        <v>10</v>
      </c>
      <c r="L41" s="63"/>
      <c r="M41" s="59">
        <f>VLOOKUP(AB9, '[1]Marksheet T1'!$A$9:$ES$88,50)</f>
        <v>21</v>
      </c>
      <c r="N41" s="63"/>
      <c r="O41" s="59">
        <f>VLOOKUP(AB9, '[1]Marksheet T1'!$A$9:$ES$88,51)</f>
        <v>47</v>
      </c>
      <c r="P41" s="63"/>
      <c r="Q41" s="59" t="str">
        <f>VLOOKUP(AB9, '[1]Marksheet T1'!$A$9:$ES$88,53)</f>
        <v>C5</v>
      </c>
      <c r="R41" s="63"/>
      <c r="S41" s="59" t="str">
        <f>VLOOKUP(AB9, '[1]Marksheet T1'!$A$9:$ES$88,125)</f>
        <v>21st</v>
      </c>
      <c r="T41" s="63"/>
      <c r="U41" s="59">
        <f>VLOOKUP(AB9, '[1]Marksheet T1'!$A$9:$ES$88,123)</f>
        <v>0</v>
      </c>
      <c r="V41" s="63"/>
      <c r="W41" s="59">
        <f>VLOOKUP(AB9, '[1]Marksheet T1'!$A$9:$ES$88,124)</f>
        <v>81</v>
      </c>
      <c r="X41" s="42"/>
      <c r="Y41" s="162" t="str">
        <f>IF(AT41="","",IF(AT41&lt;='[2]Basic Data Entry Sheet'!$G$25,"Nil",IF(AT41&lt;='[2]Basic Data Entry Sheet'!$G$24,"Fail",IF(AT41&lt;='[2]Basic Data Entry Sheet'!$G$23,"Pass",IF(AT41&lt;='[2]Basic Data Entry Sheet'!$G$22,"Fair",IF(AT41&lt;='[2]Basic Data Entry Sheet'!$G$21,"Average",IF(AT41&lt;='[2]Basic Data Entry Sheet'!$G$20,"Good",IF(AT41&lt;='[2]Basic Data Entry Sheet'!$G$19,"Very Good",IF(AT41&lt;='[2]Basic Data Entry Sheet'!$G$18,"Excellent","Distinction")))))))))</f>
        <v>Average</v>
      </c>
      <c r="Z41" s="162"/>
      <c r="AA41" s="163"/>
      <c r="AC41" s="229"/>
      <c r="AD41" s="229"/>
      <c r="AE41" s="229"/>
      <c r="AF41" s="229"/>
      <c r="AG41" s="229"/>
      <c r="AH41" s="141"/>
      <c r="AI41" s="143"/>
      <c r="AJ41" s="124"/>
      <c r="AK41" s="154"/>
      <c r="AL41" s="24"/>
      <c r="AM41" s="26"/>
      <c r="AN41" s="26"/>
      <c r="AO41" s="23"/>
      <c r="AP41" s="201"/>
      <c r="AT41">
        <f>O41/$AT$23*100</f>
        <v>47</v>
      </c>
    </row>
    <row r="42" spans="2:46">
      <c r="B42" s="159"/>
      <c r="C42" s="160"/>
      <c r="D42" s="160"/>
      <c r="E42" s="160"/>
      <c r="F42" s="160"/>
      <c r="G42" s="160"/>
      <c r="H42" s="39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36"/>
      <c r="Y42" s="98"/>
      <c r="Z42" s="98"/>
      <c r="AA42" s="99"/>
      <c r="AC42" s="135"/>
      <c r="AD42" s="136"/>
      <c r="AE42" s="136"/>
      <c r="AF42" s="136"/>
      <c r="AG42" s="136"/>
      <c r="AH42" s="136"/>
      <c r="AI42" s="136"/>
      <c r="AJ42" s="136"/>
      <c r="AK42" s="137"/>
      <c r="AL42" s="24"/>
      <c r="AM42" s="26"/>
      <c r="AN42" s="26"/>
      <c r="AO42" s="23"/>
      <c r="AP42" s="201"/>
    </row>
    <row r="43" spans="2:46" ht="17.25">
      <c r="B43" s="92" t="str">
        <f>[3]Marksheet!$BB$8</f>
        <v>GEOGRAPHY</v>
      </c>
      <c r="C43" s="93"/>
      <c r="D43" s="93"/>
      <c r="E43" s="93"/>
      <c r="F43" s="93"/>
      <c r="G43" s="93"/>
      <c r="H43" s="183"/>
      <c r="I43" s="56" t="str">
        <f>VLOOKUP(AB9, '[1]Marksheet T1'!$A$9:$ES$88,54)</f>
        <v/>
      </c>
      <c r="J43" s="60"/>
      <c r="K43" s="56" t="str">
        <f>VLOOKUP(AB9, '[1]Marksheet T1'!$A$9:$ES$88,55)</f>
        <v/>
      </c>
      <c r="L43" s="60"/>
      <c r="M43" s="56" t="str">
        <f>VLOOKUP(AB9, '[1]Marksheet T1'!$A$9:$ES$88,56)</f>
        <v/>
      </c>
      <c r="N43" s="60"/>
      <c r="O43" s="56">
        <f>VLOOKUP(AB9, '[1]Marksheet T1'!$A$9:$ES$88,57)</f>
        <v>0</v>
      </c>
      <c r="P43" s="60"/>
      <c r="Q43" s="56" t="str">
        <f>VLOOKUP(AB9, '[1]Marksheet T1'!$A$9:$ES$88,59)</f>
        <v>-</v>
      </c>
      <c r="R43" s="60"/>
      <c r="S43" s="56" t="str">
        <f>VLOOKUP(AB9, '[1]Marksheet T1'!$A$9:$ES$88,129)</f>
        <v>NILL</v>
      </c>
      <c r="T43" s="60"/>
      <c r="U43" s="56">
        <f>VLOOKUP(AB9, '[1]Marksheet T1'!$A$9:$ES$88,127)</f>
        <v>0</v>
      </c>
      <c r="V43" s="60"/>
      <c r="W43" s="56">
        <f>VLOOKUP(AB9, '[1]Marksheet T1'!$A$9:$ES$88,128)</f>
        <v>0</v>
      </c>
      <c r="X43" s="7"/>
      <c r="Y43" s="103" t="str">
        <f>IF(AT43="","",IF(AT43&lt;='[2]Basic Data Entry Sheet'!$G$25,"Nil",IF(AT43&lt;='[2]Basic Data Entry Sheet'!$G$24,"Fail",IF(AT43&lt;='[2]Basic Data Entry Sheet'!$G$23,"Pass",IF(AT43&lt;='[2]Basic Data Entry Sheet'!$G$22,"Fair",IF(AT43&lt;='[2]Basic Data Entry Sheet'!$G$21,"Average",IF(AT43&lt;='[2]Basic Data Entry Sheet'!$G$20,"Good",IF(AT43&lt;='[2]Basic Data Entry Sheet'!$G$19,"Very Good",IF(AT43&lt;='[2]Basic Data Entry Sheet'!$G$18,"Excellent","Distinction")))))))))</f>
        <v>Nil</v>
      </c>
      <c r="Z43" s="103"/>
      <c r="AA43" s="104"/>
      <c r="AC43" s="138"/>
      <c r="AD43" s="139"/>
      <c r="AE43" s="139"/>
      <c r="AF43" s="139"/>
      <c r="AG43" s="139"/>
      <c r="AH43" s="139"/>
      <c r="AI43" s="139"/>
      <c r="AJ43" s="139"/>
      <c r="AK43" s="140"/>
      <c r="AL43" s="24"/>
      <c r="AM43" s="26"/>
      <c r="AN43" s="26"/>
      <c r="AO43" s="23"/>
      <c r="AP43" s="201"/>
      <c r="AT43">
        <f>O43/$AT$23*100</f>
        <v>0</v>
      </c>
    </row>
    <row r="44" spans="2:46">
      <c r="B44" s="159"/>
      <c r="C44" s="160"/>
      <c r="D44" s="160"/>
      <c r="E44" s="160"/>
      <c r="F44" s="160"/>
      <c r="G44" s="160"/>
      <c r="H44" s="39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36"/>
      <c r="Y44" s="98"/>
      <c r="Z44" s="98"/>
      <c r="AA44" s="99"/>
      <c r="AC44" s="138"/>
      <c r="AD44" s="139"/>
      <c r="AE44" s="139"/>
      <c r="AF44" s="139"/>
      <c r="AG44" s="139"/>
      <c r="AH44" s="139"/>
      <c r="AI44" s="139"/>
      <c r="AJ44" s="139"/>
      <c r="AK44" s="140"/>
      <c r="AL44" s="24"/>
      <c r="AM44" s="26"/>
      <c r="AN44" s="26"/>
      <c r="AO44" s="23"/>
      <c r="AP44" s="201"/>
    </row>
    <row r="45" spans="2:46" ht="17.25">
      <c r="B45" s="92" t="str">
        <f>'[4]student sheet'!$Y$1</f>
        <v>MARKETING</v>
      </c>
      <c r="C45" s="93"/>
      <c r="D45" s="93"/>
      <c r="E45" s="93"/>
      <c r="F45" s="93"/>
      <c r="G45" s="93"/>
      <c r="H45" s="183"/>
      <c r="I45" s="56">
        <f>VLOOKUP(AB9, '[1]Marksheet T1'!$A$9:$ES$88,60)</f>
        <v>14</v>
      </c>
      <c r="J45" s="60"/>
      <c r="K45" s="56">
        <f>VLOOKUP(AB9, '[1]Marksheet T1'!$A$9:$ES$88,61)</f>
        <v>20</v>
      </c>
      <c r="L45" s="60"/>
      <c r="M45" s="56">
        <f>VLOOKUP(AB9, '[1]Marksheet T1'!$A$9:$ES$88,62)</f>
        <v>51</v>
      </c>
      <c r="N45" s="60"/>
      <c r="O45" s="56">
        <f>VLOOKUP(AB9, '[1]Marksheet T1'!$A$9:$ES$88,63)</f>
        <v>85</v>
      </c>
      <c r="P45" s="60"/>
      <c r="Q45" s="56" t="str">
        <f>VLOOKUP(AB9, '[1]Marksheet T1'!$A$9:$ES$88,65)</f>
        <v>A</v>
      </c>
      <c r="R45" s="60"/>
      <c r="S45" s="56" t="str">
        <f>VLOOKUP(AB9, '[1]Marksheet T1'!$A$9:$ES$88,133)</f>
        <v>2nd</v>
      </c>
      <c r="T45" s="60"/>
      <c r="U45" s="56">
        <f>VLOOKUP(AB9, '[1]Marksheet T1'!$A$9:$ES$88,131)</f>
        <v>0</v>
      </c>
      <c r="V45" s="60"/>
      <c r="W45" s="56">
        <f>VLOOKUP(AB9, '[1]Marksheet T1'!$A$9:$ES$88,132)</f>
        <v>86</v>
      </c>
      <c r="X45" s="7"/>
      <c r="Y45" s="103" t="str">
        <f>IF(AT45="","",IF(AT45&lt;='[2]Basic Data Entry Sheet'!$G$25,"Nil",IF(AT45&lt;='[2]Basic Data Entry Sheet'!$G$24,"Fail",IF(AT45&lt;='[2]Basic Data Entry Sheet'!$G$23,"Pass",IF(AT45&lt;='[2]Basic Data Entry Sheet'!$G$22,"Fair",IF(AT45&lt;='[2]Basic Data Entry Sheet'!$G$21,"Average",IF(AT45&lt;='[2]Basic Data Entry Sheet'!$G$20,"Good",IF(AT45&lt;='[2]Basic Data Entry Sheet'!$G$19,"Very Good",IF(AT45&lt;='[2]Basic Data Entry Sheet'!$G$18,"Excellent","Distinction")))))))))</f>
        <v>Distinction</v>
      </c>
      <c r="Z45" s="103"/>
      <c r="AA45" s="104"/>
      <c r="AC45" s="141"/>
      <c r="AD45" s="142"/>
      <c r="AE45" s="142"/>
      <c r="AF45" s="142"/>
      <c r="AG45" s="142"/>
      <c r="AH45" s="142"/>
      <c r="AI45" s="142"/>
      <c r="AJ45" s="142"/>
      <c r="AK45" s="143"/>
      <c r="AL45" s="24"/>
      <c r="AM45" s="26"/>
      <c r="AN45" s="26"/>
      <c r="AO45" s="23"/>
      <c r="AP45" s="201"/>
      <c r="AT45">
        <f>O45/$AT$23*100</f>
        <v>85</v>
      </c>
    </row>
    <row r="46" spans="2:46">
      <c r="B46" s="159"/>
      <c r="C46" s="160"/>
      <c r="D46" s="160"/>
      <c r="E46" s="160"/>
      <c r="F46" s="160"/>
      <c r="G46" s="160"/>
      <c r="H46" s="39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98"/>
      <c r="Y46" s="98"/>
      <c r="Z46" s="98"/>
      <c r="AA46" s="99"/>
      <c r="AC46" s="184" t="s">
        <v>26</v>
      </c>
      <c r="AD46" s="185"/>
      <c r="AE46" s="185"/>
      <c r="AF46" s="185"/>
      <c r="AG46" s="186"/>
      <c r="AH46" s="184" t="s">
        <v>27</v>
      </c>
      <c r="AI46" s="185"/>
      <c r="AJ46" s="185"/>
      <c r="AK46" s="186"/>
      <c r="AL46" s="24"/>
      <c r="AM46" s="26"/>
      <c r="AN46" s="26"/>
      <c r="AO46" s="23"/>
      <c r="AP46" s="201"/>
    </row>
    <row r="47" spans="2:46" ht="18" thickBot="1">
      <c r="B47" s="92" t="str">
        <f>'[4]student sheet'!$AA$1</f>
        <v>ANIMAL HUS.</v>
      </c>
      <c r="C47" s="93"/>
      <c r="D47" s="93"/>
      <c r="E47" s="93"/>
      <c r="F47" s="93"/>
      <c r="G47" s="93"/>
      <c r="H47" s="183"/>
      <c r="I47" s="56" t="str">
        <f>VLOOKUP(AB9, '[1]Marksheet T1'!$A$9:$ES$88,66)</f>
        <v/>
      </c>
      <c r="J47" s="60"/>
      <c r="K47" s="56" t="str">
        <f>VLOOKUP(AB9, '[1]Marksheet T1'!$A$9:$ES$88,67)</f>
        <v/>
      </c>
      <c r="L47" s="60"/>
      <c r="M47" s="56" t="str">
        <f>VLOOKUP(AB9, '[1]Marksheet T1'!$A$9:$ES$88,68)</f>
        <v/>
      </c>
      <c r="N47" s="60"/>
      <c r="O47" s="56">
        <f>VLOOKUP(AB9, '[1]Marksheet T1'!$A$9:$ES$88,69)</f>
        <v>0</v>
      </c>
      <c r="P47" s="60"/>
      <c r="Q47" s="56" t="str">
        <f>VLOOKUP(AB9, '[1]Marksheet T1'!$A$9:$ES$88,71)</f>
        <v>-</v>
      </c>
      <c r="R47" s="60"/>
      <c r="S47" s="56" t="str">
        <f>VLOOKUP(AB9, '[1]Marksheet T1'!$A$9:$ES$88,137)</f>
        <v>NILL</v>
      </c>
      <c r="T47" s="60"/>
      <c r="U47" s="56">
        <f>VLOOKUP(AB9, '[1]Marksheet T1'!$A$9:$ES$88,135)</f>
        <v>0</v>
      </c>
      <c r="V47" s="60"/>
      <c r="W47" s="56">
        <f>VLOOKUP(AB9, '[1]Marksheet T1'!$A$9:$ES$88,136)</f>
        <v>19</v>
      </c>
      <c r="X47" s="7"/>
      <c r="Y47" s="103" t="str">
        <f>IF(AT47="","",IF(AT47&lt;='[2]Basic Data Entry Sheet'!$G$25,"Nil",IF(AT47&lt;='[2]Basic Data Entry Sheet'!$G$24,"Fail",IF(AT47&lt;='[2]Basic Data Entry Sheet'!$G$23,"Pass",IF(AT47&lt;='[2]Basic Data Entry Sheet'!$G$22,"Fair",IF(AT47&lt;='[2]Basic Data Entry Sheet'!$G$21,"Average",IF(AT47&lt;='[2]Basic Data Entry Sheet'!$G$20,"Good",IF(AT47&lt;='[2]Basic Data Entry Sheet'!$G$19,"Very Good",IF(AT47&lt;='[2]Basic Data Entry Sheet'!$G$18,"Excellent","Distinction")))))))))</f>
        <v>Nil</v>
      </c>
      <c r="Z47" s="103"/>
      <c r="AA47" s="104"/>
      <c r="AC47" s="135" t="s">
        <v>28</v>
      </c>
      <c r="AD47" s="136"/>
      <c r="AE47" s="136"/>
      <c r="AF47" s="136"/>
      <c r="AG47" s="137"/>
      <c r="AH47" s="135" t="s">
        <v>29</v>
      </c>
      <c r="AI47" s="136"/>
      <c r="AJ47" s="136"/>
      <c r="AK47" s="137"/>
      <c r="AL47" s="24"/>
      <c r="AM47" s="26"/>
      <c r="AN47" s="26"/>
      <c r="AO47" s="23"/>
      <c r="AP47" s="201"/>
      <c r="AT47">
        <f>O47/$AT$23*100</f>
        <v>0</v>
      </c>
    </row>
    <row r="48" spans="2:46">
      <c r="B48" s="159"/>
      <c r="C48" s="160"/>
      <c r="D48" s="160"/>
      <c r="E48" s="160"/>
      <c r="F48" s="160"/>
      <c r="G48" s="160"/>
      <c r="H48" s="39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98"/>
      <c r="Y48" s="98"/>
      <c r="Z48" s="98"/>
      <c r="AA48" s="99"/>
      <c r="AC48" s="180" t="s">
        <v>30</v>
      </c>
      <c r="AD48" s="181"/>
      <c r="AE48" s="181"/>
      <c r="AF48" s="181"/>
      <c r="AG48" s="181"/>
      <c r="AH48" s="181"/>
      <c r="AI48" s="181"/>
      <c r="AJ48" s="181"/>
      <c r="AK48" s="182"/>
      <c r="AL48" s="24"/>
      <c r="AM48" s="26"/>
      <c r="AN48" s="26"/>
      <c r="AO48" s="23"/>
      <c r="AP48" s="201"/>
    </row>
    <row r="49" spans="2:46" ht="18" thickBot="1">
      <c r="B49" s="92" t="s">
        <v>70</v>
      </c>
      <c r="C49" s="93"/>
      <c r="D49" s="93"/>
      <c r="E49" s="93"/>
      <c r="F49" s="93"/>
      <c r="G49" s="93"/>
      <c r="H49" s="183"/>
      <c r="I49" s="56" t="str">
        <f>VLOOKUP(AB9, '[1]Marksheet T1'!$A$9:$ES$88,72)</f>
        <v/>
      </c>
      <c r="J49" s="60"/>
      <c r="K49" s="56" t="str">
        <f>VLOOKUP(AB9, '[1]Marksheet T1'!$A$9:$ES$88,73)</f>
        <v/>
      </c>
      <c r="L49" s="60"/>
      <c r="M49" s="56" t="str">
        <f>VLOOKUP(AB9, '[1]Marksheet T1'!$A$9:$ES$88,74)</f>
        <v/>
      </c>
      <c r="N49" s="60"/>
      <c r="O49" s="56">
        <f>VLOOKUP(AB9, '[1]Marksheet T1'!$A$9:$ES$88,75)</f>
        <v>0</v>
      </c>
      <c r="P49" s="60"/>
      <c r="Q49" s="56" t="str">
        <f>VLOOKUP(AB9, '[1]Marksheet T1'!$A$9:$ES$88,77)</f>
        <v>-</v>
      </c>
      <c r="R49" s="60"/>
      <c r="S49" s="56" t="str">
        <f>VLOOKUP(AB9, '[1]Marksheet T1'!$A$9:$ES$88,141)</f>
        <v>NILL</v>
      </c>
      <c r="T49" s="60"/>
      <c r="U49" s="56">
        <f>VLOOKUP(AB9, '[1]Marksheet T1'!$A$9:$ES$88,139)</f>
        <v>0</v>
      </c>
      <c r="V49" s="60"/>
      <c r="W49" s="56">
        <f>VLOOKUP(AB9, '[1]Marksheet T1'!$A$9:$ES$88,140)</f>
        <v>89</v>
      </c>
      <c r="X49" s="7"/>
      <c r="Y49" s="103" t="str">
        <f>IF(AT49="","",IF(AT49&lt;='[2]Basic Data Entry Sheet'!$G$25,"Nil",IF(AT49&lt;='[2]Basic Data Entry Sheet'!$G$24,"Fail",IF(AT49&lt;='[2]Basic Data Entry Sheet'!$G$23,"Pass",IF(AT49&lt;='[2]Basic Data Entry Sheet'!$G$22,"Fair",IF(AT49&lt;='[2]Basic Data Entry Sheet'!$G$21,"Average",IF(AT49&lt;='[2]Basic Data Entry Sheet'!$G$20,"Good",IF(AT49&lt;='[2]Basic Data Entry Sheet'!$G$19,"Very Good",IF(AT49&lt;='[2]Basic Data Entry Sheet'!$G$18,"Excellent","Distinction")))))))))</f>
        <v>Nil</v>
      </c>
      <c r="Z49" s="103"/>
      <c r="AA49" s="104"/>
      <c r="AC49" s="219">
        <f>VLOOKUP(AB9, '[1]Marksheet T1'!$A$10:$FC$203,90)</f>
        <v>625</v>
      </c>
      <c r="AD49" s="220"/>
      <c r="AE49" s="220"/>
      <c r="AF49" s="220"/>
      <c r="AG49" s="220"/>
      <c r="AH49" s="220"/>
      <c r="AI49" s="220"/>
      <c r="AJ49" s="220"/>
      <c r="AK49" s="221"/>
      <c r="AL49" s="24"/>
      <c r="AM49" s="26"/>
      <c r="AN49" s="26"/>
      <c r="AO49" s="23"/>
      <c r="AP49" s="201"/>
      <c r="AT49">
        <f>O49/$AT$23*100</f>
        <v>0</v>
      </c>
    </row>
    <row r="50" spans="2:46">
      <c r="B50" s="159"/>
      <c r="C50" s="160"/>
      <c r="D50" s="160"/>
      <c r="E50" s="160"/>
      <c r="F50" s="160"/>
      <c r="G50" s="160"/>
      <c r="H50" s="39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98"/>
      <c r="Y50" s="98"/>
      <c r="Z50" s="98"/>
      <c r="AA50" s="99"/>
      <c r="AC50" s="180" t="s">
        <v>31</v>
      </c>
      <c r="AD50" s="181"/>
      <c r="AE50" s="181"/>
      <c r="AF50" s="181"/>
      <c r="AG50" s="181"/>
      <c r="AH50" s="181"/>
      <c r="AI50" s="181"/>
      <c r="AJ50" s="181"/>
      <c r="AK50" s="182"/>
      <c r="AL50" s="24"/>
      <c r="AM50" s="26"/>
      <c r="AN50" s="26"/>
      <c r="AO50" s="23"/>
      <c r="AP50" s="201"/>
    </row>
    <row r="51" spans="2:46" ht="15" customHeight="1" thickBot="1">
      <c r="B51" s="92" t="str">
        <f>'[5]student sheet'!$AY$1</f>
        <v>COMPUTER SC</v>
      </c>
      <c r="C51" s="93"/>
      <c r="D51" s="93"/>
      <c r="E51" s="93"/>
      <c r="F51" s="93"/>
      <c r="G51" s="93"/>
      <c r="H51" s="183"/>
      <c r="I51" s="56">
        <f>VLOOKUP(AB9, '[1]Marksheet T1'!$A$10:$FC$203,78)</f>
        <v>15</v>
      </c>
      <c r="J51" s="60"/>
      <c r="K51" s="56" t="str">
        <f>VLOOKUP(AB9, '[1]Marksheet T1'!$A$10:$FC$203,79)</f>
        <v/>
      </c>
      <c r="L51" s="60"/>
      <c r="M51" s="56">
        <f>VLOOKUP(AB9, '[1]Marksheet T1'!$A$9:$ES$88,80)</f>
        <v>47</v>
      </c>
      <c r="N51" s="60"/>
      <c r="O51" s="56">
        <f>VLOOKUP(AB9, '[1]Marksheet T1'!$A$9:$ES$88,81)</f>
        <v>62</v>
      </c>
      <c r="P51" s="60"/>
      <c r="Q51" s="56" t="str">
        <f>VLOOKUP(AB9, '[1]Marksheet T1'!$A$9:$ES$88,83)</f>
        <v>B2</v>
      </c>
      <c r="R51" s="60"/>
      <c r="S51" s="56" t="str">
        <f>VLOOKUP(AB9, '[1]Marksheet T1'!$A$9:$ES$88,145)</f>
        <v>9th</v>
      </c>
      <c r="T51" s="60"/>
      <c r="U51" s="56">
        <f>VLOOKUP(AB9, '[1]Marksheet T1'!$A$9:$ES$88,143)</f>
        <v>0</v>
      </c>
      <c r="V51" s="60"/>
      <c r="W51" s="56">
        <f>VLOOKUP(AB9, '[1]Marksheet T1'!$A$9:$ES$88,144)</f>
        <v>91</v>
      </c>
      <c r="X51" s="7"/>
      <c r="Y51" s="103" t="str">
        <f>IF(AT51="","",IF(AT51&lt;='[2]Basic Data Entry Sheet'!$G$25,"Nil",IF(AT51&lt;='[2]Basic Data Entry Sheet'!$G$24,"Fail",IF(AT51&lt;='[2]Basic Data Entry Sheet'!$G$23,"Pass",IF(AT51&lt;='[2]Basic Data Entry Sheet'!$G$22,"Fair",IF(AT51&lt;='[2]Basic Data Entry Sheet'!$G$21,"Average",IF(AT51&lt;='[2]Basic Data Entry Sheet'!$G$20,"Good",IF(AT51&lt;='[2]Basic Data Entry Sheet'!$G$19,"Very Good",IF(AT51&lt;='[2]Basic Data Entry Sheet'!$G$18,"Excellent","Distinction")))))))))</f>
        <v>Very Good</v>
      </c>
      <c r="Z51" s="103"/>
      <c r="AA51" s="104"/>
      <c r="AC51" s="219" t="str">
        <f>IF(S10="","",IF(S10&lt;=40%,"FAIL",IF(S10&lt;=45%,"ON TRIAL","PASS")))</f>
        <v>PASS</v>
      </c>
      <c r="AD51" s="220"/>
      <c r="AE51" s="220"/>
      <c r="AF51" s="220"/>
      <c r="AG51" s="220"/>
      <c r="AH51" s="220"/>
      <c r="AI51" s="220"/>
      <c r="AJ51" s="220"/>
      <c r="AK51" s="221"/>
      <c r="AL51" s="24"/>
      <c r="AM51" s="26"/>
      <c r="AN51" s="26"/>
      <c r="AO51" s="23"/>
      <c r="AP51" s="201"/>
      <c r="AT51">
        <f>O51/$AT$23*100</f>
        <v>62</v>
      </c>
    </row>
    <row r="52" spans="2:46">
      <c r="B52" s="37"/>
      <c r="C52" s="4"/>
      <c r="D52" s="4"/>
      <c r="E52" s="4"/>
      <c r="F52" s="4"/>
      <c r="G52" s="4"/>
      <c r="H52" s="40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8"/>
      <c r="Y52" s="8"/>
      <c r="Z52" s="8"/>
      <c r="AA52" s="14"/>
      <c r="AC52" s="46"/>
      <c r="AD52" s="46"/>
      <c r="AE52" s="46"/>
      <c r="AF52" s="46"/>
      <c r="AG52" s="46"/>
      <c r="AH52" s="46"/>
      <c r="AI52" s="46"/>
      <c r="AJ52" s="46"/>
      <c r="AK52" s="46"/>
      <c r="AL52" s="24"/>
      <c r="AM52" s="26"/>
      <c r="AN52" s="26"/>
      <c r="AO52" s="23"/>
      <c r="AP52" s="201"/>
    </row>
    <row r="53" spans="2:46" ht="18" thickBot="1">
      <c r="B53" s="192" t="s">
        <v>71</v>
      </c>
      <c r="C53" s="193"/>
      <c r="D53" s="193"/>
      <c r="E53" s="193"/>
      <c r="F53" s="193"/>
      <c r="G53" s="193"/>
      <c r="H53" s="194"/>
      <c r="I53" s="56" t="str">
        <f>VLOOKUP(AB9, '[1]Marksheet T1'!$A$9:$ES$88,84)</f>
        <v/>
      </c>
      <c r="J53" s="60"/>
      <c r="K53" s="57" t="str">
        <f>VLOOKUP(AB9, '[1]Marksheet T1'!$A$9:$ES$88,85)</f>
        <v/>
      </c>
      <c r="L53" s="60"/>
      <c r="M53" s="56" t="str">
        <f>VLOOKUP(AB9, '[1]Marksheet T1'!$A$9:$ES$88,86)</f>
        <v/>
      </c>
      <c r="N53" s="60"/>
      <c r="O53" s="56" t="str">
        <f>VLOOKUP(AB9, '[1]Marksheet T1'!$A$9:$ES$88,87)</f>
        <v/>
      </c>
      <c r="P53" s="60"/>
      <c r="Q53" s="65" t="str">
        <f>VLOOKUP(AB9, '[1]Marksheet T1'!$A$9:$ES$88,89)</f>
        <v/>
      </c>
      <c r="R53" s="60"/>
      <c r="S53" s="57" t="e">
        <f>VLOOKUP(AB9, '[1]Marksheet T1'!$A$9:$ES$88,149)</f>
        <v>#VALUE!</v>
      </c>
      <c r="T53" s="60"/>
      <c r="U53" s="57">
        <f>VLOOKUP(AB9, '[1]Marksheet T1'!$A$9:$ES$88,147)</f>
        <v>0</v>
      </c>
      <c r="V53" s="60"/>
      <c r="W53" s="56">
        <f>VLOOKUP(AB9, '[1]Marksheet T1'!$A$9:$ES$88,148)</f>
        <v>0</v>
      </c>
      <c r="X53" s="7"/>
      <c r="Y53" s="190" t="e">
        <f>IF(AT53="","",IF(AT53&lt;='[2]Basic Data Entry Sheet'!$G$25,"Nil",IF(AT53&lt;='[2]Basic Data Entry Sheet'!$G$24,"Fail",IF(AT53&lt;='[2]Basic Data Entry Sheet'!$G$23,"Pass",IF(AT53&lt;='[2]Basic Data Entry Sheet'!$G$22,"Fair",IF(AT53&lt;='[2]Basic Data Entry Sheet'!$G$21,"Average",IF(AT53&lt;='[2]Basic Data Entry Sheet'!$G$20,"Good",IF(AT53&lt;='[2]Basic Data Entry Sheet'!$G$19,"Very Good",IF(AT53&lt;='[2]Basic Data Entry Sheet'!$G$18,"Excellent","Distinction")))))))))</f>
        <v>#VALUE!</v>
      </c>
      <c r="Z53" s="190"/>
      <c r="AA53" s="191"/>
      <c r="AC53" s="195" t="s">
        <v>32</v>
      </c>
      <c r="AD53" s="196"/>
      <c r="AE53" s="196"/>
      <c r="AF53" s="196"/>
      <c r="AG53" s="196"/>
      <c r="AH53" s="196"/>
      <c r="AI53" s="196"/>
      <c r="AJ53" s="196"/>
      <c r="AK53" s="197"/>
      <c r="AL53" s="24"/>
      <c r="AM53" s="26"/>
      <c r="AN53" s="26"/>
      <c r="AO53" s="23"/>
      <c r="AP53" s="201"/>
      <c r="AT53" t="e">
        <f>O53/$AT$23*100</f>
        <v>#VALUE!</v>
      </c>
    </row>
    <row r="54" spans="2:46" ht="15.75" thickBot="1">
      <c r="B54" s="66" t="s">
        <v>75</v>
      </c>
      <c r="C54" s="67"/>
      <c r="D54" s="67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C54" s="198"/>
      <c r="AD54" s="199"/>
      <c r="AE54" s="199"/>
      <c r="AF54" s="199"/>
      <c r="AG54" s="199"/>
      <c r="AH54" s="199"/>
      <c r="AI54" s="199"/>
      <c r="AJ54" s="199"/>
      <c r="AK54" s="200"/>
      <c r="AL54" s="24"/>
      <c r="AM54" s="26"/>
      <c r="AN54" s="26"/>
      <c r="AO54" s="23"/>
      <c r="AP54" s="201"/>
    </row>
    <row r="55" spans="2:46" ht="15.75" thickBot="1"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C55" s="51" t="s">
        <v>33</v>
      </c>
      <c r="AD55" s="52" t="s">
        <v>34</v>
      </c>
      <c r="AE55" s="52" t="s">
        <v>35</v>
      </c>
      <c r="AF55" s="52" t="s">
        <v>36</v>
      </c>
      <c r="AG55" s="52" t="s">
        <v>37</v>
      </c>
      <c r="AH55" s="52" t="s">
        <v>38</v>
      </c>
      <c r="AI55" s="53" t="s">
        <v>39</v>
      </c>
      <c r="AJ55" s="52" t="s">
        <v>40</v>
      </c>
      <c r="AK55" s="54" t="s">
        <v>41</v>
      </c>
      <c r="AL55" s="24"/>
      <c r="AM55" s="26"/>
      <c r="AN55" s="26"/>
      <c r="AO55" s="23"/>
      <c r="AP55" s="201"/>
    </row>
    <row r="56" spans="2:46" ht="15.75" thickBot="1"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C56" s="50" t="s">
        <v>77</v>
      </c>
      <c r="AD56" s="55">
        <f>COUNTIF(B24:AA53,"A")</f>
        <v>5</v>
      </c>
      <c r="AE56" s="55">
        <f>COUNTIF(B24:AA53,"B1")</f>
        <v>0</v>
      </c>
      <c r="AF56" s="55">
        <f>COUNTIF(B24:AA53,"B2")</f>
        <v>1</v>
      </c>
      <c r="AG56" s="55">
        <f>COUNTIF(B24:AA53,"C4")</f>
        <v>1</v>
      </c>
      <c r="AH56" s="55">
        <f>COUNTIF(B24:AA53,"C5")</f>
        <v>1</v>
      </c>
      <c r="AI56" s="55">
        <f>COUNTIF(B24:AA53,"D")</f>
        <v>1</v>
      </c>
      <c r="AJ56" s="55">
        <f>COUNTIF(B24:AA53,"E8")</f>
        <v>0</v>
      </c>
      <c r="AK56" s="55">
        <f>COUNTIF(Q24:Q53,"F9")</f>
        <v>0</v>
      </c>
      <c r="AL56" s="24"/>
      <c r="AM56" s="26"/>
      <c r="AN56" s="26"/>
      <c r="AO56" s="23"/>
      <c r="AP56" s="201"/>
    </row>
    <row r="57" spans="2:46"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L57" s="24"/>
      <c r="AM57" s="26"/>
      <c r="AN57" s="26"/>
      <c r="AO57" s="23"/>
      <c r="AP57" s="201"/>
    </row>
    <row r="58" spans="2:46">
      <c r="B58" s="47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24"/>
      <c r="AM58" s="26"/>
      <c r="AN58" s="26"/>
      <c r="AO58" s="23"/>
      <c r="AP58" s="201"/>
    </row>
    <row r="59" spans="2:46" ht="63.75" customHeight="1" thickBot="1"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24"/>
      <c r="AM59" s="26"/>
      <c r="AN59" s="26"/>
      <c r="AO59" s="23"/>
      <c r="AP59" s="201"/>
    </row>
    <row r="60" spans="2:46">
      <c r="B60" s="112" t="s">
        <v>52</v>
      </c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4"/>
      <c r="AL60" s="24"/>
      <c r="AM60" s="26"/>
      <c r="AN60" s="26"/>
      <c r="AO60" s="23"/>
      <c r="AP60" s="201"/>
    </row>
    <row r="61" spans="2:46">
      <c r="B61" s="110" t="s">
        <v>42</v>
      </c>
      <c r="C61" s="110"/>
      <c r="D61" s="110"/>
      <c r="E61" s="110"/>
      <c r="F61" s="110"/>
      <c r="G61" s="110"/>
      <c r="H61" s="110"/>
      <c r="I61" s="110"/>
      <c r="J61" s="111" t="str">
        <f>IF(S10="","",IF(S10&lt;=40%,"Pay attention in class discautions  to improve.",IF(S10&lt;=60%,"Gives up easily in dificulty and can't atempt the task.",IF(S10&lt;=75%,"What an outstandimg result. Keep up your good work.","Hard works pays, you came out with flying colours."))))</f>
        <v>What an outstandimg result. Keep up your good work.</v>
      </c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L61" s="24"/>
      <c r="AM61" s="26"/>
      <c r="AN61" s="26"/>
      <c r="AO61" s="23"/>
      <c r="AP61" s="201"/>
    </row>
    <row r="62" spans="2:46">
      <c r="B62" s="110"/>
      <c r="C62" s="110"/>
      <c r="D62" s="110"/>
      <c r="E62" s="110"/>
      <c r="F62" s="110"/>
      <c r="G62" s="110"/>
      <c r="H62" s="110"/>
      <c r="I62" s="110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L62" s="24"/>
      <c r="AM62" s="26"/>
      <c r="AN62" s="26"/>
      <c r="AO62" s="23"/>
      <c r="AP62" s="201"/>
      <c r="AT62" s="15" t="e">
        <f>AVERAGE(AT24,AT26,AT28,AT30,AT32,AT34,#REF!,#REF!,AT36,AT41,AT43,AT45,AT47,AT49,#REF!,AT51,AT53,#REF!)</f>
        <v>#REF!</v>
      </c>
    </row>
    <row r="63" spans="2:46">
      <c r="B63" s="110" t="s">
        <v>43</v>
      </c>
      <c r="C63" s="110"/>
      <c r="D63" s="110"/>
      <c r="E63" s="110"/>
      <c r="F63" s="110"/>
      <c r="G63" s="110"/>
      <c r="H63" s="110"/>
      <c r="I63" s="110"/>
      <c r="J63" s="111" t="str">
        <f>IF(S10="","",IF(S10&lt;=40%,"Pay closer attention to the class its beneficial.",IF(S10&lt;=60%,"Don't give up easily in difficulties. Put in more efforts",IF(S10&lt;=75%,"You came out with flying colours ", "What a wonderful result. You deserve a hand shake because of your good performance"))))</f>
        <v xml:space="preserve">You came out with flying colours </v>
      </c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24"/>
      <c r="AM63" s="26"/>
      <c r="AN63" s="26"/>
      <c r="AO63" s="23"/>
      <c r="AP63" s="201"/>
    </row>
    <row r="64" spans="2:46">
      <c r="B64" s="110"/>
      <c r="C64" s="110"/>
      <c r="D64" s="110"/>
      <c r="E64" s="110"/>
      <c r="F64" s="110"/>
      <c r="G64" s="110"/>
      <c r="H64" s="110"/>
      <c r="I64" s="110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24"/>
      <c r="AM64" s="26"/>
      <c r="AN64" s="26"/>
      <c r="AO64" s="23"/>
      <c r="AP64" s="201"/>
    </row>
    <row r="65" spans="1:42" ht="15.75" thickBot="1">
      <c r="AE65" s="21"/>
      <c r="AF65" s="21"/>
      <c r="AG65" s="21"/>
      <c r="AH65" s="21"/>
      <c r="AI65" s="21"/>
      <c r="AJ65" s="21"/>
      <c r="AK65" s="21"/>
      <c r="AL65" s="24"/>
      <c r="AM65" s="26"/>
      <c r="AN65" s="26"/>
      <c r="AO65" s="23"/>
      <c r="AP65" s="201"/>
    </row>
    <row r="66" spans="1:42" ht="18" thickBot="1">
      <c r="B66" s="107" t="s">
        <v>51</v>
      </c>
      <c r="C66" s="108"/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9"/>
      <c r="AL66" s="25"/>
      <c r="AM66" s="26"/>
      <c r="AN66" s="26"/>
      <c r="AO66" s="23"/>
      <c r="AP66" s="201"/>
    </row>
    <row r="67" spans="1:42">
      <c r="B67" s="225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6"/>
      <c r="P67" s="226"/>
      <c r="Q67" s="226"/>
      <c r="R67" s="226"/>
      <c r="S67" s="226"/>
      <c r="T67" s="226"/>
      <c r="U67" s="226"/>
      <c r="V67" s="226"/>
      <c r="W67" s="226"/>
      <c r="X67" s="226"/>
      <c r="Y67" s="226"/>
      <c r="Z67" s="226"/>
      <c r="AA67" s="226"/>
      <c r="AB67" s="226"/>
      <c r="AC67" s="226"/>
      <c r="AD67" s="226"/>
      <c r="AE67" s="226"/>
      <c r="AF67" s="226"/>
      <c r="AG67" s="226"/>
      <c r="AH67" s="226"/>
      <c r="AI67" s="226"/>
      <c r="AJ67" s="226"/>
      <c r="AK67" s="227"/>
      <c r="AL67" s="24"/>
      <c r="AM67" s="26"/>
      <c r="AN67" s="26"/>
      <c r="AO67" s="23"/>
      <c r="AP67" s="201"/>
    </row>
    <row r="68" spans="1:42" ht="15" customHeight="1">
      <c r="B68" s="187" t="s">
        <v>44</v>
      </c>
      <c r="C68" s="188"/>
      <c r="D68" s="188"/>
      <c r="E68" s="188"/>
      <c r="F68" s="189"/>
      <c r="G68" s="217">
        <v>46003</v>
      </c>
      <c r="H68" s="218"/>
      <c r="I68" s="218"/>
      <c r="J68" s="218"/>
      <c r="L68" s="177" t="s">
        <v>45</v>
      </c>
      <c r="M68" s="178"/>
      <c r="N68" s="178"/>
      <c r="O68" s="178"/>
      <c r="P68" s="178"/>
      <c r="Q68" s="178"/>
      <c r="R68" s="178"/>
      <c r="S68" s="178"/>
      <c r="T68" s="178"/>
      <c r="U68" s="178"/>
      <c r="V68" s="178"/>
      <c r="W68" s="178"/>
      <c r="X68" s="178"/>
      <c r="Y68" s="178"/>
      <c r="Z68" s="178"/>
      <c r="AA68" s="178"/>
      <c r="AB68" s="179"/>
      <c r="AE68" s="20"/>
      <c r="AK68" s="22"/>
      <c r="AL68" s="24"/>
      <c r="AM68" s="26"/>
      <c r="AN68" s="26"/>
      <c r="AO68" s="23"/>
      <c r="AP68" s="201"/>
    </row>
    <row r="69" spans="1:42" ht="17.25">
      <c r="B69" s="174" t="s">
        <v>46</v>
      </c>
      <c r="C69" s="175"/>
      <c r="D69" s="175"/>
      <c r="E69" s="175"/>
      <c r="F69" s="176"/>
      <c r="G69" s="217">
        <v>46357</v>
      </c>
      <c r="H69" s="218"/>
      <c r="I69" s="218"/>
      <c r="J69" s="218"/>
      <c r="L69" s="177" t="s">
        <v>47</v>
      </c>
      <c r="M69" s="178"/>
      <c r="N69" s="178"/>
      <c r="O69" s="178"/>
      <c r="P69" s="178"/>
      <c r="Q69" s="178"/>
      <c r="R69" s="178"/>
      <c r="S69" s="178"/>
      <c r="T69" s="178"/>
      <c r="U69" s="178"/>
      <c r="V69" s="178"/>
      <c r="W69" s="178"/>
      <c r="X69" s="178"/>
      <c r="Y69" s="178"/>
      <c r="Z69" s="178"/>
      <c r="AA69" s="178"/>
      <c r="AB69" s="179"/>
      <c r="AE69" s="20"/>
      <c r="AK69" s="22"/>
      <c r="AL69" s="24"/>
      <c r="AM69" s="26"/>
      <c r="AN69" s="26"/>
      <c r="AO69" s="23"/>
      <c r="AP69" s="201"/>
    </row>
    <row r="70" spans="1:42">
      <c r="B70" s="115" t="s">
        <v>54</v>
      </c>
      <c r="C70" s="116"/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7"/>
      <c r="AL70" s="24"/>
      <c r="AM70" s="26"/>
      <c r="AN70" s="26"/>
      <c r="AO70" s="23"/>
      <c r="AP70" s="201"/>
    </row>
    <row r="71" spans="1:42" ht="15.75" thickBot="1">
      <c r="B71" s="118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  <c r="AA71" s="119"/>
      <c r="AB71" s="119"/>
      <c r="AC71" s="119"/>
      <c r="AD71" s="119"/>
      <c r="AE71" s="119"/>
      <c r="AF71" s="119"/>
      <c r="AG71" s="119"/>
      <c r="AH71" s="119"/>
      <c r="AI71" s="119"/>
      <c r="AJ71" s="119"/>
      <c r="AK71" s="120"/>
      <c r="AL71" s="24"/>
      <c r="AM71" s="26"/>
      <c r="AN71" s="26"/>
      <c r="AO71" s="23"/>
      <c r="AP71" s="201"/>
    </row>
    <row r="72" spans="1:42">
      <c r="B72" s="27"/>
      <c r="C72" s="27"/>
      <c r="D72" s="5"/>
      <c r="E72" s="5"/>
      <c r="F72" s="28"/>
      <c r="G72" s="28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L72" s="24"/>
      <c r="AM72" s="26"/>
      <c r="AN72" s="26"/>
      <c r="AO72" s="23"/>
      <c r="AP72" s="201"/>
    </row>
    <row r="73" spans="1:42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L73" s="24"/>
      <c r="AM73" s="26"/>
      <c r="AN73" s="26"/>
      <c r="AO73" s="23"/>
      <c r="AP73" s="201"/>
    </row>
    <row r="74" spans="1:42">
      <c r="A74" s="106" t="s">
        <v>48</v>
      </c>
      <c r="B74" s="106"/>
      <c r="C74" s="106"/>
      <c r="D74" s="106"/>
      <c r="E74" s="106"/>
      <c r="F74" s="106"/>
      <c r="G74" s="106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M74" s="106"/>
      <c r="AN74" s="106"/>
      <c r="AO74" s="106"/>
      <c r="AP74" s="201"/>
    </row>
  </sheetData>
  <mergeCells count="161">
    <mergeCell ref="G69:J69"/>
    <mergeCell ref="AR14:AT14"/>
    <mergeCell ref="AM8:AO30"/>
    <mergeCell ref="B67:AK67"/>
    <mergeCell ref="AH31:AK31"/>
    <mergeCell ref="Y32:AA32"/>
    <mergeCell ref="AK33:AK34"/>
    <mergeCell ref="AC23:AG23"/>
    <mergeCell ref="Y24:AA24"/>
    <mergeCell ref="AC24:AG24"/>
    <mergeCell ref="AK35:AK36"/>
    <mergeCell ref="AH47:AK47"/>
    <mergeCell ref="AC40:AG41"/>
    <mergeCell ref="B47:H47"/>
    <mergeCell ref="B45:H45"/>
    <mergeCell ref="AJ38:AJ39"/>
    <mergeCell ref="AI35:AI36"/>
    <mergeCell ref="Y42:AA42"/>
    <mergeCell ref="Y43:AA43"/>
    <mergeCell ref="AC38:AG39"/>
    <mergeCell ref="B43:H43"/>
    <mergeCell ref="B41:H41"/>
    <mergeCell ref="B44:G44"/>
    <mergeCell ref="AC51:AK51"/>
    <mergeCell ref="AP8:AP74"/>
    <mergeCell ref="A1:AQ5"/>
    <mergeCell ref="H6:AI6"/>
    <mergeCell ref="B13:L13"/>
    <mergeCell ref="M13:Z13"/>
    <mergeCell ref="B15:AA15"/>
    <mergeCell ref="AC15:AK16"/>
    <mergeCell ref="B16:AA17"/>
    <mergeCell ref="F9:W9"/>
    <mergeCell ref="S10:W10"/>
    <mergeCell ref="K11:M11"/>
    <mergeCell ref="N11:S11"/>
    <mergeCell ref="T11:W11"/>
    <mergeCell ref="Z11:AA11"/>
    <mergeCell ref="AB11:AI11"/>
    <mergeCell ref="B9:D9"/>
    <mergeCell ref="B10:D10"/>
    <mergeCell ref="AJ35:AJ36"/>
    <mergeCell ref="B48:G48"/>
    <mergeCell ref="X48:AA48"/>
    <mergeCell ref="AC48:AK48"/>
    <mergeCell ref="Y49:AA49"/>
    <mergeCell ref="G68:J68"/>
    <mergeCell ref="AC49:AK49"/>
    <mergeCell ref="B69:F69"/>
    <mergeCell ref="L69:AB69"/>
    <mergeCell ref="AH35:AH36"/>
    <mergeCell ref="AH38:AH39"/>
    <mergeCell ref="B50:G50"/>
    <mergeCell ref="X50:AA50"/>
    <mergeCell ref="AC50:AK50"/>
    <mergeCell ref="B49:H49"/>
    <mergeCell ref="Y45:AA45"/>
    <mergeCell ref="B46:G46"/>
    <mergeCell ref="X46:AA46"/>
    <mergeCell ref="AC46:AG46"/>
    <mergeCell ref="AH46:AK46"/>
    <mergeCell ref="Y47:AA47"/>
    <mergeCell ref="AC47:AG47"/>
    <mergeCell ref="B68:F68"/>
    <mergeCell ref="L68:AB68"/>
    <mergeCell ref="Y51:AA51"/>
    <mergeCell ref="Y53:AA53"/>
    <mergeCell ref="B53:H53"/>
    <mergeCell ref="AC53:AK54"/>
    <mergeCell ref="B51:H51"/>
    <mergeCell ref="B42:G42"/>
    <mergeCell ref="B35:G35"/>
    <mergeCell ref="B36:H36"/>
    <mergeCell ref="B33:G33"/>
    <mergeCell ref="X33:AA33"/>
    <mergeCell ref="Y34:AA34"/>
    <mergeCell ref="AC37:AG37"/>
    <mergeCell ref="Y41:AA41"/>
    <mergeCell ref="AC35:AG36"/>
    <mergeCell ref="AC33:AG34"/>
    <mergeCell ref="B37:AA40"/>
    <mergeCell ref="AC42:AK45"/>
    <mergeCell ref="AK38:AK39"/>
    <mergeCell ref="AI38:AI39"/>
    <mergeCell ref="V19:V23"/>
    <mergeCell ref="W19:W23"/>
    <mergeCell ref="X19:X23"/>
    <mergeCell ref="Y19:AA23"/>
    <mergeCell ref="AK40:AK41"/>
    <mergeCell ref="AJ40:AJ41"/>
    <mergeCell ref="AI40:AI41"/>
    <mergeCell ref="AH40:AH41"/>
    <mergeCell ref="X27:AA27"/>
    <mergeCell ref="AC27:AG27"/>
    <mergeCell ref="Y44:AA44"/>
    <mergeCell ref="X35:AA35"/>
    <mergeCell ref="Y36:AA36"/>
    <mergeCell ref="B28:H28"/>
    <mergeCell ref="AC31:AG32"/>
    <mergeCell ref="AC21:AG22"/>
    <mergeCell ref="AI33:AI34"/>
    <mergeCell ref="T12:W12"/>
    <mergeCell ref="Z12:AB12"/>
    <mergeCell ref="AE12:AI12"/>
    <mergeCell ref="M19:M23"/>
    <mergeCell ref="N19:N23"/>
    <mergeCell ref="O19:O23"/>
    <mergeCell ref="P19:P23"/>
    <mergeCell ref="Q19:Q23"/>
    <mergeCell ref="R19:R23"/>
    <mergeCell ref="S19:S23"/>
    <mergeCell ref="T19:T23"/>
    <mergeCell ref="U19:U23"/>
    <mergeCell ref="AL7:AP7"/>
    <mergeCell ref="A74:AO74"/>
    <mergeCell ref="B66:AK66"/>
    <mergeCell ref="B63:I64"/>
    <mergeCell ref="J63:AK64"/>
    <mergeCell ref="B61:I62"/>
    <mergeCell ref="J61:AK62"/>
    <mergeCell ref="B60:AK60"/>
    <mergeCell ref="B70:AK71"/>
    <mergeCell ref="B26:H26"/>
    <mergeCell ref="Y28:AA28"/>
    <mergeCell ref="AC28:AG28"/>
    <mergeCell ref="B29:G29"/>
    <mergeCell ref="X29:AA29"/>
    <mergeCell ref="AC29:AG29"/>
    <mergeCell ref="Y30:AA30"/>
    <mergeCell ref="B31:G31"/>
    <mergeCell ref="X31:AA31"/>
    <mergeCell ref="B34:H34"/>
    <mergeCell ref="AH33:AH34"/>
    <mergeCell ref="AJ33:AJ34"/>
    <mergeCell ref="F10:J10"/>
    <mergeCell ref="B11:I11"/>
    <mergeCell ref="B30:H30"/>
    <mergeCell ref="B54:AA57"/>
    <mergeCell ref="AB9:AK9"/>
    <mergeCell ref="Z9:AA9"/>
    <mergeCell ref="Z10:AB10"/>
    <mergeCell ref="AC10:AK10"/>
    <mergeCell ref="N12:S12"/>
    <mergeCell ref="H12:M12"/>
    <mergeCell ref="B12:F12"/>
    <mergeCell ref="AH21:AK21"/>
    <mergeCell ref="N10:R10"/>
    <mergeCell ref="K10:M10"/>
    <mergeCell ref="B19:H23"/>
    <mergeCell ref="I19:I23"/>
    <mergeCell ref="J19:J23"/>
    <mergeCell ref="K19:K23"/>
    <mergeCell ref="L19:L23"/>
    <mergeCell ref="B32:H32"/>
    <mergeCell ref="B24:H24"/>
    <mergeCell ref="B25:G25"/>
    <mergeCell ref="X25:AA25"/>
    <mergeCell ref="AC25:AG25"/>
    <mergeCell ref="Y26:AA26"/>
    <mergeCell ref="AC26:AG26"/>
    <mergeCell ref="B27:G27"/>
  </mergeCells>
  <phoneticPr fontId="20" type="noConversion"/>
  <pageMargins left="0.5" right="0.01" top="0.5" bottom="0.7" header="0.3" footer="0.01"/>
  <pageSetup paperSize="9" scale="62" orientation="portrait" r:id="rId1"/>
  <headerFooter>
    <oddHeader>&amp;CPrepared by GLOBIXTECH &amp;D&amp;RPage &amp;P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ULT">
                <anchor moveWithCells="1" sizeWithCells="1">
                  <from>
                    <xdr:col>30</xdr:col>
                    <xdr:colOff>171450</xdr:colOff>
                    <xdr:row>12</xdr:row>
                    <xdr:rowOff>95250</xdr:rowOff>
                  </from>
                  <to>
                    <xdr:col>34</xdr:col>
                    <xdr:colOff>57150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SS1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BONUS DOMINUS</dc:creator>
  <cp:lastModifiedBy>Birxy Anyaegbu</cp:lastModifiedBy>
  <cp:lastPrinted>2026-01-13T02:25:02Z</cp:lastPrinted>
  <dcterms:created xsi:type="dcterms:W3CDTF">2021-11-05T03:24:00Z</dcterms:created>
  <dcterms:modified xsi:type="dcterms:W3CDTF">2026-04-19T22:58:15Z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E717D18094C74E2BBB3EE47A4B7A4954</vt:lpwstr>
  </property>
  <property fmtid="{D5CDD505-2E9C-101B-9397-08002B2CF9AE}" pid="3" name="KSOProductBuildVer">
    <vt:lpwstr>1033-11.2.0.10463</vt:lpwstr>
  </property>
</Properties>
</file>