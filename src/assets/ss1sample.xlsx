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8_{DF0B6A4C-BE51-4E1C-9FE6-74CDC2F686D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S1" sheetId="9" r:id="rId1"/>
    <sheet name="Sheet1" sheetId="10" r:id="rId2"/>
  </sheets>
  <externalReferences>
    <externalReference r:id="rId3"/>
  </externalReferences>
  <calcPr calcId="181029"/>
</workbook>
</file>

<file path=xl/calcChain.xml><?xml version="1.0" encoding="utf-8"?>
<calcChain xmlns="http://schemas.openxmlformats.org/spreadsheetml/2006/main">
  <c r="B23" i="9" l="1"/>
  <c r="AT21" i="9"/>
  <c r="AT23" i="9"/>
  <c r="AT25" i="9"/>
  <c r="AT27" i="9"/>
  <c r="AT29" i="9"/>
  <c r="AT31" i="9"/>
  <c r="AT33" i="9"/>
  <c r="AT35" i="9"/>
  <c r="AT37" i="9"/>
  <c r="AT39" i="9"/>
  <c r="AT41" i="9"/>
  <c r="AT43" i="9"/>
  <c r="AT45" i="9"/>
  <c r="AT47" i="9"/>
  <c r="AT49" i="9"/>
  <c r="AT51" i="9"/>
  <c r="AT53" i="9"/>
  <c r="W55" i="9"/>
  <c r="U55" i="9"/>
  <c r="S55" i="9"/>
  <c r="Q55" i="9"/>
  <c r="O55" i="9"/>
  <c r="M55" i="9"/>
  <c r="K55" i="9"/>
  <c r="W53" i="9"/>
  <c r="U53" i="9"/>
  <c r="S53" i="9"/>
  <c r="Q53" i="9"/>
  <c r="O53" i="9"/>
  <c r="M53" i="9"/>
  <c r="K53" i="9"/>
  <c r="I53" i="9"/>
  <c r="A52" i="9"/>
  <c r="W51" i="9"/>
  <c r="U51" i="9"/>
  <c r="S51" i="9"/>
  <c r="Q51" i="9"/>
  <c r="O51" i="9"/>
  <c r="M51" i="9"/>
  <c r="K51" i="9"/>
  <c r="I51" i="9"/>
  <c r="W49" i="9"/>
  <c r="U49" i="9"/>
  <c r="S49" i="9"/>
  <c r="Q49" i="9"/>
  <c r="O49" i="9"/>
  <c r="M49" i="9"/>
  <c r="K49" i="9"/>
  <c r="I49" i="9"/>
  <c r="AC47" i="9"/>
  <c r="S10" i="9" s="1"/>
  <c r="W47" i="9"/>
  <c r="U47" i="9"/>
  <c r="S47" i="9"/>
  <c r="Q47" i="9"/>
  <c r="O47" i="9"/>
  <c r="M47" i="9"/>
  <c r="K47" i="9"/>
  <c r="I47" i="9"/>
  <c r="W45" i="9"/>
  <c r="U45" i="9"/>
  <c r="S45" i="9"/>
  <c r="Q45" i="9"/>
  <c r="O45" i="9"/>
  <c r="M45" i="9"/>
  <c r="K45" i="9"/>
  <c r="I45" i="9"/>
  <c r="W43" i="9"/>
  <c r="U43" i="9"/>
  <c r="S43" i="9"/>
  <c r="Q43" i="9"/>
  <c r="O43" i="9"/>
  <c r="M43" i="9"/>
  <c r="K43" i="9"/>
  <c r="I43" i="9"/>
  <c r="W41" i="9"/>
  <c r="U41" i="9"/>
  <c r="S41" i="9"/>
  <c r="Q41" i="9"/>
  <c r="O41" i="9"/>
  <c r="M41" i="9"/>
  <c r="K41" i="9"/>
  <c r="I41" i="9"/>
  <c r="W39" i="9"/>
  <c r="U39" i="9"/>
  <c r="S39" i="9"/>
  <c r="Q39" i="9"/>
  <c r="O39" i="9"/>
  <c r="M39" i="9"/>
  <c r="K39" i="9"/>
  <c r="I39" i="9"/>
  <c r="W37" i="9"/>
  <c r="U37" i="9"/>
  <c r="S37" i="9"/>
  <c r="Q37" i="9"/>
  <c r="O37" i="9"/>
  <c r="M37" i="9"/>
  <c r="K37" i="9"/>
  <c r="I37" i="9"/>
  <c r="W35" i="9"/>
  <c r="U35" i="9"/>
  <c r="S35" i="9"/>
  <c r="Q35" i="9"/>
  <c r="O35" i="9"/>
  <c r="M35" i="9"/>
  <c r="K35" i="9"/>
  <c r="I35" i="9"/>
  <c r="W33" i="9"/>
  <c r="U33" i="9"/>
  <c r="S33" i="9"/>
  <c r="Q33" i="9"/>
  <c r="O33" i="9"/>
  <c r="M33" i="9"/>
  <c r="K33" i="9"/>
  <c r="I33" i="9"/>
  <c r="W31" i="9"/>
  <c r="U31" i="9"/>
  <c r="S31" i="9"/>
  <c r="Q31" i="9"/>
  <c r="O31" i="9"/>
  <c r="M31" i="9"/>
  <c r="K31" i="9"/>
  <c r="I31" i="9"/>
  <c r="W29" i="9"/>
  <c r="U29" i="9"/>
  <c r="S29" i="9"/>
  <c r="Q29" i="9"/>
  <c r="O29" i="9"/>
  <c r="M29" i="9"/>
  <c r="K29" i="9"/>
  <c r="I29" i="9"/>
  <c r="W27" i="9"/>
  <c r="U27" i="9"/>
  <c r="S27" i="9"/>
  <c r="Q27" i="9"/>
  <c r="O27" i="9"/>
  <c r="M27" i="9"/>
  <c r="K27" i="9"/>
  <c r="I27" i="9"/>
  <c r="W25" i="9"/>
  <c r="U25" i="9"/>
  <c r="S25" i="9"/>
  <c r="Q25" i="9"/>
  <c r="O25" i="9"/>
  <c r="M25" i="9"/>
  <c r="K25" i="9"/>
  <c r="I25" i="9"/>
  <c r="W23" i="9"/>
  <c r="U23" i="9"/>
  <c r="S23" i="9"/>
  <c r="Q23" i="9"/>
  <c r="O23" i="9"/>
  <c r="M23" i="9"/>
  <c r="K23" i="9"/>
  <c r="I23" i="9"/>
  <c r="W21" i="9"/>
  <c r="U21" i="9"/>
  <c r="S21" i="9"/>
  <c r="Q21" i="9"/>
  <c r="O21" i="9"/>
  <c r="M21" i="9"/>
  <c r="K21" i="9"/>
  <c r="I21" i="9"/>
  <c r="J12" i="9"/>
  <c r="AF10" i="9"/>
  <c r="F10" i="9"/>
  <c r="T11" i="9"/>
  <c r="F9" i="9"/>
  <c r="I55" i="9"/>
  <c r="B55" i="9"/>
  <c r="B53" i="9"/>
  <c r="B51" i="9"/>
  <c r="B49" i="9"/>
  <c r="B45" i="9"/>
  <c r="B41" i="9"/>
  <c r="B39" i="9"/>
  <c r="B37" i="9"/>
  <c r="B35" i="9"/>
  <c r="B33" i="9"/>
  <c r="B31" i="9"/>
  <c r="B29" i="9"/>
  <c r="B27" i="9"/>
  <c r="B25" i="9"/>
  <c r="B21" i="9"/>
  <c r="AC12" i="9"/>
  <c r="K11" i="9"/>
  <c r="Y21" i="9" l="1"/>
  <c r="Y23" i="9"/>
  <c r="Y27" i="9"/>
  <c r="Y29" i="9"/>
  <c r="Y31" i="9"/>
  <c r="Y37" i="9"/>
  <c r="Y41" i="9"/>
  <c r="Y43" i="9"/>
  <c r="AT55" i="9"/>
  <c r="Y55" i="9" s="1"/>
  <c r="Y49" i="9" l="1"/>
  <c r="Y47" i="9"/>
  <c r="Y33" i="9"/>
  <c r="Y45" i="9"/>
  <c r="Y53" i="9"/>
  <c r="Y51" i="9"/>
  <c r="Y39" i="9"/>
  <c r="Y35" i="9"/>
  <c r="Y25" i="9"/>
  <c r="T12" i="9" l="1"/>
  <c r="AT60" i="9"/>
  <c r="AC49" i="9" l="1"/>
  <c r="J61" i="9"/>
  <c r="J59" i="9"/>
  <c r="AJ55" i="9" l="1"/>
  <c r="AE55" i="9"/>
  <c r="AG55" i="9"/>
  <c r="AI55" i="9"/>
  <c r="AK55" i="9"/>
  <c r="AD55" i="9"/>
  <c r="AF55" i="9"/>
  <c r="AH55" i="9"/>
</calcChain>
</file>

<file path=xl/sharedStrings.xml><?xml version="1.0" encoding="utf-8"?>
<sst xmlns="http://schemas.openxmlformats.org/spreadsheetml/2006/main" count="184" uniqueCount="170">
  <si>
    <t>NAME :</t>
  </si>
  <si>
    <t>REG NO:</t>
  </si>
  <si>
    <t>SEX :</t>
  </si>
  <si>
    <t>POSITION :</t>
  </si>
  <si>
    <t>CLASS POPULATION :</t>
  </si>
  <si>
    <t>AVERAGE :</t>
  </si>
  <si>
    <t>CLASS:</t>
  </si>
  <si>
    <t>ACADEMIC PERFORMANCE</t>
  </si>
  <si>
    <t>SUBJECTS</t>
  </si>
  <si>
    <t>REMARKS</t>
  </si>
  <si>
    <t>BEHAVIOURS</t>
  </si>
  <si>
    <t>RATINGS</t>
  </si>
  <si>
    <t>ATTENTIVENESS</t>
  </si>
  <si>
    <t>√</t>
  </si>
  <si>
    <t>HONESTY</t>
  </si>
  <si>
    <t>NEATNESS</t>
  </si>
  <si>
    <t>POLITENESS</t>
  </si>
  <si>
    <t>PUNCTUALITY</t>
  </si>
  <si>
    <t>CONFIDENCE</t>
  </si>
  <si>
    <t>ATTITUDE</t>
  </si>
  <si>
    <t>SKILLS</t>
  </si>
  <si>
    <t>RATING</t>
  </si>
  <si>
    <t>LISTENING SKILLS</t>
  </si>
  <si>
    <t>HAND WRITING</t>
  </si>
  <si>
    <t>SPOKEN ENGLISH</t>
  </si>
  <si>
    <t>READING SKILLS</t>
  </si>
  <si>
    <t>HOME WORK</t>
  </si>
  <si>
    <t>OUTDOOR GAMES</t>
  </si>
  <si>
    <t>VOCATIONAL SKILLS</t>
  </si>
  <si>
    <t>4=GOOD</t>
  </si>
  <si>
    <t>3=NORMAL</t>
  </si>
  <si>
    <t>2=FAIR</t>
  </si>
  <si>
    <t>1=FAIR</t>
  </si>
  <si>
    <t>TOTAL SCORE</t>
  </si>
  <si>
    <t>PASSED/FAILED</t>
  </si>
  <si>
    <t>TOTAL NUMBER OF GRADE</t>
  </si>
  <si>
    <t>GD</t>
  </si>
  <si>
    <t>A</t>
  </si>
  <si>
    <t>B1</t>
  </si>
  <si>
    <t>B2</t>
  </si>
  <si>
    <t>C4</t>
  </si>
  <si>
    <t>C5</t>
  </si>
  <si>
    <t>D</t>
  </si>
  <si>
    <t>E8</t>
  </si>
  <si>
    <t>F9</t>
  </si>
  <si>
    <t>No</t>
  </si>
  <si>
    <t>PRINCIPAL'S COMMENT</t>
  </si>
  <si>
    <t>TEACHER'S COMMENT</t>
  </si>
  <si>
    <t>TERM ENDS:</t>
  </si>
  <si>
    <t>PRINCIPAL</t>
  </si>
  <si>
    <t>TERM BEGINS:</t>
  </si>
  <si>
    <t>MRS ETUZU UGOMA ANITA</t>
  </si>
  <si>
    <t>PROMOTION STAUS</t>
  </si>
  <si>
    <r>
      <rPr>
        <sz val="11"/>
        <color theme="1"/>
        <rFont val="Bahnschrift Condensed"/>
        <family val="2"/>
      </rPr>
      <t xml:space="preserve">POWERED BY GLOBIXTECH contact: </t>
    </r>
    <r>
      <rPr>
        <sz val="10"/>
        <color theme="1"/>
        <rFont val="Bahnschrift Condensed"/>
        <family val="2"/>
      </rPr>
      <t>globixtechinc@outlook.com</t>
    </r>
  </si>
  <si>
    <t>BEHAVIOUR
SECTION</t>
  </si>
  <si>
    <t>POSITION</t>
  </si>
  <si>
    <t>PRINCIPAL SECTION</t>
  </si>
  <si>
    <t>COMMENTRY SECTION</t>
  </si>
  <si>
    <t>R E S U L T S H E E T</t>
  </si>
  <si>
    <t>SS1</t>
  </si>
  <si>
    <t>CA1(20)</t>
  </si>
  <si>
    <t>CA2(20)</t>
  </si>
  <si>
    <t>EXAM(60)</t>
  </si>
  <si>
    <t>MIN.</t>
  </si>
  <si>
    <t>MAX.</t>
  </si>
  <si>
    <t>CLUB</t>
  </si>
  <si>
    <t>DATE OF BIRTH</t>
  </si>
  <si>
    <t>TOTAL (100)</t>
  </si>
  <si>
    <t>GRADE</t>
  </si>
  <si>
    <t>NOTE: THIS RESULT CONTAINS GENERAL STUDENT PERFORMANCE FOR A TERM</t>
  </si>
  <si>
    <t>HOUSE</t>
  </si>
  <si>
    <t>=</t>
  </si>
  <si>
    <t>ANIMAL HUS.</t>
  </si>
  <si>
    <t>CIVIC EDU.</t>
  </si>
  <si>
    <t>First Term   Report Sheet for 2025/2026</t>
  </si>
  <si>
    <t>🎄✨ Merry Christmas! Wishing you a blessed holiday season 🎁❤️. Remember, education is the key to success 📚🔑!</t>
  </si>
  <si>
    <t>BDS/22/001</t>
  </si>
  <si>
    <t>AMA LIGHT NNEOMA</t>
  </si>
  <si>
    <t>BDS/22/002</t>
  </si>
  <si>
    <t>AMADI OLUEBUBE TESTIMONY</t>
  </si>
  <si>
    <t>BDS/22/003</t>
  </si>
  <si>
    <t>AMAECHI BRIGHT</t>
  </si>
  <si>
    <t>BDS/22/006</t>
  </si>
  <si>
    <t>ALOZIE CHIEMELA PROSPER</t>
  </si>
  <si>
    <t>BDS/22/007</t>
  </si>
  <si>
    <t>CHINEDU CHIDERA</t>
  </si>
  <si>
    <t>BDS/22/008</t>
  </si>
  <si>
    <t>CHIONYE BRIGHT</t>
  </si>
  <si>
    <t>BDS/22/010</t>
  </si>
  <si>
    <t xml:space="preserve"> ENYINNAYA EXCEL MIRACLE </t>
  </si>
  <si>
    <t>BDS/22/012</t>
  </si>
  <si>
    <t>OGBONNAYA FAVOUR IFEOMA</t>
  </si>
  <si>
    <t>BDS/22/013</t>
  </si>
  <si>
    <t>UBADIRE FORTUNE EMMANUEL</t>
  </si>
  <si>
    <t>BDS/22/015</t>
  </si>
  <si>
    <t>IHEME SOLOMON</t>
  </si>
  <si>
    <t>BDS/22/017</t>
  </si>
  <si>
    <t>IWUCHUKWU PRECIOUS</t>
  </si>
  <si>
    <t>BDS/22/019</t>
  </si>
  <si>
    <t>KELECHI KING DAVID</t>
  </si>
  <si>
    <t>BDS/22/021</t>
  </si>
  <si>
    <t>NDUBUISI CHISOM</t>
  </si>
  <si>
    <t>BDS/22/023</t>
  </si>
  <si>
    <t>NDULAKA CHIMAMANDA</t>
  </si>
  <si>
    <t>BDS/22/026</t>
  </si>
  <si>
    <t>OKORO WINNER</t>
  </si>
  <si>
    <t>BDS/22/027</t>
  </si>
  <si>
    <t>ONONOBI AMARACHI</t>
  </si>
  <si>
    <t>BDS/22/029</t>
  </si>
  <si>
    <t>RICHARD GOODLUCK</t>
  </si>
  <si>
    <t>BDS/22/033</t>
  </si>
  <si>
    <t>UKPABI NOBLE MUNACHI</t>
  </si>
  <si>
    <t>BDS/22/034</t>
  </si>
  <si>
    <t xml:space="preserve">VICTOR VICTORY </t>
  </si>
  <si>
    <t>BDS/22/036</t>
  </si>
  <si>
    <t xml:space="preserve"> CHIBUZOR  WISDOM</t>
  </si>
  <si>
    <t>BDS/22/038</t>
  </si>
  <si>
    <t>EMMANUEL CHISOM MICHAEL</t>
  </si>
  <si>
    <t>BDS/22/043</t>
  </si>
  <si>
    <t>Chidiebere Joshua Ikechukwu</t>
  </si>
  <si>
    <t>BDS/22/046</t>
  </si>
  <si>
    <t>Lawrence Chibuike Prince</t>
  </si>
  <si>
    <t>BDS/22/047</t>
  </si>
  <si>
    <t>Onyema FAVOUR ADAEZE</t>
  </si>
  <si>
    <t>BDS/22/053</t>
  </si>
  <si>
    <t>JOSEPH CHIDERA</t>
  </si>
  <si>
    <t>BDS/22/054</t>
  </si>
  <si>
    <t>KINGSELY GOSPEL</t>
  </si>
  <si>
    <t>BDS/22/059</t>
  </si>
  <si>
    <t>OBIOMA WISDOM</t>
  </si>
  <si>
    <t>BDS/22/060</t>
  </si>
  <si>
    <t>UKONMADU GOODLUCK</t>
  </si>
  <si>
    <t>BDS/22/061</t>
  </si>
  <si>
    <t>CHIAZOR VIVIAN</t>
  </si>
  <si>
    <t>BDS/22/062</t>
  </si>
  <si>
    <t>UGORJI DEBORAH</t>
  </si>
  <si>
    <t>BDS/22/063</t>
  </si>
  <si>
    <t>EKEMEZIE KAMSI</t>
  </si>
  <si>
    <t>BDS/22/064</t>
  </si>
  <si>
    <t>AKANDU CHISOM ADA</t>
  </si>
  <si>
    <t>BDS/22/065</t>
  </si>
  <si>
    <t>AHAMEFULA KING JUDE</t>
  </si>
  <si>
    <t>BDS/22/066</t>
  </si>
  <si>
    <t>ANOCHIE BLESSING</t>
  </si>
  <si>
    <t>BDS/22/067</t>
  </si>
  <si>
    <t>CHIGOZIRIM ANNOINTING</t>
  </si>
  <si>
    <t>BDS/22/068</t>
  </si>
  <si>
    <t>EZI DIVINE</t>
  </si>
  <si>
    <t>BDS/22/069</t>
  </si>
  <si>
    <t>EZUMA FAVOUR</t>
  </si>
  <si>
    <t>BDS/22/070</t>
  </si>
  <si>
    <t>GABRIEL MUNACHIMSO</t>
  </si>
  <si>
    <t>BDS/22/071</t>
  </si>
  <si>
    <t>IKECHI MERCY</t>
  </si>
  <si>
    <t>BDS/22/072</t>
  </si>
  <si>
    <t>IKECHUKWU OBINNA</t>
  </si>
  <si>
    <t>BDS/22/073</t>
  </si>
  <si>
    <t>JOHNSON NMESOMA</t>
  </si>
  <si>
    <t>BDS/22/074</t>
  </si>
  <si>
    <t>NDUKA DIVINE</t>
  </si>
  <si>
    <t>BDS/22/075</t>
  </si>
  <si>
    <t>SUNDAY DIVINE</t>
  </si>
  <si>
    <t>BDS/22/076</t>
  </si>
  <si>
    <t>JOHN PRECIOUS</t>
  </si>
  <si>
    <t>BDS/22/077</t>
  </si>
  <si>
    <t>AKAHARA FAVOUR</t>
  </si>
  <si>
    <t>BDS/22/078</t>
  </si>
  <si>
    <t>UFFOR CHINEDU IGNATIUS</t>
  </si>
  <si>
    <t>BDS/22/079</t>
  </si>
  <si>
    <t xml:space="preserve">AJUZIE JUNIOR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</si>
</sst>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;\-0;\—;@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Bahnschrift SemiLight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ahnschrift Condensed"/>
      <family val="2"/>
    </font>
    <font>
      <sz val="10"/>
      <color theme="1"/>
      <name val="Bahnschrift Condensed"/>
      <family val="2"/>
    </font>
    <font>
      <sz val="12"/>
      <color theme="1"/>
      <name val="Arial"/>
      <family val="2"/>
    </font>
    <font>
      <sz val="13"/>
      <color theme="1"/>
      <name val="Bahnschrift"/>
      <family val="2"/>
    </font>
    <font>
      <sz val="13"/>
      <color theme="1"/>
      <name val="Arial"/>
      <family val="2"/>
    </font>
    <font>
      <b/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1"/>
      <name val="Arial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rgb="FF00B0F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8" tint="-0.499984740745262"/>
      </left>
      <right/>
      <top/>
      <bottom/>
      <diagonal/>
    </border>
    <border>
      <left/>
      <right style="thick">
        <color theme="8" tint="-0.499984740745262"/>
      </right>
      <top/>
      <bottom/>
      <diagonal/>
    </border>
    <border>
      <left style="thick">
        <color theme="8" tint="-0.499984740745262"/>
      </left>
      <right/>
      <top/>
      <bottom style="thin">
        <color auto="1"/>
      </bottom>
      <diagonal/>
    </border>
    <border>
      <left style="thick">
        <color theme="8" tint="-0.499984740745262"/>
      </left>
      <right/>
      <top/>
      <bottom style="thick">
        <color theme="8" tint="-0.499984740745262"/>
      </bottom>
      <diagonal/>
    </border>
    <border>
      <left/>
      <right/>
      <top/>
      <bottom style="thick">
        <color theme="8" tint="-0.499984740745262"/>
      </bottom>
      <diagonal/>
    </border>
    <border>
      <left/>
      <right style="thick">
        <color theme="8" tint="-0.499984740745262"/>
      </right>
      <top/>
      <bottom style="thick">
        <color theme="8" tint="-0.4999847407452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auto="1"/>
      </right>
      <top/>
      <bottom style="medium">
        <color theme="1"/>
      </bottom>
      <diagonal/>
    </border>
    <border>
      <left style="medium">
        <color theme="1"/>
      </left>
      <right style="medium">
        <color auto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ck">
        <color auto="1"/>
      </bottom>
      <diagonal/>
    </border>
    <border>
      <left style="mediumDashed">
        <color auto="1"/>
      </left>
      <right/>
      <top style="mediumDashed">
        <color auto="1"/>
      </top>
      <bottom style="mediumDashed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thick">
        <color theme="8" tint="-0.499984740745262"/>
      </left>
      <right/>
      <top style="thick">
        <color theme="8" tint="-0.499984740745262"/>
      </top>
      <bottom/>
      <diagonal/>
    </border>
    <border>
      <left/>
      <right/>
      <top style="thick">
        <color theme="8" tint="-0.499984740745262"/>
      </top>
      <bottom/>
      <diagonal/>
    </border>
    <border>
      <left/>
      <right style="thick">
        <color theme="8" tint="-0.499984740745262"/>
      </right>
      <top style="thick">
        <color theme="8" tint="-0.499984740745262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ck">
        <color theme="8" tint="-0.499984740745262"/>
      </bottom>
      <diagonal/>
    </border>
    <border>
      <left/>
      <right/>
      <top/>
      <bottom style="slantDashDot">
        <color auto="1"/>
      </bottom>
      <diagonal/>
    </border>
  </borders>
  <cellStyleXfs count="5">
    <xf numFmtId="0" fontId="0" fillId="0" borderId="0"/>
    <xf numFmtId="0" fontId="5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9" fillId="7" borderId="0" applyNumberFormat="0" applyBorder="0" applyAlignment="0" applyProtection="0"/>
  </cellStyleXfs>
  <cellXfs count="183">
    <xf numFmtId="0" fontId="0" fillId="0" borderId="0" xfId="0"/>
    <xf numFmtId="0" fontId="4" fillId="0" borderId="0" xfId="0" applyFont="1"/>
    <xf numFmtId="0" fontId="4" fillId="2" borderId="1" xfId="0" applyFont="1" applyFill="1" applyBorder="1"/>
    <xf numFmtId="0" fontId="4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2" borderId="1" xfId="0" applyFill="1" applyBorder="1"/>
    <xf numFmtId="0" fontId="4" fillId="0" borderId="5" xfId="0" applyFont="1" applyBorder="1" applyAlignment="1">
      <alignment vertical="center"/>
    </xf>
    <xf numFmtId="0" fontId="0" fillId="0" borderId="5" xfId="0" applyBorder="1"/>
    <xf numFmtId="0" fontId="8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10" xfId="0" applyBorder="1"/>
    <xf numFmtId="0" fontId="0" fillId="0" borderId="29" xfId="0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12" borderId="0" xfId="0" applyFill="1"/>
    <xf numFmtId="0" fontId="0" fillId="11" borderId="0" xfId="0" applyFill="1"/>
    <xf numFmtId="0" fontId="0" fillId="11" borderId="0" xfId="0" applyFill="1" applyAlignment="1">
      <alignment vertical="center"/>
    </xf>
    <xf numFmtId="0" fontId="0" fillId="9" borderId="0" xfId="0" applyFill="1" applyAlignment="1">
      <alignment vertical="center" textRotation="255"/>
    </xf>
    <xf numFmtId="0" fontId="10" fillId="5" borderId="0" xfId="0" applyFont="1" applyFill="1"/>
    <xf numFmtId="0" fontId="0" fillId="5" borderId="0" xfId="0" applyFill="1"/>
    <xf numFmtId="0" fontId="10" fillId="5" borderId="9" xfId="0" applyFont="1" applyFill="1" applyBorder="1"/>
    <xf numFmtId="0" fontId="10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4" fillId="7" borderId="0" xfId="4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6" borderId="0" xfId="2" applyFont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14" fillId="6" borderId="30" xfId="2" applyFont="1" applyBorder="1" applyAlignment="1">
      <alignment horizontal="center" vertical="center"/>
    </xf>
    <xf numFmtId="0" fontId="10" fillId="5" borderId="0" xfId="0" applyFont="1" applyFill="1" applyAlignment="1">
      <alignment vertical="center"/>
    </xf>
    <xf numFmtId="166" fontId="14" fillId="6" borderId="0" xfId="2" applyNumberFormat="1" applyFont="1" applyBorder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6" fontId="14" fillId="7" borderId="0" xfId="4" applyNumberFormat="1" applyFont="1" applyBorder="1" applyAlignment="1">
      <alignment horizontal="center" vertical="center"/>
    </xf>
    <xf numFmtId="166" fontId="14" fillId="7" borderId="0" xfId="0" applyNumberFormat="1" applyFont="1" applyFill="1" applyAlignment="1">
      <alignment horizontal="center" vertical="center"/>
    </xf>
    <xf numFmtId="166" fontId="14" fillId="6" borderId="0" xfId="0" applyNumberFormat="1" applyFont="1" applyFill="1" applyAlignment="1">
      <alignment horizontal="center" vertical="center"/>
    </xf>
    <xf numFmtId="166" fontId="14" fillId="6" borderId="20" xfId="0" applyNumberFormat="1" applyFont="1" applyFill="1" applyBorder="1" applyAlignment="1">
      <alignment horizontal="center" vertical="center"/>
    </xf>
    <xf numFmtId="166" fontId="14" fillId="0" borderId="20" xfId="0" applyNumberFormat="1" applyFont="1" applyBorder="1" applyAlignment="1">
      <alignment horizontal="center" vertical="center"/>
    </xf>
    <xf numFmtId="166" fontId="14" fillId="6" borderId="20" xfId="2" applyNumberFormat="1" applyFont="1" applyBorder="1" applyAlignment="1">
      <alignment horizontal="center" vertical="center"/>
    </xf>
    <xf numFmtId="0" fontId="20" fillId="4" borderId="0" xfId="1" applyFont="1" applyBorder="1"/>
    <xf numFmtId="0" fontId="20" fillId="4" borderId="0" xfId="1" applyFont="1" applyBorder="1" applyAlignment="1">
      <alignment vertical="center"/>
    </xf>
    <xf numFmtId="0" fontId="20" fillId="4" borderId="0" xfId="1" applyFont="1" applyBorder="1" applyAlignment="1"/>
    <xf numFmtId="0" fontId="18" fillId="4" borderId="16" xfId="0" applyFont="1" applyFill="1" applyBorder="1"/>
    <xf numFmtId="0" fontId="18" fillId="4" borderId="0" xfId="0" applyFont="1" applyFill="1"/>
    <xf numFmtId="166" fontId="14" fillId="6" borderId="42" xfId="2" applyNumberFormat="1" applyFont="1" applyBorder="1" applyAlignment="1">
      <alignment horizontal="center" vertical="center"/>
    </xf>
    <xf numFmtId="166" fontId="14" fillId="0" borderId="42" xfId="0" applyNumberFormat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6" borderId="42" xfId="2" applyFont="1" applyBorder="1" applyAlignment="1">
      <alignment horizontal="center" vertical="center"/>
    </xf>
    <xf numFmtId="0" fontId="1" fillId="0" borderId="0" xfId="0" applyFont="1"/>
    <xf numFmtId="0" fontId="14" fillId="7" borderId="0" xfId="4" applyFont="1" applyBorder="1" applyAlignment="1">
      <alignment horizontal="center" vertical="center"/>
    </xf>
    <xf numFmtId="0" fontId="14" fillId="7" borderId="17" xfId="4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6" borderId="42" xfId="2" applyFont="1" applyBorder="1" applyAlignment="1">
      <alignment horizontal="center" vertical="center"/>
    </xf>
    <xf numFmtId="0" fontId="14" fillId="6" borderId="43" xfId="2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10" borderId="0" xfId="0" applyFont="1" applyFill="1" applyAlignment="1">
      <alignment horizont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5" borderId="37" xfId="0" applyFont="1" applyFill="1" applyBorder="1" applyAlignment="1">
      <alignment horizontal="center" vertical="center"/>
    </xf>
    <xf numFmtId="0" fontId="19" fillId="5" borderId="38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textRotation="255"/>
    </xf>
    <xf numFmtId="0" fontId="18" fillId="3" borderId="16" xfId="3" applyFont="1" applyBorder="1" applyAlignment="1">
      <alignment horizontal="center"/>
    </xf>
    <xf numFmtId="0" fontId="18" fillId="3" borderId="0" xfId="3" applyFont="1" applyBorder="1" applyAlignment="1">
      <alignment horizontal="center"/>
    </xf>
    <xf numFmtId="0" fontId="14" fillId="6" borderId="0" xfId="2" applyFont="1" applyBorder="1" applyAlignment="1">
      <alignment horizontal="center" vertical="center"/>
    </xf>
    <xf numFmtId="0" fontId="14" fillId="6" borderId="17" xfId="2" applyFont="1" applyBorder="1" applyAlignment="1">
      <alignment horizontal="center" vertical="center"/>
    </xf>
    <xf numFmtId="0" fontId="20" fillId="4" borderId="16" xfId="1" applyFont="1" applyBorder="1" applyAlignment="1">
      <alignment horizontal="center"/>
    </xf>
    <xf numFmtId="0" fontId="20" fillId="4" borderId="0" xfId="1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5" borderId="9" xfId="0" applyFont="1" applyFill="1" applyBorder="1"/>
    <xf numFmtId="0" fontId="16" fillId="5" borderId="0" xfId="0" applyFont="1" applyFill="1"/>
    <xf numFmtId="0" fontId="10" fillId="5" borderId="0" xfId="0" applyFont="1" applyFill="1" applyAlignment="1">
      <alignment horizontal="left"/>
    </xf>
    <xf numFmtId="0" fontId="13" fillId="5" borderId="2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21" fillId="6" borderId="44" xfId="2" applyFont="1" applyBorder="1" applyAlignment="1">
      <alignment horizontal="center" vertical="center" textRotation="90"/>
    </xf>
    <xf numFmtId="0" fontId="21" fillId="6" borderId="45" xfId="2" applyFont="1" applyBorder="1" applyAlignment="1">
      <alignment horizontal="center" vertical="center" textRotation="90"/>
    </xf>
    <xf numFmtId="0" fontId="21" fillId="6" borderId="46" xfId="2" applyFont="1" applyBorder="1" applyAlignment="1">
      <alignment horizontal="center" vertical="center" textRotation="90"/>
    </xf>
    <xf numFmtId="0" fontId="21" fillId="6" borderId="44" xfId="2" applyFont="1" applyBorder="1" applyAlignment="1">
      <alignment horizontal="center" vertical="center" textRotation="45"/>
    </xf>
    <xf numFmtId="0" fontId="21" fillId="6" borderId="45" xfId="2" applyFont="1" applyBorder="1" applyAlignment="1">
      <alignment horizontal="center" vertical="center" textRotation="45"/>
    </xf>
    <xf numFmtId="0" fontId="21" fillId="6" borderId="46" xfId="2" applyFont="1" applyBorder="1" applyAlignment="1">
      <alignment horizontal="center" vertical="center" textRotation="45"/>
    </xf>
    <xf numFmtId="0" fontId="10" fillId="5" borderId="44" xfId="0" applyFont="1" applyFill="1" applyBorder="1" applyAlignment="1">
      <alignment horizontal="center" vertical="center"/>
    </xf>
    <xf numFmtId="0" fontId="10" fillId="5" borderId="45" xfId="0" applyFont="1" applyFill="1" applyBorder="1" applyAlignment="1">
      <alignment horizontal="center" vertical="center"/>
    </xf>
    <xf numFmtId="0" fontId="10" fillId="5" borderId="46" xfId="0" applyFont="1" applyFill="1" applyBorder="1" applyAlignment="1">
      <alignment horizontal="center" vertical="center"/>
    </xf>
    <xf numFmtId="0" fontId="21" fillId="6" borderId="44" xfId="2" applyFont="1" applyBorder="1" applyAlignment="1">
      <alignment horizontal="center" vertical="center" textRotation="90" wrapText="1"/>
    </xf>
    <xf numFmtId="0" fontId="21" fillId="6" borderId="45" xfId="2" applyFont="1" applyBorder="1" applyAlignment="1">
      <alignment horizontal="center" vertical="center" textRotation="90" wrapText="1"/>
    </xf>
    <xf numFmtId="0" fontId="21" fillId="6" borderId="46" xfId="2" applyFont="1" applyBorder="1" applyAlignment="1">
      <alignment horizontal="center" vertical="center" textRotation="90" wrapText="1"/>
    </xf>
    <xf numFmtId="0" fontId="20" fillId="4" borderId="16" xfId="1" applyFont="1" applyBorder="1" applyAlignment="1">
      <alignment horizontal="center" wrapText="1"/>
    </xf>
    <xf numFmtId="0" fontId="20" fillId="4" borderId="0" xfId="1" applyFont="1" applyBorder="1" applyAlignment="1">
      <alignment horizontal="center" wrapText="1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14" fontId="17" fillId="0" borderId="40" xfId="0" applyNumberFormat="1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22" fillId="5" borderId="7" xfId="0" applyNumberFormat="1" applyFont="1" applyFill="1" applyBorder="1" applyAlignment="1">
      <alignment horizontal="center"/>
    </xf>
    <xf numFmtId="0" fontId="22" fillId="5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7" fillId="0" borderId="40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wrapText="1"/>
    </xf>
    <xf numFmtId="0" fontId="0" fillId="11" borderId="33" xfId="0" applyFill="1" applyBorder="1" applyAlignment="1">
      <alignment horizontal="left" vertical="center" wrapText="1"/>
    </xf>
    <xf numFmtId="0" fontId="14" fillId="6" borderId="0" xfId="0" applyFont="1" applyFill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16" fillId="5" borderId="0" xfId="0" applyFont="1" applyFill="1" applyAlignment="1">
      <alignment vertical="center"/>
    </xf>
    <xf numFmtId="0" fontId="22" fillId="5" borderId="0" xfId="0" applyFont="1" applyFill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2" fillId="5" borderId="7" xfId="0" applyFont="1" applyFill="1" applyBorder="1" applyAlignment="1">
      <alignment horizontal="center"/>
    </xf>
    <xf numFmtId="0" fontId="22" fillId="5" borderId="0" xfId="0" applyFont="1" applyFill="1" applyAlignment="1">
      <alignment horizontal="center" vertical="center"/>
    </xf>
    <xf numFmtId="165" fontId="22" fillId="5" borderId="2" xfId="0" applyNumberFormat="1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21" fillId="3" borderId="44" xfId="3" applyFont="1" applyBorder="1" applyAlignment="1">
      <alignment horizontal="center" vertical="center" textRotation="45"/>
    </xf>
    <xf numFmtId="0" fontId="21" fillId="3" borderId="45" xfId="3" applyFont="1" applyBorder="1" applyAlignment="1">
      <alignment horizontal="center" vertical="center" textRotation="45"/>
    </xf>
    <xf numFmtId="0" fontId="21" fillId="3" borderId="46" xfId="3" applyFont="1" applyBorder="1" applyAlignment="1">
      <alignment horizontal="center" vertical="center" textRotation="45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18" fillId="3" borderId="41" xfId="3" applyFont="1" applyBorder="1" applyAlignment="1">
      <alignment horizontal="center"/>
    </xf>
    <xf numFmtId="0" fontId="18" fillId="3" borderId="42" xfId="3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5">
    <cellStyle name="20% - Accent2" xfId="2" builtinId="34"/>
    <cellStyle name="20% - Accent3" xfId="3" builtinId="38"/>
    <cellStyle name="40% - Accent5" xfId="4" builtinId="47"/>
    <cellStyle name="60% - Accent1" xfId="1" builtinId="3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5" Type="http://schemas.openxmlformats.org/officeDocument/2006/relationships/image" Target="../media/image7.PNG"/><Relationship Id="rId4" Type="http://schemas.openxmlformats.org/officeDocument/2006/relationships/image" Target="../media/image6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109904</xdr:colOff>
      <xdr:row>63</xdr:row>
      <xdr:rowOff>179174</xdr:rowOff>
    </xdr:from>
    <xdr:to>
      <xdr:col>36</xdr:col>
      <xdr:colOff>188613</xdr:colOff>
      <xdr:row>67</xdr:row>
      <xdr:rowOff>122267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5635" y="14459347"/>
          <a:ext cx="1602709" cy="822323"/>
        </a:xfrm>
        <a:prstGeom prst="rect">
          <a:avLst/>
        </a:prstGeom>
      </xdr:spPr>
    </xdr:pic>
    <xdr:clientData/>
  </xdr:twoCellAnchor>
  <xdr:twoCellAnchor editAs="oneCell">
    <xdr:from>
      <xdr:col>37</xdr:col>
      <xdr:colOff>11906</xdr:colOff>
      <xdr:row>25</xdr:row>
      <xdr:rowOff>47628</xdr:rowOff>
    </xdr:from>
    <xdr:to>
      <xdr:col>40</xdr:col>
      <xdr:colOff>130965</xdr:colOff>
      <xdr:row>50</xdr:row>
      <xdr:rowOff>107158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634631" y="7247934"/>
          <a:ext cx="5066109" cy="654841"/>
        </a:xfrm>
        <a:prstGeom prst="rect">
          <a:avLst/>
        </a:prstGeom>
      </xdr:spPr>
    </xdr:pic>
    <xdr:clientData/>
  </xdr:twoCellAnchor>
  <xdr:twoCellAnchor>
    <xdr:from>
      <xdr:col>0</xdr:col>
      <xdr:colOff>133351</xdr:colOff>
      <xdr:row>0</xdr:row>
      <xdr:rowOff>2382</xdr:rowOff>
    </xdr:from>
    <xdr:to>
      <xdr:col>41</xdr:col>
      <xdr:colOff>1</xdr:colOff>
      <xdr:row>5</xdr:row>
      <xdr:rowOff>154781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33351" y="2382"/>
          <a:ext cx="9010650" cy="1104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BONUS DOMINUS NURSERY,</a:t>
          </a:r>
          <a:r>
            <a:rPr lang="en-US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PRIMARY </a:t>
          </a:r>
          <a:endParaRPr lang="en-US" sz="1600">
            <a:effectLst/>
          </a:endParaRPr>
        </a:p>
        <a:p>
          <a:pPr algn="ctr"/>
          <a:r>
            <a:rPr lang="en-US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&amp; SECONDARY SCHOOL</a:t>
          </a:r>
          <a:endParaRPr lang="en-US" sz="1600">
            <a:effectLst/>
          </a:endParaRPr>
        </a:p>
        <a:p>
          <a:pPr algn="ctr"/>
          <a:r>
            <a:rPr lang="en-US" sz="1400" b="0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ookman Old Style" panose="02050604050505020204" pitchFamily="18" charset="0"/>
              <a:ea typeface="+mn-ea"/>
              <a:cs typeface="+mn-cs"/>
            </a:rPr>
            <a:t>5A - 5C UZOANYA CRESCENT, AMUZUKWU, UMUAHIA,</a:t>
          </a:r>
        </a:p>
        <a:p>
          <a:pPr algn="ctr"/>
          <a:r>
            <a:rPr lang="en-US" sz="1400" b="0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ookman Old Style" panose="02050604050505020204" pitchFamily="18" charset="0"/>
              <a:ea typeface="+mn-ea"/>
              <a:cs typeface="+mn-cs"/>
            </a:rPr>
            <a:t> ABIA STATE </a:t>
          </a:r>
          <a:endParaRPr lang="en-US" sz="1400" b="0">
            <a:effectLst/>
            <a:latin typeface="Bookman Old Style" panose="02050604050505020204" pitchFamily="18" charset="0"/>
          </a:endParaRPr>
        </a:p>
        <a:p>
          <a:pPr algn="ctr"/>
          <a:endParaRPr lang="en-US" sz="1100" b="0">
            <a:latin typeface="Bookman Old Style" panose="02050604050505020204" pitchFamily="18" charset="0"/>
          </a:endParaRPr>
        </a:p>
      </xdr:txBody>
    </xdr:sp>
    <xdr:clientData/>
  </xdr:twoCellAnchor>
  <xdr:twoCellAnchor editAs="oneCell">
    <xdr:from>
      <xdr:col>35</xdr:col>
      <xdr:colOff>152037</xdr:colOff>
      <xdr:row>0</xdr:row>
      <xdr:rowOff>117229</xdr:rowOff>
    </xdr:from>
    <xdr:to>
      <xdr:col>40</xdr:col>
      <xdr:colOff>148006</xdr:colOff>
      <xdr:row>5</xdr:row>
      <xdr:rowOff>7325</xdr:rowOff>
    </xdr:to>
    <xdr:pic>
      <xdr:nvPicPr>
        <xdr:cNvPr id="13" name="Picture 12" descr="Cabeça O Boneco &lt;strong&gt;Avatar&lt;/strong&gt; · Imagens grátis no Pixabay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396" y="117229"/>
          <a:ext cx="912751" cy="842596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178592</xdr:colOff>
      <xdr:row>0</xdr:row>
      <xdr:rowOff>83344</xdr:rowOff>
    </xdr:from>
    <xdr:to>
      <xdr:col>6</xdr:col>
      <xdr:colOff>148828</xdr:colOff>
      <xdr:row>5</xdr:row>
      <xdr:rowOff>162415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2" y="83344"/>
          <a:ext cx="1041799" cy="1031571"/>
        </a:xfrm>
        <a:prstGeom prst="rect">
          <a:avLst/>
        </a:prstGeom>
      </xdr:spPr>
    </xdr:pic>
    <xdr:clientData/>
  </xdr:twoCellAnchor>
  <xdr:twoCellAnchor editAs="oneCell">
    <xdr:from>
      <xdr:col>24</xdr:col>
      <xdr:colOff>95249</xdr:colOff>
      <xdr:row>55</xdr:row>
      <xdr:rowOff>47624</xdr:rowOff>
    </xdr:from>
    <xdr:to>
      <xdr:col>36</xdr:col>
      <xdr:colOff>179406</xdr:colOff>
      <xdr:row>56</xdr:row>
      <xdr:rowOff>767953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4030" y="10816827"/>
          <a:ext cx="2834499" cy="92273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55</xdr:row>
      <xdr:rowOff>59531</xdr:rowOff>
    </xdr:from>
    <xdr:to>
      <xdr:col>24</xdr:col>
      <xdr:colOff>59531</xdr:colOff>
      <xdr:row>57</xdr:row>
      <xdr:rowOff>34460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78594" y="12186047"/>
          <a:ext cx="5673328" cy="9869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C.A 1 is continous assessment of 20marks.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C.A 2 is continous assessment of 20marks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Examinations of 60marks total score .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of 100marks is the sum of C.A 1, C.A 2 and Exams.                                </a:t>
          </a:r>
          <a:endParaRPr lang="en-US">
            <a:effectLst/>
          </a:endParaRPr>
        </a:p>
        <a:p>
          <a:pPr algn="ctr"/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Min. stands for lowest class mark per subject, Max. stands for highest class mark per subject and Postion is the grade performance compared to the whole class. A photocopy of this result is to be submitted to your form teacher for school database and verification.                                </a:t>
          </a:r>
          <a:endParaRPr lang="en-US">
            <a:effectLst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12</xdr:row>
          <xdr:rowOff>142875</xdr:rowOff>
        </xdr:from>
        <xdr:to>
          <xdr:col>35</xdr:col>
          <xdr:colOff>152400</xdr:colOff>
          <xdr:row>13</xdr:row>
          <xdr:rowOff>190500</xdr:rowOff>
        </xdr:to>
        <xdr:sp macro="" textlink="">
          <xdr:nvSpPr>
            <xdr:cNvPr id="1041" name="CommandButton1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19050</xdr:colOff>
          <xdr:row>4</xdr:row>
          <xdr:rowOff>133350</xdr:rowOff>
        </xdr:from>
        <xdr:to>
          <xdr:col>35</xdr:col>
          <xdr:colOff>9525</xdr:colOff>
          <xdr:row>5</xdr:row>
          <xdr:rowOff>133350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20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Computer\OneDrive\Documents\20252026\SS%201%20MAIN%20RESULT\SS%201%20-%20Copy.xlsx" TargetMode="External"/><Relationship Id="rId1" Type="http://schemas.openxmlformats.org/officeDocument/2006/relationships/externalLinkPath" Target="file:///E:\20252026\SS%201%20MAIN%20RESULT\SS%201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 Data Entry Sheet"/>
      <sheetName val="Marksheet"/>
      <sheetName val="Marksheet T2"/>
      <sheetName val="student sheet"/>
      <sheetName val="student sheet T2"/>
      <sheetName val="Sheet1"/>
      <sheetName val="Basic Data Entry Sheet T1"/>
      <sheetName val="Basic Data Entry Sheet T2"/>
      <sheetName val="Sheet2"/>
      <sheetName val="student detail"/>
      <sheetName val="student sheet T1"/>
      <sheetName val="Marksheet T1"/>
      <sheetName val="Sheet3"/>
      <sheetName val="POSITION"/>
    </sheetNames>
    <sheetDataSet>
      <sheetData sheetId="0">
        <row r="18">
          <cell r="G18">
            <v>80</v>
          </cell>
        </row>
        <row r="19">
          <cell r="G19">
            <v>70</v>
          </cell>
        </row>
        <row r="20">
          <cell r="G20">
            <v>60</v>
          </cell>
        </row>
        <row r="21">
          <cell r="G21">
            <v>50</v>
          </cell>
        </row>
        <row r="22">
          <cell r="G22">
            <v>45</v>
          </cell>
        </row>
        <row r="23">
          <cell r="G23">
            <v>40</v>
          </cell>
        </row>
        <row r="24">
          <cell r="G24">
            <v>35</v>
          </cell>
        </row>
      </sheetData>
      <sheetData sheetId="1">
        <row r="8">
          <cell r="D8" t="str">
            <v>ENGLISH LANG.</v>
          </cell>
          <cell r="I8" t="str">
            <v>MATHEMATICS</v>
          </cell>
          <cell r="N8" t="str">
            <v>IGBO LANG.</v>
          </cell>
          <cell r="S8" t="str">
            <v>BIOLOGY</v>
          </cell>
          <cell r="X8" t="str">
            <v>CHEMISTRY</v>
          </cell>
          <cell r="AC8" t="str">
            <v>PHYSICS</v>
          </cell>
          <cell r="AH8" t="str">
            <v>CRS</v>
          </cell>
          <cell r="AM8" t="str">
            <v>LITERATURE</v>
          </cell>
          <cell r="AR8" t="str">
            <v>AGRIC SCIENCE</v>
          </cell>
          <cell r="AW8" t="str">
            <v>ECONOMICS</v>
          </cell>
          <cell r="BB8" t="str">
            <v>GEOGRAPHY</v>
          </cell>
          <cell r="BL8" t="str">
            <v>GOVERNMENT</v>
          </cell>
          <cell r="BV8" t="str">
            <v>COMP. SCIENCE</v>
          </cell>
          <cell r="CA8" t="str">
            <v>MARKETING</v>
          </cell>
          <cell r="CF8" t="str">
            <v>HISTORY</v>
          </cell>
          <cell r="CK8" t="str">
            <v>FRENCH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REG. No.</v>
          </cell>
          <cell r="B1" t="str">
            <v>Name</v>
          </cell>
          <cell r="C1" t="str">
            <v>SEX</v>
          </cell>
          <cell r="D1" t="str">
            <v>D.O.B</v>
          </cell>
          <cell r="E1" t="str">
            <v>CLUB</v>
          </cell>
          <cell r="F1" t="str">
            <v>Column1</v>
          </cell>
        </row>
        <row r="2">
          <cell r="A2" t="str">
            <v>BDS/22/001</v>
          </cell>
          <cell r="B2" t="str">
            <v>AMA LIGHT NNEOMA</v>
          </cell>
          <cell r="C2" t="str">
            <v>FEMALE</v>
          </cell>
          <cell r="D2" t="str">
            <v>24/08/2012</v>
          </cell>
          <cell r="E2" t="str">
            <v>DRAMA</v>
          </cell>
          <cell r="F2" t="str">
            <v>BLUE</v>
          </cell>
        </row>
        <row r="3">
          <cell r="A3" t="str">
            <v>BDS/22/002</v>
          </cell>
          <cell r="B3" t="str">
            <v>AMADI OLUEBUBE TESTIMONY</v>
          </cell>
          <cell r="C3" t="str">
            <v>MALE</v>
          </cell>
          <cell r="D3">
            <v>40524</v>
          </cell>
          <cell r="E3" t="str">
            <v>JET</v>
          </cell>
          <cell r="F3" t="str">
            <v>YELLOW</v>
          </cell>
        </row>
        <row r="4">
          <cell r="A4" t="str">
            <v>BDS/22/003</v>
          </cell>
          <cell r="B4" t="str">
            <v>AMAECHI BRIGHT</v>
          </cell>
          <cell r="C4" t="str">
            <v>MALE</v>
          </cell>
          <cell r="D4" t="str">
            <v>31/01/2012</v>
          </cell>
          <cell r="E4" t="str">
            <v>DRAMA</v>
          </cell>
          <cell r="F4" t="str">
            <v>BLUE</v>
          </cell>
        </row>
        <row r="5">
          <cell r="A5" t="str">
            <v>BDS/22/006</v>
          </cell>
          <cell r="B5" t="str">
            <v>ALOZIE CHIEMELA PROSPER</v>
          </cell>
          <cell r="C5" t="str">
            <v>MALE</v>
          </cell>
          <cell r="D5" t="str">
            <v>26/07/2011</v>
          </cell>
          <cell r="E5" t="str">
            <v>DRAMA</v>
          </cell>
          <cell r="F5" t="str">
            <v>YELLOW</v>
          </cell>
        </row>
        <row r="6">
          <cell r="A6" t="str">
            <v>BDS/22/007</v>
          </cell>
          <cell r="B6" t="str">
            <v>CHINEDU CHIDERA</v>
          </cell>
          <cell r="C6" t="str">
            <v>FEMALE</v>
          </cell>
          <cell r="D6" t="str">
            <v>13/03/2013</v>
          </cell>
          <cell r="E6" t="str">
            <v>JET</v>
          </cell>
          <cell r="F6" t="str">
            <v>GREEN</v>
          </cell>
        </row>
        <row r="7">
          <cell r="A7" t="str">
            <v>BDS/22/008</v>
          </cell>
          <cell r="B7" t="str">
            <v>CHIONYE BRIGHT</v>
          </cell>
          <cell r="C7" t="str">
            <v>MALE</v>
          </cell>
          <cell r="D7" t="str">
            <v>19/07/2012</v>
          </cell>
          <cell r="E7" t="str">
            <v>DRAMA</v>
          </cell>
          <cell r="F7" t="str">
            <v>BLUE</v>
          </cell>
        </row>
        <row r="8">
          <cell r="A8" t="str">
            <v>BDS/22/010</v>
          </cell>
          <cell r="B8" t="str">
            <v xml:space="preserve"> ENYINNAYA EXCEL MIRACLE </v>
          </cell>
          <cell r="C8" t="str">
            <v>MALE</v>
          </cell>
          <cell r="D8" t="str">
            <v>13/05/2009</v>
          </cell>
          <cell r="E8" t="str">
            <v>DRAMA</v>
          </cell>
          <cell r="F8" t="str">
            <v>YELLOW</v>
          </cell>
        </row>
        <row r="9">
          <cell r="A9" t="str">
            <v>BDS/22/012</v>
          </cell>
          <cell r="B9" t="str">
            <v>OGBONNAYA FAVOUR IFEOMA</v>
          </cell>
          <cell r="C9" t="str">
            <v>FEMALE</v>
          </cell>
          <cell r="D9" t="str">
            <v>13/05/2010</v>
          </cell>
          <cell r="E9" t="str">
            <v xml:space="preserve">SINGING </v>
          </cell>
          <cell r="F9" t="str">
            <v>GREEN</v>
          </cell>
        </row>
        <row r="10">
          <cell r="A10" t="str">
            <v>BDS/22/013</v>
          </cell>
          <cell r="B10" t="str">
            <v>UBADIRE FORTUNE EMMANUEL</v>
          </cell>
          <cell r="C10" t="str">
            <v>MALE</v>
          </cell>
          <cell r="D10" t="str">
            <v>14/01/2012</v>
          </cell>
          <cell r="E10" t="str">
            <v>JET</v>
          </cell>
        </row>
        <row r="11">
          <cell r="A11" t="str">
            <v>BDS/22/015</v>
          </cell>
          <cell r="B11" t="str">
            <v>IHEME SOLOMON</v>
          </cell>
          <cell r="C11" t="str">
            <v>MALE</v>
          </cell>
          <cell r="D11" t="str">
            <v>14/01/2012</v>
          </cell>
          <cell r="E11" t="str">
            <v>DRAMA</v>
          </cell>
          <cell r="F11" t="str">
            <v>RED</v>
          </cell>
        </row>
        <row r="12">
          <cell r="A12" t="str">
            <v>BDS/22/017</v>
          </cell>
          <cell r="B12" t="str">
            <v>IWUCHUKWU PRECIOUS</v>
          </cell>
          <cell r="C12" t="str">
            <v>FEMALE</v>
          </cell>
          <cell r="D12" t="str">
            <v>27/05/2011</v>
          </cell>
          <cell r="E12" t="str">
            <v>DRAMA</v>
          </cell>
          <cell r="F12" t="str">
            <v>YELLOW</v>
          </cell>
        </row>
        <row r="13">
          <cell r="A13" t="str">
            <v>BDS/22/019</v>
          </cell>
          <cell r="B13" t="str">
            <v>KELECHI KING DAVID</v>
          </cell>
          <cell r="C13" t="str">
            <v>MALE</v>
          </cell>
          <cell r="D13" t="str">
            <v>22/11/2012</v>
          </cell>
          <cell r="E13" t="str">
            <v>JET</v>
          </cell>
          <cell r="F13" t="str">
            <v>GREEN</v>
          </cell>
        </row>
        <row r="14">
          <cell r="A14" t="str">
            <v>BDS/22/021</v>
          </cell>
          <cell r="B14" t="str">
            <v>NDUBUISI CHISOM</v>
          </cell>
          <cell r="C14" t="str">
            <v>FEMALE</v>
          </cell>
          <cell r="D14" t="str">
            <v>22/11/2012</v>
          </cell>
          <cell r="E14" t="str">
            <v>DRAMA</v>
          </cell>
          <cell r="F14" t="str">
            <v>YELLOW</v>
          </cell>
        </row>
        <row r="15">
          <cell r="A15" t="str">
            <v>BDS/22/023</v>
          </cell>
          <cell r="B15" t="str">
            <v>NDULAKA CHIMAMANDA</v>
          </cell>
          <cell r="C15" t="str">
            <v>FEMALE</v>
          </cell>
          <cell r="D15" t="str">
            <v>30/05/2012</v>
          </cell>
          <cell r="E15" t="str">
            <v xml:space="preserve">SINGING </v>
          </cell>
          <cell r="F15" t="str">
            <v>BLUE</v>
          </cell>
        </row>
        <row r="16">
          <cell r="A16" t="str">
            <v>BDS/22/026</v>
          </cell>
          <cell r="B16" t="str">
            <v>OKORO WINNER</v>
          </cell>
          <cell r="C16" t="str">
            <v>FEMALE</v>
          </cell>
          <cell r="D16" t="str">
            <v>15/06/2010</v>
          </cell>
          <cell r="E16" t="str">
            <v>CULTURAL</v>
          </cell>
          <cell r="F16" t="str">
            <v>YELLOW</v>
          </cell>
        </row>
        <row r="17">
          <cell r="A17" t="str">
            <v>BDS/22/027</v>
          </cell>
          <cell r="B17" t="str">
            <v>ONONOBI AMARACHI</v>
          </cell>
          <cell r="C17" t="str">
            <v>FEMALE</v>
          </cell>
          <cell r="D17" t="str">
            <v>20/09/2012</v>
          </cell>
          <cell r="E17" t="str">
            <v>DRAMA</v>
          </cell>
          <cell r="F17" t="str">
            <v>BLUE</v>
          </cell>
        </row>
        <row r="18">
          <cell r="A18" t="str">
            <v>BDS/22/029</v>
          </cell>
          <cell r="B18" t="str">
            <v>RICHARD GOODLUCK</v>
          </cell>
          <cell r="C18" t="str">
            <v>FEMALE</v>
          </cell>
          <cell r="D18">
            <v>39668</v>
          </cell>
          <cell r="E18" t="str">
            <v>CULTURAL</v>
          </cell>
          <cell r="F18" t="str">
            <v>RED</v>
          </cell>
        </row>
        <row r="19">
          <cell r="A19" t="str">
            <v>BDS/22/033</v>
          </cell>
          <cell r="B19" t="str">
            <v>UKPABI NOBLE MUNACHI</v>
          </cell>
          <cell r="C19" t="str">
            <v>MALE</v>
          </cell>
          <cell r="D19">
            <v>40888</v>
          </cell>
          <cell r="E19" t="str">
            <v>JET</v>
          </cell>
        </row>
        <row r="20">
          <cell r="A20" t="str">
            <v>BDS/22/034</v>
          </cell>
          <cell r="B20" t="str">
            <v xml:space="preserve">VICTOR VICTORY </v>
          </cell>
          <cell r="C20" t="str">
            <v>MALE</v>
          </cell>
          <cell r="D20">
            <v>40779</v>
          </cell>
          <cell r="E20" t="str">
            <v>CULTURAL</v>
          </cell>
        </row>
        <row r="21">
          <cell r="A21" t="str">
            <v>BDS/22/036</v>
          </cell>
          <cell r="B21" t="str">
            <v xml:space="preserve"> CHIBUZOR  WISDOM</v>
          </cell>
          <cell r="C21" t="str">
            <v>MALE</v>
          </cell>
          <cell r="D21">
            <v>41072</v>
          </cell>
          <cell r="E21" t="str">
            <v xml:space="preserve">JET </v>
          </cell>
        </row>
        <row r="22">
          <cell r="A22" t="str">
            <v>BDS/22/038</v>
          </cell>
          <cell r="B22" t="str">
            <v>EMMANUEL CHISOM MICHAEL</v>
          </cell>
          <cell r="C22" t="str">
            <v>MALE</v>
          </cell>
          <cell r="D22" t="str">
            <v>NILL</v>
          </cell>
          <cell r="E22" t="str">
            <v>JET</v>
          </cell>
        </row>
        <row r="23">
          <cell r="A23" t="str">
            <v>BDS/22/043</v>
          </cell>
          <cell r="B23" t="str">
            <v>Chidiebere Joshua Ikechukwu</v>
          </cell>
          <cell r="C23" t="str">
            <v>MALE</v>
          </cell>
          <cell r="D23" t="str">
            <v>NILL</v>
          </cell>
        </row>
        <row r="24">
          <cell r="A24" t="str">
            <v>BDS/22/046</v>
          </cell>
          <cell r="B24" t="str">
            <v>Lawrence Chibuike Prince</v>
          </cell>
          <cell r="C24" t="str">
            <v>MALE</v>
          </cell>
          <cell r="D24" t="str">
            <v>NILL</v>
          </cell>
        </row>
        <row r="25">
          <cell r="A25" t="str">
            <v>BDS/22/047</v>
          </cell>
          <cell r="B25" t="str">
            <v>Onyema FAVOUR ADAEZE</v>
          </cell>
          <cell r="C25" t="str">
            <v>FEMALE</v>
          </cell>
          <cell r="D25" t="str">
            <v>NILL</v>
          </cell>
        </row>
        <row r="26">
          <cell r="A26" t="str">
            <v>BDS/22/053</v>
          </cell>
          <cell r="B26" t="str">
            <v>JOSEPH CHIDERA</v>
          </cell>
          <cell r="C26" t="str">
            <v>FEMALE</v>
          </cell>
          <cell r="D26" t="str">
            <v>NILL</v>
          </cell>
        </row>
        <row r="27">
          <cell r="A27" t="str">
            <v>BDS/22/054</v>
          </cell>
          <cell r="B27" t="str">
            <v>KINGSELY GOSPEL</v>
          </cell>
          <cell r="C27" t="str">
            <v>MALE</v>
          </cell>
          <cell r="D27" t="str">
            <v>NILL</v>
          </cell>
        </row>
        <row r="28">
          <cell r="A28" t="str">
            <v>BDS/22/059</v>
          </cell>
          <cell r="B28" t="str">
            <v>OBIOMA WISDOM</v>
          </cell>
          <cell r="C28" t="str">
            <v>MALE</v>
          </cell>
        </row>
        <row r="29">
          <cell r="A29" t="str">
            <v>BDS/22/060</v>
          </cell>
          <cell r="B29" t="str">
            <v>UKONMADU GOODLUCK</v>
          </cell>
          <cell r="C29" t="str">
            <v>MALE</v>
          </cell>
        </row>
        <row r="30">
          <cell r="A30" t="str">
            <v>BDS/22/061</v>
          </cell>
          <cell r="B30" t="str">
            <v>CHIAZOR VIVIAN</v>
          </cell>
          <cell r="C30" t="str">
            <v>FEMALE</v>
          </cell>
        </row>
        <row r="31">
          <cell r="A31" t="str">
            <v>BDS/22/062</v>
          </cell>
          <cell r="B31" t="str">
            <v>UGORJI DEBORAH</v>
          </cell>
          <cell r="C31" t="str">
            <v>FEMALE</v>
          </cell>
        </row>
        <row r="32">
          <cell r="A32" t="str">
            <v>BDS/22/063</v>
          </cell>
          <cell r="B32" t="str">
            <v>EKEMEZIE KAMSI</v>
          </cell>
          <cell r="C32" t="str">
            <v>FEMALE</v>
          </cell>
        </row>
        <row r="33">
          <cell r="A33" t="str">
            <v>BDS/22/064</v>
          </cell>
          <cell r="B33" t="str">
            <v>AKANDU CHISOM ADA</v>
          </cell>
          <cell r="C33" t="str">
            <v>FEMALE</v>
          </cell>
        </row>
        <row r="34">
          <cell r="A34" t="str">
            <v>BDS/22/065</v>
          </cell>
          <cell r="B34" t="str">
            <v>AHAMEFULA KING JUDE</v>
          </cell>
        </row>
        <row r="35">
          <cell r="A35" t="str">
            <v>BDS/22/066</v>
          </cell>
          <cell r="B35" t="str">
            <v>ANOCHIE BLESSING</v>
          </cell>
        </row>
        <row r="36">
          <cell r="A36" t="str">
            <v>BDS/22/067</v>
          </cell>
          <cell r="B36" t="str">
            <v>CHIGOZIRIM ANNOINTING</v>
          </cell>
        </row>
        <row r="37">
          <cell r="A37" t="str">
            <v>BDS/22/068</v>
          </cell>
          <cell r="B37" t="str">
            <v>EZI DIVINE</v>
          </cell>
        </row>
        <row r="38">
          <cell r="A38" t="str">
            <v>BDS/22/069</v>
          </cell>
          <cell r="B38" t="str">
            <v>EZUMA FAVOUR</v>
          </cell>
        </row>
        <row r="39">
          <cell r="A39" t="str">
            <v>BDS/22/070</v>
          </cell>
          <cell r="B39" t="str">
            <v>GABRIEL MUNACHIMSO</v>
          </cell>
        </row>
        <row r="40">
          <cell r="A40" t="str">
            <v>BDS/22/071</v>
          </cell>
          <cell r="B40" t="str">
            <v>IKECHI MERCY</v>
          </cell>
        </row>
        <row r="41">
          <cell r="A41" t="str">
            <v>BDS/22/072</v>
          </cell>
          <cell r="B41" t="str">
            <v>IKECHUKWU OBINNA</v>
          </cell>
        </row>
        <row r="42">
          <cell r="A42" t="str">
            <v>BDS/22/073</v>
          </cell>
          <cell r="B42" t="str">
            <v>JOHNSON NMESOMA</v>
          </cell>
        </row>
        <row r="43">
          <cell r="A43" t="str">
            <v>BDS/22/074</v>
          </cell>
          <cell r="B43" t="str">
            <v>NDUKA DIVINE</v>
          </cell>
        </row>
        <row r="44">
          <cell r="A44" t="str">
            <v>BDS/22/075</v>
          </cell>
          <cell r="B44" t="str">
            <v>SUNDAY DIVINE</v>
          </cell>
        </row>
        <row r="45">
          <cell r="A45" t="str">
            <v>BDS/22/076</v>
          </cell>
          <cell r="B45" t="str">
            <v>JOHN PRECIOUS</v>
          </cell>
        </row>
        <row r="46">
          <cell r="A46" t="str">
            <v>BDS/22/077</v>
          </cell>
          <cell r="B46" t="str">
            <v>AKAHARA FAVOUR</v>
          </cell>
        </row>
        <row r="47">
          <cell r="A47" t="str">
            <v>BDS/22/078</v>
          </cell>
          <cell r="B47" t="str">
            <v>UFFOR CHINEDU IGNATIUS</v>
          </cell>
        </row>
        <row r="48">
          <cell r="A48" t="str">
            <v>BDS/22/079</v>
          </cell>
          <cell r="B48" t="str">
            <v xml:space="preserve">AJUZIE JUNIOR </v>
          </cell>
        </row>
        <row r="49">
          <cell r="A49" t="str">
            <v>BDS/22/080</v>
          </cell>
        </row>
        <row r="50">
          <cell r="A50" t="str">
            <v>BDS/22/081</v>
          </cell>
        </row>
      </sheetData>
      <sheetData sheetId="10"/>
      <sheetData sheetId="11">
        <row r="11">
          <cell r="A11" t="str">
            <v>BDS/22/001</v>
          </cell>
          <cell r="B11" t="str">
            <v>AMA LIGHT NNEOMA</v>
          </cell>
          <cell r="C11" t="str">
            <v>FEMALE</v>
          </cell>
          <cell r="D11" t="str">
            <v>24/08/2012</v>
          </cell>
          <cell r="E11" t="str">
            <v>DRAMA</v>
          </cell>
          <cell r="F11">
            <v>20</v>
          </cell>
          <cell r="G11">
            <v>20</v>
          </cell>
          <cell r="H11">
            <v>39</v>
          </cell>
          <cell r="I11">
            <v>79</v>
          </cell>
          <cell r="J11">
            <v>79</v>
          </cell>
          <cell r="K11" t="str">
            <v>B1</v>
          </cell>
          <cell r="L11">
            <v>20</v>
          </cell>
          <cell r="M11">
            <v>15</v>
          </cell>
          <cell r="N11">
            <v>4</v>
          </cell>
          <cell r="O11">
            <v>39</v>
          </cell>
          <cell r="P11">
            <v>39</v>
          </cell>
          <cell r="Q11" t="str">
            <v>E8</v>
          </cell>
          <cell r="R11">
            <v>6</v>
          </cell>
          <cell r="S11">
            <v>20</v>
          </cell>
          <cell r="T11">
            <v>30</v>
          </cell>
          <cell r="U11">
            <v>56</v>
          </cell>
          <cell r="V11">
            <v>56.000000000000007</v>
          </cell>
          <cell r="W11" t="str">
            <v>C4</v>
          </cell>
          <cell r="X11">
            <v>11</v>
          </cell>
          <cell r="Y11">
            <v>11</v>
          </cell>
          <cell r="Z11">
            <v>28</v>
          </cell>
          <cell r="AA11">
            <v>50</v>
          </cell>
          <cell r="AB11">
            <v>50</v>
          </cell>
          <cell r="AC11" t="str">
            <v>C5</v>
          </cell>
          <cell r="AD11">
            <v>10</v>
          </cell>
          <cell r="AE11">
            <v>10</v>
          </cell>
          <cell r="AF11">
            <v>22</v>
          </cell>
          <cell r="AG11">
            <v>42</v>
          </cell>
          <cell r="AH11">
            <v>42</v>
          </cell>
          <cell r="AI11" t="str">
            <v>D</v>
          </cell>
          <cell r="AJ11">
            <v>18</v>
          </cell>
          <cell r="AK11">
            <v>18</v>
          </cell>
          <cell r="AL11">
            <v>29</v>
          </cell>
          <cell r="AM11">
            <v>65</v>
          </cell>
          <cell r="AN11">
            <v>65</v>
          </cell>
          <cell r="AO11" t="str">
            <v>B2</v>
          </cell>
          <cell r="AP11">
            <v>14</v>
          </cell>
          <cell r="AQ11">
            <v>10</v>
          </cell>
          <cell r="AR11">
            <v>48</v>
          </cell>
          <cell r="AS11">
            <v>72</v>
          </cell>
          <cell r="AT11">
            <v>72</v>
          </cell>
          <cell r="AU11" t="str">
            <v>B1</v>
          </cell>
          <cell r="AV11">
            <v>15</v>
          </cell>
          <cell r="AW11">
            <v>20</v>
          </cell>
          <cell r="AX11">
            <v>52</v>
          </cell>
          <cell r="AY11">
            <v>87</v>
          </cell>
          <cell r="AZ11">
            <v>87</v>
          </cell>
          <cell r="BA11" t="str">
            <v>A</v>
          </cell>
          <cell r="BB11">
            <v>5</v>
          </cell>
          <cell r="BC11">
            <v>8</v>
          </cell>
          <cell r="BD11">
            <v>31</v>
          </cell>
          <cell r="BE11">
            <v>44</v>
          </cell>
          <cell r="BF11">
            <v>44</v>
          </cell>
          <cell r="BG11" t="str">
            <v>D</v>
          </cell>
          <cell r="BH11">
            <v>10</v>
          </cell>
          <cell r="BI11">
            <v>7</v>
          </cell>
          <cell r="BJ11">
            <v>13</v>
          </cell>
          <cell r="BK11">
            <v>30</v>
          </cell>
          <cell r="BL11">
            <v>30</v>
          </cell>
          <cell r="BM11" t="str">
            <v>F9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 t="str">
            <v>F9</v>
          </cell>
          <cell r="BT11">
            <v>18</v>
          </cell>
          <cell r="BU11">
            <v>9</v>
          </cell>
          <cell r="BV11">
            <v>18</v>
          </cell>
          <cell r="BW11">
            <v>45</v>
          </cell>
          <cell r="BX11">
            <v>45</v>
          </cell>
          <cell r="BY11" t="str">
            <v>D</v>
          </cell>
          <cell r="BZ11">
            <v>20</v>
          </cell>
          <cell r="CA11">
            <v>20</v>
          </cell>
          <cell r="CB11">
            <v>55</v>
          </cell>
          <cell r="CC11">
            <v>95</v>
          </cell>
          <cell r="CD11">
            <v>95</v>
          </cell>
          <cell r="CE11" t="str">
            <v>A</v>
          </cell>
          <cell r="CF11">
            <v>14</v>
          </cell>
          <cell r="CG11">
            <v>14</v>
          </cell>
          <cell r="CH11">
            <v>21</v>
          </cell>
          <cell r="CI11">
            <v>49</v>
          </cell>
          <cell r="CJ11">
            <v>49</v>
          </cell>
          <cell r="CK11" t="str">
            <v>C5</v>
          </cell>
          <cell r="CL11">
            <v>20</v>
          </cell>
          <cell r="CM11">
            <v>6</v>
          </cell>
          <cell r="CN11">
            <v>10</v>
          </cell>
          <cell r="CO11">
            <v>36</v>
          </cell>
          <cell r="CP11">
            <v>36</v>
          </cell>
          <cell r="CQ11" t="str">
            <v>E8</v>
          </cell>
          <cell r="CR11">
            <v>0</v>
          </cell>
          <cell r="CS11">
            <v>20</v>
          </cell>
          <cell r="CT11">
            <v>26</v>
          </cell>
          <cell r="CU11">
            <v>46</v>
          </cell>
          <cell r="CV11">
            <v>46</v>
          </cell>
          <cell r="CW11" t="str">
            <v>C5</v>
          </cell>
          <cell r="CX11">
            <v>20</v>
          </cell>
          <cell r="CY11">
            <v>20</v>
          </cell>
          <cell r="CZ11">
            <v>50</v>
          </cell>
          <cell r="DA11">
            <v>90</v>
          </cell>
          <cell r="DB11">
            <v>90</v>
          </cell>
          <cell r="DC11" t="str">
            <v>A</v>
          </cell>
          <cell r="DD11">
            <v>19</v>
          </cell>
          <cell r="DE11">
            <v>17</v>
          </cell>
          <cell r="DF11">
            <v>13</v>
          </cell>
          <cell r="DG11">
            <v>49</v>
          </cell>
          <cell r="DH11">
            <v>49</v>
          </cell>
          <cell r="DI11" t="str">
            <v>C5</v>
          </cell>
          <cell r="DJ11">
            <v>974</v>
          </cell>
          <cell r="DK11">
            <v>974</v>
          </cell>
          <cell r="DL11">
            <v>0.57294117647058829</v>
          </cell>
          <cell r="DM11" t="str">
            <v>35th</v>
          </cell>
          <cell r="DN11">
            <v>79</v>
          </cell>
          <cell r="DO11">
            <v>26</v>
          </cell>
          <cell r="DP11">
            <v>96</v>
          </cell>
          <cell r="DQ11" t="str">
            <v>21st</v>
          </cell>
          <cell r="DR11">
            <v>39</v>
          </cell>
          <cell r="DS11">
            <v>0</v>
          </cell>
          <cell r="DT11">
            <v>90</v>
          </cell>
          <cell r="DU11" t="str">
            <v>45th</v>
          </cell>
          <cell r="DV11">
            <v>56</v>
          </cell>
          <cell r="DW11">
            <v>0</v>
          </cell>
          <cell r="DX11">
            <v>78</v>
          </cell>
          <cell r="DY11" t="str">
            <v>22nd</v>
          </cell>
          <cell r="DZ11">
            <v>50</v>
          </cell>
          <cell r="EA11">
            <v>10</v>
          </cell>
          <cell r="EB11">
            <v>93</v>
          </cell>
          <cell r="EC11" t="str">
            <v>29th</v>
          </cell>
          <cell r="ED11">
            <v>42</v>
          </cell>
          <cell r="EE11">
            <v>0</v>
          </cell>
          <cell r="EF11">
            <v>78</v>
          </cell>
          <cell r="EG11" t="str">
            <v>34th</v>
          </cell>
          <cell r="EH11">
            <v>65</v>
          </cell>
          <cell r="EI11">
            <v>36</v>
          </cell>
          <cell r="EJ11">
            <v>85</v>
          </cell>
          <cell r="EK11" t="str">
            <v>29th</v>
          </cell>
          <cell r="EL11">
            <v>72</v>
          </cell>
          <cell r="EM11">
            <v>0</v>
          </cell>
          <cell r="EN11">
            <v>87</v>
          </cell>
          <cell r="EO11" t="str">
            <v>31st</v>
          </cell>
          <cell r="EP11">
            <v>87</v>
          </cell>
          <cell r="EQ11">
            <v>0</v>
          </cell>
          <cell r="ER11">
            <v>100</v>
          </cell>
          <cell r="ES11" t="str">
            <v>9th</v>
          </cell>
          <cell r="ET11">
            <v>44</v>
          </cell>
          <cell r="EU11">
            <v>5</v>
          </cell>
          <cell r="EV11">
            <v>70</v>
          </cell>
          <cell r="EW11" t="str">
            <v>15th</v>
          </cell>
          <cell r="EX11">
            <v>30</v>
          </cell>
          <cell r="EY11">
            <v>0</v>
          </cell>
          <cell r="EZ11">
            <v>86</v>
          </cell>
          <cell r="FA11" t="str">
            <v>46th</v>
          </cell>
          <cell r="FB11">
            <v>0</v>
          </cell>
          <cell r="FC11">
            <v>0</v>
          </cell>
          <cell r="FD11">
            <v>0</v>
          </cell>
          <cell r="FE11" t="str">
            <v>1st</v>
          </cell>
          <cell r="FF11">
            <v>45</v>
          </cell>
          <cell r="FG11">
            <v>19</v>
          </cell>
          <cell r="FH11">
            <v>81</v>
          </cell>
          <cell r="FI11" t="str">
            <v>26th</v>
          </cell>
          <cell r="FJ11">
            <v>95</v>
          </cell>
          <cell r="FK11">
            <v>0</v>
          </cell>
          <cell r="FL11">
            <v>95</v>
          </cell>
          <cell r="FM11" t="str">
            <v>1st</v>
          </cell>
          <cell r="FN11">
            <v>49</v>
          </cell>
          <cell r="FO11">
            <v>0</v>
          </cell>
          <cell r="FP11">
            <v>84</v>
          </cell>
          <cell r="FQ11" t="str">
            <v>39th</v>
          </cell>
          <cell r="FR11">
            <v>36</v>
          </cell>
          <cell r="FS11">
            <v>0</v>
          </cell>
          <cell r="FT11">
            <v>82</v>
          </cell>
          <cell r="FU11" t="str">
            <v>42nd</v>
          </cell>
          <cell r="FV11">
            <v>46</v>
          </cell>
          <cell r="FW11">
            <v>0</v>
          </cell>
          <cell r="FX11">
            <v>85</v>
          </cell>
          <cell r="FY11" t="str">
            <v>36th</v>
          </cell>
          <cell r="FZ11">
            <v>90</v>
          </cell>
          <cell r="GA11">
            <v>0</v>
          </cell>
          <cell r="GB11">
            <v>95</v>
          </cell>
          <cell r="GC11" t="str">
            <v>7th</v>
          </cell>
          <cell r="GD11">
            <v>49</v>
          </cell>
          <cell r="GE11">
            <v>24</v>
          </cell>
          <cell r="GF11">
            <v>71</v>
          </cell>
          <cell r="GG11" t="str">
            <v>28th</v>
          </cell>
        </row>
        <row r="12">
          <cell r="A12" t="str">
            <v>BDS/22/002</v>
          </cell>
          <cell r="B12" t="str">
            <v>AMADI OLUEBUBE TESTIMONY</v>
          </cell>
          <cell r="C12" t="str">
            <v>MALE</v>
          </cell>
          <cell r="D12">
            <v>40524</v>
          </cell>
          <cell r="E12" t="str">
            <v>JET</v>
          </cell>
          <cell r="F12">
            <v>11</v>
          </cell>
          <cell r="G12">
            <v>11</v>
          </cell>
          <cell r="H12">
            <v>44</v>
          </cell>
          <cell r="I12">
            <v>66</v>
          </cell>
          <cell r="J12">
            <v>66</v>
          </cell>
          <cell r="K12" t="str">
            <v>B2</v>
          </cell>
          <cell r="L12">
            <v>19</v>
          </cell>
          <cell r="M12">
            <v>15</v>
          </cell>
          <cell r="N12">
            <v>10</v>
          </cell>
          <cell r="O12">
            <v>44</v>
          </cell>
          <cell r="P12">
            <v>44</v>
          </cell>
          <cell r="Q12" t="str">
            <v>D</v>
          </cell>
          <cell r="R12">
            <v>12</v>
          </cell>
          <cell r="S12">
            <v>20</v>
          </cell>
          <cell r="T12">
            <v>0</v>
          </cell>
          <cell r="U12">
            <v>32</v>
          </cell>
          <cell r="V12">
            <v>32</v>
          </cell>
          <cell r="W12" t="str">
            <v>F9</v>
          </cell>
          <cell r="X12">
            <v>14</v>
          </cell>
          <cell r="Y12">
            <v>14</v>
          </cell>
          <cell r="Z12">
            <v>14</v>
          </cell>
          <cell r="AA12">
            <v>42</v>
          </cell>
          <cell r="AB12">
            <v>42</v>
          </cell>
          <cell r="AC12" t="str">
            <v>D</v>
          </cell>
          <cell r="AD12">
            <v>5</v>
          </cell>
          <cell r="AE12">
            <v>10</v>
          </cell>
          <cell r="AF12">
            <v>41</v>
          </cell>
          <cell r="AG12">
            <v>56</v>
          </cell>
          <cell r="AH12">
            <v>56.000000000000007</v>
          </cell>
          <cell r="AI12" t="str">
            <v>C4</v>
          </cell>
          <cell r="AJ12">
            <v>20</v>
          </cell>
          <cell r="AK12">
            <v>20</v>
          </cell>
          <cell r="AL12">
            <v>36</v>
          </cell>
          <cell r="AM12">
            <v>76</v>
          </cell>
          <cell r="AN12">
            <v>76</v>
          </cell>
          <cell r="AO12" t="str">
            <v>B1</v>
          </cell>
          <cell r="AP12">
            <v>15</v>
          </cell>
          <cell r="AQ12">
            <v>10</v>
          </cell>
          <cell r="AR12">
            <v>48</v>
          </cell>
          <cell r="AS12">
            <v>73</v>
          </cell>
          <cell r="AT12">
            <v>73</v>
          </cell>
          <cell r="AU12" t="str">
            <v>B1</v>
          </cell>
          <cell r="AV12">
            <v>18</v>
          </cell>
          <cell r="AW12">
            <v>10</v>
          </cell>
          <cell r="AX12">
            <v>47</v>
          </cell>
          <cell r="AY12">
            <v>75</v>
          </cell>
          <cell r="AZ12">
            <v>75</v>
          </cell>
          <cell r="BA12" t="str">
            <v>B1</v>
          </cell>
          <cell r="BB12">
            <v>16</v>
          </cell>
          <cell r="BC12">
            <v>8</v>
          </cell>
          <cell r="BD12">
            <v>26</v>
          </cell>
          <cell r="BE12">
            <v>50</v>
          </cell>
          <cell r="BF12">
            <v>50</v>
          </cell>
          <cell r="BG12" t="str">
            <v>C5</v>
          </cell>
          <cell r="BH12">
            <v>10</v>
          </cell>
          <cell r="BI12">
            <v>7</v>
          </cell>
          <cell r="BJ12">
            <v>42</v>
          </cell>
          <cell r="BK12">
            <v>59</v>
          </cell>
          <cell r="BL12">
            <v>59</v>
          </cell>
          <cell r="BM12" t="str">
            <v>C4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 t="str">
            <v>F9</v>
          </cell>
          <cell r="BT12">
            <v>18</v>
          </cell>
          <cell r="BU12">
            <v>17</v>
          </cell>
          <cell r="BV12">
            <v>24</v>
          </cell>
          <cell r="BW12">
            <v>59</v>
          </cell>
          <cell r="BX12">
            <v>59</v>
          </cell>
          <cell r="BY12" t="str">
            <v>C4</v>
          </cell>
          <cell r="BZ12">
            <v>20</v>
          </cell>
          <cell r="CA12">
            <v>20</v>
          </cell>
          <cell r="CB12">
            <v>50</v>
          </cell>
          <cell r="CC12">
            <v>90</v>
          </cell>
          <cell r="CD12">
            <v>90</v>
          </cell>
          <cell r="CE12" t="str">
            <v>A</v>
          </cell>
          <cell r="CF12">
            <v>10</v>
          </cell>
          <cell r="CG12">
            <v>10</v>
          </cell>
          <cell r="CH12">
            <v>44</v>
          </cell>
          <cell r="CI12">
            <v>64</v>
          </cell>
          <cell r="CJ12">
            <v>64</v>
          </cell>
          <cell r="CK12" t="str">
            <v>B2</v>
          </cell>
          <cell r="CL12">
            <v>20</v>
          </cell>
          <cell r="CM12">
            <v>11</v>
          </cell>
          <cell r="CN12">
            <v>18</v>
          </cell>
          <cell r="CO12">
            <v>49</v>
          </cell>
          <cell r="CP12">
            <v>49</v>
          </cell>
          <cell r="CQ12" t="str">
            <v>C5</v>
          </cell>
          <cell r="CR12">
            <v>12</v>
          </cell>
          <cell r="CS12">
            <v>20</v>
          </cell>
          <cell r="CT12">
            <v>19</v>
          </cell>
          <cell r="CU12">
            <v>51</v>
          </cell>
          <cell r="CV12">
            <v>51</v>
          </cell>
          <cell r="CW12" t="str">
            <v>C4</v>
          </cell>
          <cell r="CX12">
            <v>20</v>
          </cell>
          <cell r="CY12">
            <v>20</v>
          </cell>
          <cell r="CZ12">
            <v>50</v>
          </cell>
          <cell r="DA12">
            <v>90</v>
          </cell>
          <cell r="DB12">
            <v>90</v>
          </cell>
          <cell r="DC12" t="str">
            <v>A</v>
          </cell>
          <cell r="DD12">
            <v>10</v>
          </cell>
          <cell r="DE12">
            <v>17</v>
          </cell>
          <cell r="DF12">
            <v>15</v>
          </cell>
          <cell r="DG12">
            <v>42</v>
          </cell>
          <cell r="DH12">
            <v>42</v>
          </cell>
          <cell r="DI12" t="str">
            <v>D</v>
          </cell>
          <cell r="DJ12">
            <v>1018</v>
          </cell>
          <cell r="DK12">
            <v>1018</v>
          </cell>
          <cell r="DL12">
            <v>0.59882352941176475</v>
          </cell>
          <cell r="DM12" t="str">
            <v>29th</v>
          </cell>
          <cell r="DN12">
            <v>66</v>
          </cell>
          <cell r="DO12">
            <v>26</v>
          </cell>
          <cell r="DP12">
            <v>96</v>
          </cell>
          <cell r="DQ12" t="str">
            <v>36th</v>
          </cell>
          <cell r="DR12">
            <v>44</v>
          </cell>
          <cell r="DS12">
            <v>0</v>
          </cell>
          <cell r="DT12">
            <v>90</v>
          </cell>
          <cell r="DU12" t="str">
            <v>39th</v>
          </cell>
          <cell r="DV12">
            <v>32</v>
          </cell>
          <cell r="DW12">
            <v>0</v>
          </cell>
          <cell r="DX12">
            <v>78</v>
          </cell>
          <cell r="DY12" t="str">
            <v>43rd</v>
          </cell>
          <cell r="DZ12">
            <v>42</v>
          </cell>
          <cell r="EA12">
            <v>10</v>
          </cell>
          <cell r="EB12">
            <v>93</v>
          </cell>
          <cell r="EC12" t="str">
            <v>35th</v>
          </cell>
          <cell r="ED12">
            <v>56</v>
          </cell>
          <cell r="EE12">
            <v>0</v>
          </cell>
          <cell r="EF12">
            <v>78</v>
          </cell>
          <cell r="EG12" t="str">
            <v>19th</v>
          </cell>
          <cell r="EH12">
            <v>76</v>
          </cell>
          <cell r="EI12">
            <v>36</v>
          </cell>
          <cell r="EJ12">
            <v>85</v>
          </cell>
          <cell r="EK12" t="str">
            <v>9th</v>
          </cell>
          <cell r="EL12">
            <v>73</v>
          </cell>
          <cell r="EM12">
            <v>0</v>
          </cell>
          <cell r="EN12">
            <v>87</v>
          </cell>
          <cell r="EO12" t="str">
            <v>26th</v>
          </cell>
          <cell r="EP12">
            <v>75</v>
          </cell>
          <cell r="EQ12">
            <v>0</v>
          </cell>
          <cell r="ER12">
            <v>100</v>
          </cell>
          <cell r="ES12" t="str">
            <v>19th</v>
          </cell>
          <cell r="ET12">
            <v>50</v>
          </cell>
          <cell r="EU12">
            <v>5</v>
          </cell>
          <cell r="EV12">
            <v>70</v>
          </cell>
          <cell r="EW12" t="str">
            <v>8th</v>
          </cell>
          <cell r="EX12">
            <v>59</v>
          </cell>
          <cell r="EY12">
            <v>0</v>
          </cell>
          <cell r="EZ12">
            <v>86</v>
          </cell>
          <cell r="FA12" t="str">
            <v>29th</v>
          </cell>
          <cell r="FB12">
            <v>0</v>
          </cell>
          <cell r="FC12">
            <v>0</v>
          </cell>
          <cell r="FD12">
            <v>0</v>
          </cell>
          <cell r="FE12" t="str">
            <v>1st</v>
          </cell>
          <cell r="FF12">
            <v>59</v>
          </cell>
          <cell r="FG12">
            <v>19</v>
          </cell>
          <cell r="FH12">
            <v>81</v>
          </cell>
          <cell r="FI12" t="str">
            <v>11th</v>
          </cell>
          <cell r="FJ12">
            <v>90</v>
          </cell>
          <cell r="FK12">
            <v>0</v>
          </cell>
          <cell r="FL12">
            <v>95</v>
          </cell>
          <cell r="FM12" t="str">
            <v>6th</v>
          </cell>
          <cell r="FN12">
            <v>64</v>
          </cell>
          <cell r="FO12">
            <v>0</v>
          </cell>
          <cell r="FP12">
            <v>84</v>
          </cell>
          <cell r="FQ12" t="str">
            <v>22nd</v>
          </cell>
          <cell r="FR12">
            <v>49</v>
          </cell>
          <cell r="FS12">
            <v>0</v>
          </cell>
          <cell r="FT12">
            <v>82</v>
          </cell>
          <cell r="FU12" t="str">
            <v>33rd</v>
          </cell>
          <cell r="FV12">
            <v>51</v>
          </cell>
          <cell r="FW12">
            <v>0</v>
          </cell>
          <cell r="FX12">
            <v>85</v>
          </cell>
          <cell r="FY12" t="str">
            <v>28th</v>
          </cell>
          <cell r="FZ12">
            <v>90</v>
          </cell>
          <cell r="GA12">
            <v>0</v>
          </cell>
          <cell r="GB12">
            <v>95</v>
          </cell>
          <cell r="GC12" t="str">
            <v>7th</v>
          </cell>
          <cell r="GD12">
            <v>42</v>
          </cell>
          <cell r="GE12">
            <v>24</v>
          </cell>
          <cell r="GF12">
            <v>71</v>
          </cell>
          <cell r="GG12" t="str">
            <v>41st</v>
          </cell>
        </row>
        <row r="13">
          <cell r="A13" t="str">
            <v>BDS/22/003</v>
          </cell>
          <cell r="B13" t="str">
            <v>AMAECHI BRIGHT</v>
          </cell>
          <cell r="C13" t="str">
            <v>MALE</v>
          </cell>
          <cell r="D13" t="str">
            <v>31/01/2012</v>
          </cell>
          <cell r="E13" t="str">
            <v>DRAMA</v>
          </cell>
          <cell r="F13">
            <v>10</v>
          </cell>
          <cell r="G13">
            <v>16</v>
          </cell>
          <cell r="H13">
            <v>21</v>
          </cell>
          <cell r="I13">
            <v>47</v>
          </cell>
          <cell r="J13">
            <v>47</v>
          </cell>
          <cell r="K13" t="str">
            <v>C5</v>
          </cell>
          <cell r="L13">
            <v>20</v>
          </cell>
          <cell r="M13">
            <v>15</v>
          </cell>
          <cell r="N13">
            <v>1</v>
          </cell>
          <cell r="O13">
            <v>36</v>
          </cell>
          <cell r="P13">
            <v>36</v>
          </cell>
          <cell r="Q13" t="str">
            <v>E8</v>
          </cell>
          <cell r="R13">
            <v>2</v>
          </cell>
          <cell r="S13">
            <v>20</v>
          </cell>
          <cell r="T13">
            <v>25</v>
          </cell>
          <cell r="U13">
            <v>47</v>
          </cell>
          <cell r="V13">
            <v>47</v>
          </cell>
          <cell r="W13" t="str">
            <v>C5</v>
          </cell>
          <cell r="X13">
            <v>9</v>
          </cell>
          <cell r="Y13">
            <v>9</v>
          </cell>
          <cell r="Z13">
            <v>14</v>
          </cell>
          <cell r="AA13">
            <v>32</v>
          </cell>
          <cell r="AB13">
            <v>32</v>
          </cell>
          <cell r="AC13" t="str">
            <v>F9</v>
          </cell>
          <cell r="AD13">
            <v>5</v>
          </cell>
          <cell r="AE13">
            <v>10</v>
          </cell>
          <cell r="AF13">
            <v>25</v>
          </cell>
          <cell r="AG13">
            <v>40</v>
          </cell>
          <cell r="AH13">
            <v>40</v>
          </cell>
          <cell r="AI13" t="str">
            <v>E8</v>
          </cell>
          <cell r="AJ13">
            <v>20</v>
          </cell>
          <cell r="AK13">
            <v>20</v>
          </cell>
          <cell r="AL13">
            <v>28</v>
          </cell>
          <cell r="AM13">
            <v>68</v>
          </cell>
          <cell r="AN13">
            <v>68</v>
          </cell>
          <cell r="AO13" t="str">
            <v>B2</v>
          </cell>
          <cell r="AP13">
            <v>14</v>
          </cell>
          <cell r="AQ13">
            <v>10</v>
          </cell>
          <cell r="AR13">
            <v>47</v>
          </cell>
          <cell r="AS13">
            <v>71</v>
          </cell>
          <cell r="AT13">
            <v>71</v>
          </cell>
          <cell r="AU13" t="str">
            <v>B1</v>
          </cell>
          <cell r="AV13">
            <v>15</v>
          </cell>
          <cell r="AW13">
            <v>15</v>
          </cell>
          <cell r="AX13">
            <v>35</v>
          </cell>
          <cell r="AY13">
            <v>65</v>
          </cell>
          <cell r="AZ13">
            <v>65</v>
          </cell>
          <cell r="BA13" t="str">
            <v>B2</v>
          </cell>
          <cell r="BB13">
            <v>16</v>
          </cell>
          <cell r="BC13">
            <v>3</v>
          </cell>
          <cell r="BD13">
            <v>21</v>
          </cell>
          <cell r="BE13">
            <v>40</v>
          </cell>
          <cell r="BF13">
            <v>40</v>
          </cell>
          <cell r="BG13" t="str">
            <v>E8</v>
          </cell>
          <cell r="BH13">
            <v>15</v>
          </cell>
          <cell r="BI13">
            <v>15</v>
          </cell>
          <cell r="BJ13">
            <v>35</v>
          </cell>
          <cell r="BK13">
            <v>65</v>
          </cell>
          <cell r="BL13">
            <v>65</v>
          </cell>
          <cell r="BM13" t="str">
            <v>B2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 t="str">
            <v>F9</v>
          </cell>
          <cell r="BT13">
            <v>18</v>
          </cell>
          <cell r="BU13">
            <v>9</v>
          </cell>
          <cell r="BV13">
            <v>18</v>
          </cell>
          <cell r="BW13">
            <v>45</v>
          </cell>
          <cell r="BX13">
            <v>45</v>
          </cell>
          <cell r="BY13" t="str">
            <v>D</v>
          </cell>
          <cell r="BZ13">
            <v>15</v>
          </cell>
          <cell r="CA13">
            <v>20</v>
          </cell>
          <cell r="CB13">
            <v>50</v>
          </cell>
          <cell r="CC13">
            <v>85</v>
          </cell>
          <cell r="CD13">
            <v>85</v>
          </cell>
          <cell r="CE13" t="str">
            <v>A</v>
          </cell>
          <cell r="CF13">
            <v>16</v>
          </cell>
          <cell r="CG13">
            <v>10</v>
          </cell>
          <cell r="CH13">
            <v>26</v>
          </cell>
          <cell r="CI13">
            <v>52</v>
          </cell>
          <cell r="CJ13">
            <v>52</v>
          </cell>
          <cell r="CK13" t="str">
            <v>C4</v>
          </cell>
          <cell r="CL13">
            <v>20</v>
          </cell>
          <cell r="CM13">
            <v>7</v>
          </cell>
          <cell r="CN13">
            <v>5</v>
          </cell>
          <cell r="CO13">
            <v>32</v>
          </cell>
          <cell r="CP13">
            <v>32</v>
          </cell>
          <cell r="CQ13" t="str">
            <v>F9</v>
          </cell>
          <cell r="CR13">
            <v>4</v>
          </cell>
          <cell r="CS13">
            <v>20</v>
          </cell>
          <cell r="CT13">
            <v>15</v>
          </cell>
          <cell r="CU13">
            <v>39</v>
          </cell>
          <cell r="CV13">
            <v>39</v>
          </cell>
          <cell r="CW13" t="str">
            <v>E8</v>
          </cell>
          <cell r="CX13">
            <v>20</v>
          </cell>
          <cell r="CY13">
            <v>20</v>
          </cell>
          <cell r="CZ13">
            <v>55</v>
          </cell>
          <cell r="DA13">
            <v>95</v>
          </cell>
          <cell r="DB13">
            <v>95</v>
          </cell>
          <cell r="DC13" t="str">
            <v>A</v>
          </cell>
          <cell r="DD13">
            <v>15</v>
          </cell>
          <cell r="DE13">
            <v>17</v>
          </cell>
          <cell r="DF13">
            <v>17</v>
          </cell>
          <cell r="DG13">
            <v>49</v>
          </cell>
          <cell r="DH13">
            <v>49</v>
          </cell>
          <cell r="DI13" t="str">
            <v>C5</v>
          </cell>
          <cell r="DJ13">
            <v>908</v>
          </cell>
          <cell r="DK13">
            <v>908</v>
          </cell>
          <cell r="DL13">
            <v>0.53411764705882359</v>
          </cell>
          <cell r="DM13" t="str">
            <v>39th</v>
          </cell>
          <cell r="DN13">
            <v>47</v>
          </cell>
          <cell r="DO13">
            <v>26</v>
          </cell>
          <cell r="DP13">
            <v>96</v>
          </cell>
          <cell r="DQ13" t="str">
            <v>42nd</v>
          </cell>
          <cell r="DR13">
            <v>36</v>
          </cell>
          <cell r="DS13">
            <v>0</v>
          </cell>
          <cell r="DT13">
            <v>90</v>
          </cell>
          <cell r="DU13" t="str">
            <v>46th</v>
          </cell>
          <cell r="DV13">
            <v>47</v>
          </cell>
          <cell r="DW13">
            <v>0</v>
          </cell>
          <cell r="DX13">
            <v>78</v>
          </cell>
          <cell r="DY13" t="str">
            <v>37th</v>
          </cell>
          <cell r="DZ13">
            <v>32</v>
          </cell>
          <cell r="EA13">
            <v>10</v>
          </cell>
          <cell r="EB13">
            <v>93</v>
          </cell>
          <cell r="EC13" t="str">
            <v>42nd</v>
          </cell>
          <cell r="ED13">
            <v>40</v>
          </cell>
          <cell r="EE13">
            <v>0</v>
          </cell>
          <cell r="EF13">
            <v>78</v>
          </cell>
          <cell r="EG13" t="str">
            <v>36th</v>
          </cell>
          <cell r="EH13">
            <v>68</v>
          </cell>
          <cell r="EI13">
            <v>36</v>
          </cell>
          <cell r="EJ13">
            <v>85</v>
          </cell>
          <cell r="EK13" t="str">
            <v>23rd</v>
          </cell>
          <cell r="EL13">
            <v>71</v>
          </cell>
          <cell r="EM13">
            <v>0</v>
          </cell>
          <cell r="EN13">
            <v>87</v>
          </cell>
          <cell r="EO13" t="str">
            <v>33rd</v>
          </cell>
          <cell r="EP13">
            <v>65</v>
          </cell>
          <cell r="EQ13">
            <v>0</v>
          </cell>
          <cell r="ER13">
            <v>100</v>
          </cell>
          <cell r="ES13" t="str">
            <v>28th</v>
          </cell>
          <cell r="ET13">
            <v>40</v>
          </cell>
          <cell r="EU13">
            <v>5</v>
          </cell>
          <cell r="EV13">
            <v>70</v>
          </cell>
          <cell r="EW13" t="str">
            <v>24th</v>
          </cell>
          <cell r="EX13">
            <v>65</v>
          </cell>
          <cell r="EY13">
            <v>0</v>
          </cell>
          <cell r="EZ13">
            <v>86</v>
          </cell>
          <cell r="FA13" t="str">
            <v>21st</v>
          </cell>
          <cell r="FB13">
            <v>0</v>
          </cell>
          <cell r="FC13">
            <v>0</v>
          </cell>
          <cell r="FD13">
            <v>0</v>
          </cell>
          <cell r="FE13" t="str">
            <v>1st</v>
          </cell>
          <cell r="FF13">
            <v>45</v>
          </cell>
          <cell r="FG13">
            <v>19</v>
          </cell>
          <cell r="FH13">
            <v>81</v>
          </cell>
          <cell r="FI13" t="str">
            <v>26th</v>
          </cell>
          <cell r="FJ13">
            <v>85</v>
          </cell>
          <cell r="FK13">
            <v>0</v>
          </cell>
          <cell r="FL13">
            <v>95</v>
          </cell>
          <cell r="FM13" t="str">
            <v>21st</v>
          </cell>
          <cell r="FN13">
            <v>52</v>
          </cell>
          <cell r="FO13">
            <v>0</v>
          </cell>
          <cell r="FP13">
            <v>84</v>
          </cell>
          <cell r="FQ13" t="str">
            <v>33rd</v>
          </cell>
          <cell r="FR13">
            <v>32</v>
          </cell>
          <cell r="FS13">
            <v>0</v>
          </cell>
          <cell r="FT13">
            <v>82</v>
          </cell>
          <cell r="FU13" t="str">
            <v>45th</v>
          </cell>
          <cell r="FV13">
            <v>39</v>
          </cell>
          <cell r="FW13">
            <v>0</v>
          </cell>
          <cell r="FX13">
            <v>85</v>
          </cell>
          <cell r="FY13" t="str">
            <v>41st</v>
          </cell>
          <cell r="FZ13">
            <v>95</v>
          </cell>
          <cell r="GA13">
            <v>0</v>
          </cell>
          <cell r="GB13">
            <v>95</v>
          </cell>
          <cell r="GC13" t="str">
            <v>1st</v>
          </cell>
          <cell r="GD13">
            <v>49</v>
          </cell>
          <cell r="GE13">
            <v>24</v>
          </cell>
          <cell r="GF13">
            <v>71</v>
          </cell>
          <cell r="GG13" t="str">
            <v>28th</v>
          </cell>
        </row>
        <row r="14">
          <cell r="A14" t="str">
            <v>BDS/22/006</v>
          </cell>
          <cell r="B14" t="str">
            <v>ALOZIE CHIEMELA PROSPER</v>
          </cell>
          <cell r="C14" t="str">
            <v>MALE</v>
          </cell>
          <cell r="D14" t="str">
            <v>26/07/2011</v>
          </cell>
          <cell r="E14" t="str">
            <v>DRAMA</v>
          </cell>
          <cell r="F14">
            <v>13</v>
          </cell>
          <cell r="G14">
            <v>20</v>
          </cell>
          <cell r="H14">
            <v>50</v>
          </cell>
          <cell r="I14">
            <v>83</v>
          </cell>
          <cell r="J14">
            <v>83</v>
          </cell>
          <cell r="K14" t="str">
            <v>A</v>
          </cell>
          <cell r="L14">
            <v>20</v>
          </cell>
          <cell r="M14">
            <v>15</v>
          </cell>
          <cell r="N14">
            <v>36</v>
          </cell>
          <cell r="O14">
            <v>71</v>
          </cell>
          <cell r="P14">
            <v>71</v>
          </cell>
          <cell r="Q14" t="str">
            <v>B1</v>
          </cell>
          <cell r="R14">
            <v>18</v>
          </cell>
          <cell r="S14">
            <v>20</v>
          </cell>
          <cell r="T14">
            <v>23</v>
          </cell>
          <cell r="U14">
            <v>61</v>
          </cell>
          <cell r="V14">
            <v>61</v>
          </cell>
          <cell r="W14" t="str">
            <v>B2</v>
          </cell>
          <cell r="X14">
            <v>8</v>
          </cell>
          <cell r="Y14">
            <v>8</v>
          </cell>
          <cell r="Z14">
            <v>20</v>
          </cell>
          <cell r="AA14">
            <v>36</v>
          </cell>
          <cell r="AB14">
            <v>36</v>
          </cell>
          <cell r="AC14" t="str">
            <v>E8</v>
          </cell>
          <cell r="AD14">
            <v>7</v>
          </cell>
          <cell r="AE14">
            <v>10</v>
          </cell>
          <cell r="AF14">
            <v>41</v>
          </cell>
          <cell r="AG14">
            <v>58</v>
          </cell>
          <cell r="AH14">
            <v>57.999999999999993</v>
          </cell>
          <cell r="AI14" t="str">
            <v>C4</v>
          </cell>
          <cell r="AJ14">
            <v>20</v>
          </cell>
          <cell r="AK14">
            <v>20</v>
          </cell>
          <cell r="AL14">
            <v>26</v>
          </cell>
          <cell r="AM14">
            <v>66</v>
          </cell>
          <cell r="AN14">
            <v>66</v>
          </cell>
          <cell r="AO14" t="str">
            <v>B2</v>
          </cell>
          <cell r="AP14">
            <v>20</v>
          </cell>
          <cell r="AQ14">
            <v>10</v>
          </cell>
          <cell r="AR14">
            <v>48</v>
          </cell>
          <cell r="AS14">
            <v>78</v>
          </cell>
          <cell r="AT14">
            <v>78</v>
          </cell>
          <cell r="AU14" t="str">
            <v>B1</v>
          </cell>
          <cell r="AV14">
            <v>10</v>
          </cell>
          <cell r="AW14">
            <v>5</v>
          </cell>
          <cell r="AX14">
            <v>55</v>
          </cell>
          <cell r="AY14">
            <v>70</v>
          </cell>
          <cell r="AZ14">
            <v>70</v>
          </cell>
          <cell r="BA14" t="str">
            <v>B2</v>
          </cell>
          <cell r="BB14">
            <v>16</v>
          </cell>
          <cell r="BC14">
            <v>2</v>
          </cell>
          <cell r="BD14">
            <v>19</v>
          </cell>
          <cell r="BE14">
            <v>37</v>
          </cell>
          <cell r="BF14">
            <v>37</v>
          </cell>
          <cell r="BG14" t="str">
            <v>E8</v>
          </cell>
          <cell r="BH14">
            <v>10</v>
          </cell>
          <cell r="BI14">
            <v>15</v>
          </cell>
          <cell r="BJ14">
            <v>12</v>
          </cell>
          <cell r="BK14">
            <v>37</v>
          </cell>
          <cell r="BL14">
            <v>37</v>
          </cell>
          <cell r="BM14" t="str">
            <v>E8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 t="str">
            <v>F9</v>
          </cell>
          <cell r="BT14">
            <v>20</v>
          </cell>
          <cell r="BU14">
            <v>13</v>
          </cell>
          <cell r="BV14">
            <v>31</v>
          </cell>
          <cell r="BW14">
            <v>64</v>
          </cell>
          <cell r="BX14">
            <v>64</v>
          </cell>
          <cell r="BY14" t="str">
            <v>B2</v>
          </cell>
          <cell r="BZ14">
            <v>15</v>
          </cell>
          <cell r="CA14">
            <v>20</v>
          </cell>
          <cell r="CB14">
            <v>50</v>
          </cell>
          <cell r="CC14">
            <v>85</v>
          </cell>
          <cell r="CD14">
            <v>85</v>
          </cell>
          <cell r="CE14" t="str">
            <v>A</v>
          </cell>
          <cell r="CF14">
            <v>18</v>
          </cell>
          <cell r="CG14">
            <v>10</v>
          </cell>
          <cell r="CH14">
            <v>44</v>
          </cell>
          <cell r="CI14">
            <v>72</v>
          </cell>
          <cell r="CJ14">
            <v>72</v>
          </cell>
          <cell r="CK14" t="str">
            <v>B1</v>
          </cell>
          <cell r="CL14">
            <v>20</v>
          </cell>
          <cell r="CM14">
            <v>0</v>
          </cell>
          <cell r="CN14">
            <v>34</v>
          </cell>
          <cell r="CO14">
            <v>54</v>
          </cell>
          <cell r="CP14">
            <v>54</v>
          </cell>
          <cell r="CQ14" t="str">
            <v>C4</v>
          </cell>
          <cell r="CR14">
            <v>1</v>
          </cell>
          <cell r="CS14">
            <v>20</v>
          </cell>
          <cell r="CT14">
            <v>30</v>
          </cell>
          <cell r="CU14">
            <v>51</v>
          </cell>
          <cell r="CV14">
            <v>51</v>
          </cell>
          <cell r="CW14" t="str">
            <v>C4</v>
          </cell>
          <cell r="CX14">
            <v>15</v>
          </cell>
          <cell r="CY14">
            <v>20</v>
          </cell>
          <cell r="CZ14">
            <v>55</v>
          </cell>
          <cell r="DA14">
            <v>90</v>
          </cell>
          <cell r="DB14">
            <v>90</v>
          </cell>
          <cell r="DC14" t="str">
            <v>A</v>
          </cell>
          <cell r="DD14">
            <v>8</v>
          </cell>
          <cell r="DE14">
            <v>17</v>
          </cell>
          <cell r="DF14">
            <v>22</v>
          </cell>
          <cell r="DG14">
            <v>47</v>
          </cell>
          <cell r="DH14">
            <v>47</v>
          </cell>
          <cell r="DI14" t="str">
            <v>C5</v>
          </cell>
          <cell r="DJ14">
            <v>1060</v>
          </cell>
          <cell r="DK14">
            <v>1060</v>
          </cell>
          <cell r="DL14">
            <v>0.62352941176470589</v>
          </cell>
          <cell r="DM14" t="str">
            <v>24th</v>
          </cell>
          <cell r="DN14">
            <v>83</v>
          </cell>
          <cell r="DO14">
            <v>26</v>
          </cell>
          <cell r="DP14">
            <v>96</v>
          </cell>
          <cell r="DQ14" t="str">
            <v>17th</v>
          </cell>
          <cell r="DR14">
            <v>71</v>
          </cell>
          <cell r="DS14">
            <v>0</v>
          </cell>
          <cell r="DT14">
            <v>90</v>
          </cell>
          <cell r="DU14" t="str">
            <v>7th</v>
          </cell>
          <cell r="DV14">
            <v>61</v>
          </cell>
          <cell r="DW14">
            <v>0</v>
          </cell>
          <cell r="DX14">
            <v>78</v>
          </cell>
          <cell r="DY14" t="str">
            <v>14th</v>
          </cell>
          <cell r="DZ14">
            <v>36</v>
          </cell>
          <cell r="EA14">
            <v>10</v>
          </cell>
          <cell r="EB14">
            <v>93</v>
          </cell>
          <cell r="EC14" t="str">
            <v>40th</v>
          </cell>
          <cell r="ED14">
            <v>58</v>
          </cell>
          <cell r="EE14">
            <v>0</v>
          </cell>
          <cell r="EF14">
            <v>78</v>
          </cell>
          <cell r="EG14" t="str">
            <v>18th</v>
          </cell>
          <cell r="EH14">
            <v>66</v>
          </cell>
          <cell r="EI14">
            <v>36</v>
          </cell>
          <cell r="EJ14">
            <v>85</v>
          </cell>
          <cell r="EK14" t="str">
            <v>27th</v>
          </cell>
          <cell r="EL14">
            <v>78</v>
          </cell>
          <cell r="EM14">
            <v>0</v>
          </cell>
          <cell r="EN14">
            <v>87</v>
          </cell>
          <cell r="EO14" t="str">
            <v>18th</v>
          </cell>
          <cell r="EP14">
            <v>70</v>
          </cell>
          <cell r="EQ14">
            <v>0</v>
          </cell>
          <cell r="ER14">
            <v>100</v>
          </cell>
          <cell r="ES14" t="str">
            <v>26th</v>
          </cell>
          <cell r="ET14">
            <v>37</v>
          </cell>
          <cell r="EU14">
            <v>5</v>
          </cell>
          <cell r="EV14">
            <v>70</v>
          </cell>
          <cell r="EW14" t="str">
            <v>28th</v>
          </cell>
          <cell r="EX14">
            <v>37</v>
          </cell>
          <cell r="EY14">
            <v>0</v>
          </cell>
          <cell r="EZ14">
            <v>86</v>
          </cell>
          <cell r="FA14" t="str">
            <v>43rd</v>
          </cell>
          <cell r="FB14">
            <v>0</v>
          </cell>
          <cell r="FC14">
            <v>0</v>
          </cell>
          <cell r="FD14">
            <v>0</v>
          </cell>
          <cell r="FE14" t="str">
            <v>1st</v>
          </cell>
          <cell r="FF14">
            <v>64</v>
          </cell>
          <cell r="FG14">
            <v>19</v>
          </cell>
          <cell r="FH14">
            <v>81</v>
          </cell>
          <cell r="FI14" t="str">
            <v>7th</v>
          </cell>
          <cell r="FJ14">
            <v>85</v>
          </cell>
          <cell r="FK14">
            <v>0</v>
          </cell>
          <cell r="FL14">
            <v>95</v>
          </cell>
          <cell r="FM14" t="str">
            <v>21st</v>
          </cell>
          <cell r="FN14">
            <v>72</v>
          </cell>
          <cell r="FO14">
            <v>0</v>
          </cell>
          <cell r="FP14">
            <v>84</v>
          </cell>
          <cell r="FQ14" t="str">
            <v>9th</v>
          </cell>
          <cell r="FR14">
            <v>54</v>
          </cell>
          <cell r="FS14">
            <v>0</v>
          </cell>
          <cell r="FT14">
            <v>82</v>
          </cell>
          <cell r="FU14" t="str">
            <v>27th</v>
          </cell>
          <cell r="FV14">
            <v>51</v>
          </cell>
          <cell r="FW14">
            <v>0</v>
          </cell>
          <cell r="FX14">
            <v>85</v>
          </cell>
          <cell r="FY14" t="str">
            <v>28th</v>
          </cell>
          <cell r="FZ14">
            <v>90</v>
          </cell>
          <cell r="GA14">
            <v>0</v>
          </cell>
          <cell r="GB14">
            <v>95</v>
          </cell>
          <cell r="GC14" t="str">
            <v>7th</v>
          </cell>
          <cell r="GD14">
            <v>47</v>
          </cell>
          <cell r="GE14">
            <v>24</v>
          </cell>
          <cell r="GF14">
            <v>71</v>
          </cell>
          <cell r="GG14" t="str">
            <v>32nd</v>
          </cell>
        </row>
        <row r="15">
          <cell r="A15" t="str">
            <v>BDS/22/007</v>
          </cell>
          <cell r="B15" t="str">
            <v>CHINEDU CHIDERA</v>
          </cell>
          <cell r="C15" t="str">
            <v>FEMALE</v>
          </cell>
          <cell r="D15" t="str">
            <v>13/03/2013</v>
          </cell>
          <cell r="E15" t="str">
            <v>JET</v>
          </cell>
          <cell r="F15">
            <v>5</v>
          </cell>
          <cell r="G15">
            <v>5</v>
          </cell>
          <cell r="H15">
            <v>27</v>
          </cell>
          <cell r="I15">
            <v>37</v>
          </cell>
          <cell r="J15">
            <v>37</v>
          </cell>
          <cell r="K15" t="str">
            <v>E8</v>
          </cell>
          <cell r="L15">
            <v>20</v>
          </cell>
          <cell r="M15">
            <v>15</v>
          </cell>
          <cell r="N15">
            <v>10</v>
          </cell>
          <cell r="O15">
            <v>45</v>
          </cell>
          <cell r="P15">
            <v>45</v>
          </cell>
          <cell r="Q15" t="str">
            <v>D</v>
          </cell>
          <cell r="R15">
            <v>2</v>
          </cell>
          <cell r="S15">
            <v>20</v>
          </cell>
          <cell r="T15">
            <v>27</v>
          </cell>
          <cell r="U15">
            <v>49</v>
          </cell>
          <cell r="V15">
            <v>49</v>
          </cell>
          <cell r="W15" t="str">
            <v>C5</v>
          </cell>
          <cell r="X15">
            <v>6</v>
          </cell>
          <cell r="Y15">
            <v>6</v>
          </cell>
          <cell r="Z15">
            <v>20</v>
          </cell>
          <cell r="AA15">
            <v>32</v>
          </cell>
          <cell r="AB15">
            <v>32</v>
          </cell>
          <cell r="AC15" t="str">
            <v>F9</v>
          </cell>
          <cell r="AD15">
            <v>5</v>
          </cell>
          <cell r="AE15">
            <v>10</v>
          </cell>
          <cell r="AF15">
            <v>22</v>
          </cell>
          <cell r="AG15">
            <v>37</v>
          </cell>
          <cell r="AH15">
            <v>37</v>
          </cell>
          <cell r="AI15" t="str">
            <v>E8</v>
          </cell>
          <cell r="AJ15">
            <v>20</v>
          </cell>
          <cell r="AK15">
            <v>20</v>
          </cell>
          <cell r="AL15">
            <v>29</v>
          </cell>
          <cell r="AM15">
            <v>69</v>
          </cell>
          <cell r="AN15">
            <v>69</v>
          </cell>
          <cell r="AO15" t="str">
            <v>B2</v>
          </cell>
          <cell r="AP15">
            <v>18</v>
          </cell>
          <cell r="AQ15">
            <v>10</v>
          </cell>
          <cell r="AR15">
            <v>43</v>
          </cell>
          <cell r="AS15">
            <v>71</v>
          </cell>
          <cell r="AT15">
            <v>71</v>
          </cell>
          <cell r="AU15" t="str">
            <v>B1</v>
          </cell>
          <cell r="AV15">
            <v>5</v>
          </cell>
          <cell r="AW15">
            <v>5</v>
          </cell>
          <cell r="AX15">
            <v>6</v>
          </cell>
          <cell r="AY15">
            <v>16</v>
          </cell>
          <cell r="AZ15">
            <v>16</v>
          </cell>
          <cell r="BA15" t="str">
            <v>F9</v>
          </cell>
          <cell r="BB15">
            <v>5</v>
          </cell>
          <cell r="BC15">
            <v>3</v>
          </cell>
          <cell r="BD15">
            <v>11</v>
          </cell>
          <cell r="BE15">
            <v>19</v>
          </cell>
          <cell r="BF15">
            <v>19</v>
          </cell>
          <cell r="BG15" t="str">
            <v>F9</v>
          </cell>
          <cell r="BH15">
            <v>10</v>
          </cell>
          <cell r="BI15">
            <v>7</v>
          </cell>
          <cell r="BJ15">
            <v>40</v>
          </cell>
          <cell r="BK15">
            <v>57</v>
          </cell>
          <cell r="BL15">
            <v>56.999999999999993</v>
          </cell>
          <cell r="BM15" t="str">
            <v>C4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 t="str">
            <v>F9</v>
          </cell>
          <cell r="BT15">
            <v>5</v>
          </cell>
          <cell r="BU15">
            <v>7</v>
          </cell>
          <cell r="BV15">
            <v>17</v>
          </cell>
          <cell r="BW15">
            <v>29</v>
          </cell>
          <cell r="BX15">
            <v>28.999999999999996</v>
          </cell>
          <cell r="BY15" t="str">
            <v>F9</v>
          </cell>
          <cell r="BZ15">
            <v>15</v>
          </cell>
          <cell r="CA15">
            <v>15</v>
          </cell>
          <cell r="CB15">
            <v>55</v>
          </cell>
          <cell r="CC15">
            <v>85</v>
          </cell>
          <cell r="CD15">
            <v>85</v>
          </cell>
          <cell r="CE15" t="str">
            <v>A</v>
          </cell>
          <cell r="CF15">
            <v>7</v>
          </cell>
          <cell r="CG15">
            <v>10</v>
          </cell>
          <cell r="CH15">
            <v>25</v>
          </cell>
          <cell r="CI15">
            <v>42</v>
          </cell>
          <cell r="CJ15">
            <v>42</v>
          </cell>
          <cell r="CK15" t="str">
            <v>D</v>
          </cell>
          <cell r="CL15">
            <v>20</v>
          </cell>
          <cell r="CM15">
            <v>0</v>
          </cell>
          <cell r="CN15">
            <v>22</v>
          </cell>
          <cell r="CO15">
            <v>42</v>
          </cell>
          <cell r="CP15">
            <v>42</v>
          </cell>
          <cell r="CQ15" t="str">
            <v>D</v>
          </cell>
          <cell r="CR15">
            <v>0</v>
          </cell>
          <cell r="CS15">
            <v>20</v>
          </cell>
          <cell r="CT15">
            <v>6</v>
          </cell>
          <cell r="CU15">
            <v>26</v>
          </cell>
          <cell r="CV15">
            <v>26</v>
          </cell>
          <cell r="CW15" t="str">
            <v>F9</v>
          </cell>
          <cell r="CX15">
            <v>15</v>
          </cell>
          <cell r="CY15">
            <v>20</v>
          </cell>
          <cell r="CZ15">
            <v>55</v>
          </cell>
          <cell r="DA15">
            <v>90</v>
          </cell>
          <cell r="DB15">
            <v>90</v>
          </cell>
          <cell r="DC15" t="str">
            <v>A</v>
          </cell>
          <cell r="DD15">
            <v>9</v>
          </cell>
          <cell r="DE15">
            <v>17</v>
          </cell>
          <cell r="DF15">
            <v>18</v>
          </cell>
          <cell r="DG15">
            <v>44</v>
          </cell>
          <cell r="DH15">
            <v>44</v>
          </cell>
          <cell r="DI15" t="str">
            <v>D</v>
          </cell>
          <cell r="DJ15">
            <v>790</v>
          </cell>
          <cell r="DK15">
            <v>790</v>
          </cell>
          <cell r="DL15">
            <v>0.46470588235294114</v>
          </cell>
          <cell r="DM15" t="str">
            <v>43rd</v>
          </cell>
          <cell r="DN15">
            <v>37</v>
          </cell>
          <cell r="DO15">
            <v>26</v>
          </cell>
          <cell r="DP15">
            <v>96</v>
          </cell>
          <cell r="DQ15" t="str">
            <v>45th</v>
          </cell>
          <cell r="DR15">
            <v>45</v>
          </cell>
          <cell r="DS15">
            <v>0</v>
          </cell>
          <cell r="DT15">
            <v>90</v>
          </cell>
          <cell r="DU15" t="str">
            <v>37th</v>
          </cell>
          <cell r="DV15">
            <v>49</v>
          </cell>
          <cell r="DW15">
            <v>0</v>
          </cell>
          <cell r="DX15">
            <v>78</v>
          </cell>
          <cell r="DY15" t="str">
            <v>33rd</v>
          </cell>
          <cell r="DZ15">
            <v>32</v>
          </cell>
          <cell r="EA15">
            <v>10</v>
          </cell>
          <cell r="EB15">
            <v>93</v>
          </cell>
          <cell r="EC15" t="str">
            <v>42nd</v>
          </cell>
          <cell r="ED15">
            <v>37</v>
          </cell>
          <cell r="EE15">
            <v>0</v>
          </cell>
          <cell r="EF15">
            <v>78</v>
          </cell>
          <cell r="EG15" t="str">
            <v>39th</v>
          </cell>
          <cell r="EH15">
            <v>69</v>
          </cell>
          <cell r="EI15">
            <v>36</v>
          </cell>
          <cell r="EJ15">
            <v>85</v>
          </cell>
          <cell r="EK15" t="str">
            <v>18th</v>
          </cell>
          <cell r="EL15">
            <v>71</v>
          </cell>
          <cell r="EM15">
            <v>0</v>
          </cell>
          <cell r="EN15">
            <v>87</v>
          </cell>
          <cell r="EO15" t="str">
            <v>33rd</v>
          </cell>
          <cell r="EP15">
            <v>16</v>
          </cell>
          <cell r="EQ15">
            <v>0</v>
          </cell>
          <cell r="ER15">
            <v>100</v>
          </cell>
          <cell r="ES15" t="str">
            <v>46th</v>
          </cell>
          <cell r="ET15">
            <v>19</v>
          </cell>
          <cell r="EU15">
            <v>5</v>
          </cell>
          <cell r="EV15">
            <v>70</v>
          </cell>
          <cell r="EW15" t="str">
            <v>43rd</v>
          </cell>
          <cell r="EX15">
            <v>57</v>
          </cell>
          <cell r="EY15">
            <v>0</v>
          </cell>
          <cell r="EZ15">
            <v>86</v>
          </cell>
          <cell r="FA15" t="str">
            <v>31st</v>
          </cell>
          <cell r="FB15">
            <v>0</v>
          </cell>
          <cell r="FC15">
            <v>0</v>
          </cell>
          <cell r="FD15">
            <v>0</v>
          </cell>
          <cell r="FE15" t="str">
            <v>1st</v>
          </cell>
          <cell r="FF15">
            <v>29</v>
          </cell>
          <cell r="FG15">
            <v>19</v>
          </cell>
          <cell r="FH15">
            <v>81</v>
          </cell>
          <cell r="FI15" t="str">
            <v>41st</v>
          </cell>
          <cell r="FJ15">
            <v>85</v>
          </cell>
          <cell r="FK15">
            <v>0</v>
          </cell>
          <cell r="FL15">
            <v>95</v>
          </cell>
          <cell r="FM15" t="str">
            <v>21st</v>
          </cell>
          <cell r="FN15">
            <v>42</v>
          </cell>
          <cell r="FO15">
            <v>0</v>
          </cell>
          <cell r="FP15">
            <v>84</v>
          </cell>
          <cell r="FQ15" t="str">
            <v>42nd</v>
          </cell>
          <cell r="FR15">
            <v>42</v>
          </cell>
          <cell r="FS15">
            <v>0</v>
          </cell>
          <cell r="FT15">
            <v>82</v>
          </cell>
          <cell r="FU15" t="str">
            <v>38th</v>
          </cell>
          <cell r="FV15">
            <v>26</v>
          </cell>
          <cell r="FW15">
            <v>0</v>
          </cell>
          <cell r="FX15">
            <v>85</v>
          </cell>
          <cell r="FY15" t="str">
            <v>46th</v>
          </cell>
          <cell r="FZ15">
            <v>90</v>
          </cell>
          <cell r="GA15">
            <v>0</v>
          </cell>
          <cell r="GB15">
            <v>95</v>
          </cell>
          <cell r="GC15" t="str">
            <v>7th</v>
          </cell>
          <cell r="GD15">
            <v>44</v>
          </cell>
          <cell r="GE15">
            <v>24</v>
          </cell>
          <cell r="GF15">
            <v>71</v>
          </cell>
          <cell r="GG15" t="str">
            <v>38th</v>
          </cell>
        </row>
        <row r="16">
          <cell r="A16" t="str">
            <v>BDS/22/008</v>
          </cell>
          <cell r="B16" t="str">
            <v>CHIONYE BRIGHT</v>
          </cell>
          <cell r="C16" t="str">
            <v>MALE</v>
          </cell>
          <cell r="D16" t="str">
            <v>19/07/2012</v>
          </cell>
          <cell r="E16" t="str">
            <v>DRAMA</v>
          </cell>
          <cell r="F16">
            <v>20</v>
          </cell>
          <cell r="G16">
            <v>20</v>
          </cell>
          <cell r="H16">
            <v>52</v>
          </cell>
          <cell r="I16">
            <v>92</v>
          </cell>
          <cell r="J16">
            <v>92</v>
          </cell>
          <cell r="K16" t="str">
            <v>A</v>
          </cell>
          <cell r="L16">
            <v>20</v>
          </cell>
          <cell r="M16">
            <v>15</v>
          </cell>
          <cell r="N16">
            <v>38</v>
          </cell>
          <cell r="O16">
            <v>73</v>
          </cell>
          <cell r="P16">
            <v>73</v>
          </cell>
          <cell r="Q16" t="str">
            <v>B1</v>
          </cell>
          <cell r="R16">
            <v>14</v>
          </cell>
          <cell r="S16">
            <v>20</v>
          </cell>
          <cell r="T16">
            <v>30</v>
          </cell>
          <cell r="U16">
            <v>64</v>
          </cell>
          <cell r="V16">
            <v>64</v>
          </cell>
          <cell r="W16" t="str">
            <v>B2</v>
          </cell>
          <cell r="X16">
            <v>15</v>
          </cell>
          <cell r="Y16">
            <v>15</v>
          </cell>
          <cell r="Z16">
            <v>25</v>
          </cell>
          <cell r="AA16">
            <v>55</v>
          </cell>
          <cell r="AB16">
            <v>55.000000000000007</v>
          </cell>
          <cell r="AC16" t="str">
            <v>C4</v>
          </cell>
          <cell r="AD16">
            <v>6</v>
          </cell>
          <cell r="AE16">
            <v>10</v>
          </cell>
          <cell r="AF16">
            <v>36</v>
          </cell>
          <cell r="AG16">
            <v>52</v>
          </cell>
          <cell r="AH16">
            <v>52</v>
          </cell>
          <cell r="AI16" t="str">
            <v>C4</v>
          </cell>
          <cell r="AJ16">
            <v>20</v>
          </cell>
          <cell r="AK16">
            <v>20</v>
          </cell>
          <cell r="AL16">
            <v>32</v>
          </cell>
          <cell r="AM16">
            <v>72</v>
          </cell>
          <cell r="AN16">
            <v>72</v>
          </cell>
          <cell r="AO16" t="str">
            <v>B1</v>
          </cell>
          <cell r="AP16">
            <v>17</v>
          </cell>
          <cell r="AQ16">
            <v>10</v>
          </cell>
          <cell r="AR16">
            <v>54</v>
          </cell>
          <cell r="AS16">
            <v>81</v>
          </cell>
          <cell r="AT16">
            <v>81</v>
          </cell>
          <cell r="AU16" t="str">
            <v>A</v>
          </cell>
          <cell r="AV16">
            <v>15</v>
          </cell>
          <cell r="AW16">
            <v>15</v>
          </cell>
          <cell r="AX16">
            <v>52</v>
          </cell>
          <cell r="AY16">
            <v>82</v>
          </cell>
          <cell r="AZ16">
            <v>82</v>
          </cell>
          <cell r="BA16" t="str">
            <v>A</v>
          </cell>
          <cell r="BB16">
            <v>4</v>
          </cell>
          <cell r="BC16">
            <v>10</v>
          </cell>
          <cell r="BD16">
            <v>25</v>
          </cell>
          <cell r="BE16">
            <v>39</v>
          </cell>
          <cell r="BF16">
            <v>39</v>
          </cell>
          <cell r="BG16" t="str">
            <v>E8</v>
          </cell>
          <cell r="BH16">
            <v>16</v>
          </cell>
          <cell r="BI16">
            <v>10</v>
          </cell>
          <cell r="BJ16">
            <v>41</v>
          </cell>
          <cell r="BK16">
            <v>67</v>
          </cell>
          <cell r="BL16">
            <v>67</v>
          </cell>
          <cell r="BM16" t="str">
            <v>B2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 t="str">
            <v>F9</v>
          </cell>
          <cell r="BT16">
            <v>20</v>
          </cell>
          <cell r="BU16">
            <v>15</v>
          </cell>
          <cell r="BV16">
            <v>33</v>
          </cell>
          <cell r="BW16">
            <v>68</v>
          </cell>
          <cell r="BX16">
            <v>68</v>
          </cell>
          <cell r="BY16" t="str">
            <v>B2</v>
          </cell>
          <cell r="BZ16">
            <v>15</v>
          </cell>
          <cell r="CA16">
            <v>15</v>
          </cell>
          <cell r="CB16">
            <v>50</v>
          </cell>
          <cell r="CC16">
            <v>80</v>
          </cell>
          <cell r="CD16">
            <v>80</v>
          </cell>
          <cell r="CE16" t="str">
            <v>B1</v>
          </cell>
          <cell r="CF16">
            <v>15</v>
          </cell>
          <cell r="CG16">
            <v>15</v>
          </cell>
          <cell r="CH16">
            <v>42</v>
          </cell>
          <cell r="CI16">
            <v>72</v>
          </cell>
          <cell r="CJ16">
            <v>72</v>
          </cell>
          <cell r="CK16" t="str">
            <v>B1</v>
          </cell>
          <cell r="CL16">
            <v>20</v>
          </cell>
          <cell r="CM16">
            <v>8</v>
          </cell>
          <cell r="CN16">
            <v>41</v>
          </cell>
          <cell r="CO16">
            <v>69</v>
          </cell>
          <cell r="CP16">
            <v>69</v>
          </cell>
          <cell r="CQ16" t="str">
            <v>B2</v>
          </cell>
          <cell r="CR16">
            <v>10</v>
          </cell>
          <cell r="CS16">
            <v>20</v>
          </cell>
          <cell r="CT16">
            <v>37</v>
          </cell>
          <cell r="CU16">
            <v>67</v>
          </cell>
          <cell r="CV16">
            <v>67</v>
          </cell>
          <cell r="CW16" t="str">
            <v>B2</v>
          </cell>
          <cell r="CX16">
            <v>15</v>
          </cell>
          <cell r="CY16">
            <v>20</v>
          </cell>
          <cell r="CZ16">
            <v>55</v>
          </cell>
          <cell r="DA16">
            <v>90</v>
          </cell>
          <cell r="DB16">
            <v>90</v>
          </cell>
          <cell r="DC16" t="str">
            <v>A</v>
          </cell>
          <cell r="DD16">
            <v>20</v>
          </cell>
          <cell r="DE16">
            <v>17</v>
          </cell>
          <cell r="DF16">
            <v>33</v>
          </cell>
          <cell r="DG16">
            <v>70</v>
          </cell>
          <cell r="DH16">
            <v>70</v>
          </cell>
          <cell r="DI16" t="str">
            <v>B2</v>
          </cell>
          <cell r="DJ16">
            <v>1193</v>
          </cell>
          <cell r="DK16">
            <v>1193</v>
          </cell>
          <cell r="DL16">
            <v>0.70176470588235285</v>
          </cell>
          <cell r="DM16" t="str">
            <v>10th</v>
          </cell>
          <cell r="DN16">
            <v>92</v>
          </cell>
          <cell r="DO16">
            <v>26</v>
          </cell>
          <cell r="DP16">
            <v>96</v>
          </cell>
          <cell r="DQ16" t="str">
            <v>4th</v>
          </cell>
          <cell r="DR16">
            <v>73</v>
          </cell>
          <cell r="DS16">
            <v>0</v>
          </cell>
          <cell r="DT16">
            <v>90</v>
          </cell>
          <cell r="DU16" t="str">
            <v>4th</v>
          </cell>
          <cell r="DV16">
            <v>64</v>
          </cell>
          <cell r="DW16">
            <v>0</v>
          </cell>
          <cell r="DX16">
            <v>78</v>
          </cell>
          <cell r="DY16" t="str">
            <v>10th</v>
          </cell>
          <cell r="DZ16">
            <v>55</v>
          </cell>
          <cell r="EA16">
            <v>10</v>
          </cell>
          <cell r="EB16">
            <v>93</v>
          </cell>
          <cell r="EC16" t="str">
            <v>25th</v>
          </cell>
          <cell r="ED16">
            <v>52</v>
          </cell>
          <cell r="EE16">
            <v>0</v>
          </cell>
          <cell r="EF16">
            <v>78</v>
          </cell>
          <cell r="EG16" t="str">
            <v>20th</v>
          </cell>
          <cell r="EH16">
            <v>72</v>
          </cell>
          <cell r="EI16">
            <v>36</v>
          </cell>
          <cell r="EJ16">
            <v>85</v>
          </cell>
          <cell r="EK16" t="str">
            <v>16th</v>
          </cell>
          <cell r="EL16">
            <v>81</v>
          </cell>
          <cell r="EM16">
            <v>0</v>
          </cell>
          <cell r="EN16">
            <v>87</v>
          </cell>
          <cell r="EO16" t="str">
            <v>11th</v>
          </cell>
          <cell r="EP16">
            <v>82</v>
          </cell>
          <cell r="EQ16">
            <v>0</v>
          </cell>
          <cell r="ER16">
            <v>100</v>
          </cell>
          <cell r="ES16" t="str">
            <v>12th</v>
          </cell>
          <cell r="ET16">
            <v>39</v>
          </cell>
          <cell r="EU16">
            <v>5</v>
          </cell>
          <cell r="EV16">
            <v>70</v>
          </cell>
          <cell r="EW16" t="str">
            <v>26th</v>
          </cell>
          <cell r="EX16">
            <v>67</v>
          </cell>
          <cell r="EY16">
            <v>0</v>
          </cell>
          <cell r="EZ16">
            <v>86</v>
          </cell>
          <cell r="FA16" t="str">
            <v>20th</v>
          </cell>
          <cell r="FB16">
            <v>0</v>
          </cell>
          <cell r="FC16">
            <v>0</v>
          </cell>
          <cell r="FD16">
            <v>0</v>
          </cell>
          <cell r="FE16" t="str">
            <v>1st</v>
          </cell>
          <cell r="FF16">
            <v>68</v>
          </cell>
          <cell r="FG16">
            <v>19</v>
          </cell>
          <cell r="FH16">
            <v>81</v>
          </cell>
          <cell r="FI16" t="str">
            <v>3rd</v>
          </cell>
          <cell r="FJ16">
            <v>80</v>
          </cell>
          <cell r="FK16">
            <v>0</v>
          </cell>
          <cell r="FL16">
            <v>95</v>
          </cell>
          <cell r="FM16" t="str">
            <v>45th</v>
          </cell>
          <cell r="FN16">
            <v>72</v>
          </cell>
          <cell r="FO16">
            <v>0</v>
          </cell>
          <cell r="FP16">
            <v>84</v>
          </cell>
          <cell r="FQ16" t="str">
            <v>9th</v>
          </cell>
          <cell r="FR16">
            <v>69</v>
          </cell>
          <cell r="FS16">
            <v>0</v>
          </cell>
          <cell r="FT16">
            <v>82</v>
          </cell>
          <cell r="FU16" t="str">
            <v>7th</v>
          </cell>
          <cell r="FV16">
            <v>67</v>
          </cell>
          <cell r="FW16">
            <v>0</v>
          </cell>
          <cell r="FX16">
            <v>85</v>
          </cell>
          <cell r="FY16" t="str">
            <v>14th</v>
          </cell>
          <cell r="FZ16">
            <v>90</v>
          </cell>
          <cell r="GA16">
            <v>0</v>
          </cell>
          <cell r="GB16">
            <v>95</v>
          </cell>
          <cell r="GC16" t="str">
            <v>7th</v>
          </cell>
          <cell r="GD16">
            <v>70</v>
          </cell>
          <cell r="GE16">
            <v>24</v>
          </cell>
          <cell r="GF16">
            <v>71</v>
          </cell>
          <cell r="GG16" t="str">
            <v>2nd</v>
          </cell>
        </row>
        <row r="17">
          <cell r="A17" t="str">
            <v>BDS/22/010</v>
          </cell>
          <cell r="B17" t="str">
            <v xml:space="preserve"> ENYINNAYA EXCEL MIRACLE </v>
          </cell>
          <cell r="C17" t="str">
            <v>MALE</v>
          </cell>
          <cell r="D17" t="str">
            <v>13/05/2009</v>
          </cell>
          <cell r="E17" t="str">
            <v>DRAMA</v>
          </cell>
          <cell r="F17">
            <v>18</v>
          </cell>
          <cell r="G17">
            <v>20</v>
          </cell>
          <cell r="H17">
            <v>33</v>
          </cell>
          <cell r="I17">
            <v>71</v>
          </cell>
          <cell r="J17">
            <v>71</v>
          </cell>
          <cell r="K17" t="str">
            <v>B1</v>
          </cell>
          <cell r="L17">
            <v>20</v>
          </cell>
          <cell r="M17">
            <v>15</v>
          </cell>
          <cell r="N17">
            <v>35</v>
          </cell>
          <cell r="O17">
            <v>70</v>
          </cell>
          <cell r="P17">
            <v>70</v>
          </cell>
          <cell r="Q17" t="str">
            <v>B2</v>
          </cell>
          <cell r="R17">
            <v>18</v>
          </cell>
          <cell r="S17">
            <v>20</v>
          </cell>
          <cell r="T17">
            <v>17</v>
          </cell>
          <cell r="U17">
            <v>55</v>
          </cell>
          <cell r="V17">
            <v>55.000000000000007</v>
          </cell>
          <cell r="W17" t="str">
            <v>C4</v>
          </cell>
          <cell r="X17">
            <v>16</v>
          </cell>
          <cell r="Y17">
            <v>16</v>
          </cell>
          <cell r="Z17">
            <v>22</v>
          </cell>
          <cell r="AA17">
            <v>54</v>
          </cell>
          <cell r="AB17">
            <v>54</v>
          </cell>
          <cell r="AC17" t="str">
            <v>C4</v>
          </cell>
          <cell r="AD17">
            <v>10</v>
          </cell>
          <cell r="AE17">
            <v>10</v>
          </cell>
          <cell r="AF17">
            <v>29</v>
          </cell>
          <cell r="AG17">
            <v>49</v>
          </cell>
          <cell r="AH17">
            <v>49</v>
          </cell>
          <cell r="AI17" t="str">
            <v>C5</v>
          </cell>
          <cell r="AJ17">
            <v>18</v>
          </cell>
          <cell r="AK17">
            <v>18</v>
          </cell>
          <cell r="AL17">
            <v>14</v>
          </cell>
          <cell r="AM17">
            <v>50</v>
          </cell>
          <cell r="AN17">
            <v>50</v>
          </cell>
          <cell r="AO17" t="str">
            <v>C5</v>
          </cell>
          <cell r="AP17">
            <v>16</v>
          </cell>
          <cell r="AQ17">
            <v>10</v>
          </cell>
          <cell r="AR17">
            <v>35</v>
          </cell>
          <cell r="AS17">
            <v>61</v>
          </cell>
          <cell r="AT17">
            <v>61</v>
          </cell>
          <cell r="AU17" t="str">
            <v>B2</v>
          </cell>
          <cell r="AV17">
            <v>15</v>
          </cell>
          <cell r="AW17">
            <v>15</v>
          </cell>
          <cell r="AX17">
            <v>50</v>
          </cell>
          <cell r="AY17">
            <v>80</v>
          </cell>
          <cell r="AZ17">
            <v>80</v>
          </cell>
          <cell r="BA17" t="str">
            <v>B1</v>
          </cell>
          <cell r="BB17">
            <v>5</v>
          </cell>
          <cell r="BC17">
            <v>2</v>
          </cell>
          <cell r="BD17">
            <v>13</v>
          </cell>
          <cell r="BE17">
            <v>20</v>
          </cell>
          <cell r="BF17">
            <v>20</v>
          </cell>
          <cell r="BG17" t="str">
            <v>F9</v>
          </cell>
          <cell r="BH17">
            <v>7</v>
          </cell>
          <cell r="BI17">
            <v>7</v>
          </cell>
          <cell r="BJ17">
            <v>39</v>
          </cell>
          <cell r="BK17">
            <v>53</v>
          </cell>
          <cell r="BL17">
            <v>53</v>
          </cell>
          <cell r="BM17" t="str">
            <v>C4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 t="str">
            <v>F9</v>
          </cell>
          <cell r="BT17">
            <v>5</v>
          </cell>
          <cell r="BU17">
            <v>15</v>
          </cell>
          <cell r="BV17">
            <v>24</v>
          </cell>
          <cell r="BW17">
            <v>44</v>
          </cell>
          <cell r="BX17">
            <v>44</v>
          </cell>
          <cell r="BY17" t="str">
            <v>D</v>
          </cell>
          <cell r="BZ17">
            <v>15</v>
          </cell>
          <cell r="CA17">
            <v>20</v>
          </cell>
          <cell r="CB17">
            <v>55</v>
          </cell>
          <cell r="CC17">
            <v>90</v>
          </cell>
          <cell r="CD17">
            <v>90</v>
          </cell>
          <cell r="CE17" t="str">
            <v>A</v>
          </cell>
          <cell r="CF17">
            <v>10</v>
          </cell>
          <cell r="CG17">
            <v>10</v>
          </cell>
          <cell r="CH17">
            <v>36</v>
          </cell>
          <cell r="CI17">
            <v>56</v>
          </cell>
          <cell r="CJ17">
            <v>56.000000000000007</v>
          </cell>
          <cell r="CK17" t="str">
            <v>C4</v>
          </cell>
          <cell r="CL17">
            <v>20</v>
          </cell>
          <cell r="CM17">
            <v>8</v>
          </cell>
          <cell r="CN17">
            <v>22</v>
          </cell>
          <cell r="CO17">
            <v>50</v>
          </cell>
          <cell r="CP17">
            <v>50</v>
          </cell>
          <cell r="CQ17" t="str">
            <v>C5</v>
          </cell>
          <cell r="CR17">
            <v>7</v>
          </cell>
          <cell r="CS17">
            <v>20</v>
          </cell>
          <cell r="CT17">
            <v>22</v>
          </cell>
          <cell r="CU17">
            <v>49</v>
          </cell>
          <cell r="CV17">
            <v>49</v>
          </cell>
          <cell r="CW17" t="str">
            <v>C5</v>
          </cell>
          <cell r="CX17">
            <v>15</v>
          </cell>
          <cell r="CY17">
            <v>20</v>
          </cell>
          <cell r="CZ17">
            <v>55</v>
          </cell>
          <cell r="DA17">
            <v>90</v>
          </cell>
          <cell r="DB17">
            <v>90</v>
          </cell>
          <cell r="DC17" t="str">
            <v>A</v>
          </cell>
          <cell r="DD17">
            <v>10</v>
          </cell>
          <cell r="DE17">
            <v>17</v>
          </cell>
          <cell r="DF17">
            <v>30</v>
          </cell>
          <cell r="DG17">
            <v>57</v>
          </cell>
          <cell r="DH17">
            <v>56.999999999999993</v>
          </cell>
          <cell r="DI17" t="str">
            <v>C4</v>
          </cell>
          <cell r="DJ17">
            <v>999</v>
          </cell>
          <cell r="DK17">
            <v>999</v>
          </cell>
          <cell r="DL17">
            <v>0.58764705882352941</v>
          </cell>
          <cell r="DM17" t="str">
            <v>34th</v>
          </cell>
          <cell r="DN17">
            <v>71</v>
          </cell>
          <cell r="DO17">
            <v>26</v>
          </cell>
          <cell r="DP17">
            <v>96</v>
          </cell>
          <cell r="DQ17" t="str">
            <v>31st</v>
          </cell>
          <cell r="DR17">
            <v>70</v>
          </cell>
          <cell r="DS17">
            <v>0</v>
          </cell>
          <cell r="DT17">
            <v>90</v>
          </cell>
          <cell r="DU17" t="str">
            <v>10th</v>
          </cell>
          <cell r="DV17">
            <v>55</v>
          </cell>
          <cell r="DW17">
            <v>0</v>
          </cell>
          <cell r="DX17">
            <v>78</v>
          </cell>
          <cell r="DY17" t="str">
            <v>24th</v>
          </cell>
          <cell r="DZ17">
            <v>54</v>
          </cell>
          <cell r="EA17">
            <v>10</v>
          </cell>
          <cell r="EB17">
            <v>93</v>
          </cell>
          <cell r="EC17" t="str">
            <v>27th</v>
          </cell>
          <cell r="ED17">
            <v>49</v>
          </cell>
          <cell r="EE17">
            <v>0</v>
          </cell>
          <cell r="EF17">
            <v>78</v>
          </cell>
          <cell r="EG17" t="str">
            <v>26th</v>
          </cell>
          <cell r="EH17">
            <v>50</v>
          </cell>
          <cell r="EI17">
            <v>36</v>
          </cell>
          <cell r="EJ17">
            <v>85</v>
          </cell>
          <cell r="EK17" t="str">
            <v>41st</v>
          </cell>
          <cell r="EL17">
            <v>61</v>
          </cell>
          <cell r="EM17">
            <v>0</v>
          </cell>
          <cell r="EN17">
            <v>87</v>
          </cell>
          <cell r="EO17" t="str">
            <v>40th</v>
          </cell>
          <cell r="EP17">
            <v>80</v>
          </cell>
          <cell r="EQ17">
            <v>0</v>
          </cell>
          <cell r="ER17">
            <v>100</v>
          </cell>
          <cell r="ES17" t="str">
            <v>16th</v>
          </cell>
          <cell r="ET17">
            <v>20</v>
          </cell>
          <cell r="EU17">
            <v>5</v>
          </cell>
          <cell r="EV17">
            <v>70</v>
          </cell>
          <cell r="EW17" t="str">
            <v>42nd</v>
          </cell>
          <cell r="EX17">
            <v>53</v>
          </cell>
          <cell r="EY17">
            <v>0</v>
          </cell>
          <cell r="EZ17">
            <v>86</v>
          </cell>
          <cell r="FA17" t="str">
            <v>35th</v>
          </cell>
          <cell r="FB17">
            <v>0</v>
          </cell>
          <cell r="FC17">
            <v>0</v>
          </cell>
          <cell r="FD17">
            <v>0</v>
          </cell>
          <cell r="FE17" t="str">
            <v>1st</v>
          </cell>
          <cell r="FF17">
            <v>44</v>
          </cell>
          <cell r="FG17">
            <v>19</v>
          </cell>
          <cell r="FH17">
            <v>81</v>
          </cell>
          <cell r="FI17" t="str">
            <v>29th</v>
          </cell>
          <cell r="FJ17">
            <v>90</v>
          </cell>
          <cell r="FK17">
            <v>0</v>
          </cell>
          <cell r="FL17">
            <v>95</v>
          </cell>
          <cell r="FM17" t="str">
            <v>6th</v>
          </cell>
          <cell r="FN17">
            <v>56</v>
          </cell>
          <cell r="FO17">
            <v>0</v>
          </cell>
          <cell r="FP17">
            <v>84</v>
          </cell>
          <cell r="FQ17" t="str">
            <v>31st</v>
          </cell>
          <cell r="FR17">
            <v>50</v>
          </cell>
          <cell r="FS17">
            <v>0</v>
          </cell>
          <cell r="FT17">
            <v>82</v>
          </cell>
          <cell r="FU17" t="str">
            <v>32nd</v>
          </cell>
          <cell r="FV17">
            <v>49</v>
          </cell>
          <cell r="FW17">
            <v>0</v>
          </cell>
          <cell r="FX17">
            <v>85</v>
          </cell>
          <cell r="FY17" t="str">
            <v>31st</v>
          </cell>
          <cell r="FZ17">
            <v>90</v>
          </cell>
          <cell r="GA17">
            <v>0</v>
          </cell>
          <cell r="GB17">
            <v>95</v>
          </cell>
          <cell r="GC17" t="str">
            <v>7th</v>
          </cell>
          <cell r="GD17">
            <v>57</v>
          </cell>
          <cell r="GE17">
            <v>24</v>
          </cell>
          <cell r="GF17">
            <v>71</v>
          </cell>
          <cell r="GG17" t="str">
            <v>14th</v>
          </cell>
        </row>
        <row r="18">
          <cell r="A18" t="str">
            <v>BDS/22/012</v>
          </cell>
          <cell r="B18" t="str">
            <v>OGBONNAYA FAVOUR IFEOMA</v>
          </cell>
          <cell r="C18" t="str">
            <v>FEMALE</v>
          </cell>
          <cell r="D18" t="str">
            <v>13/05/2010</v>
          </cell>
          <cell r="E18" t="str">
            <v xml:space="preserve">SINGING </v>
          </cell>
          <cell r="F18">
            <v>12</v>
          </cell>
          <cell r="G18">
            <v>20</v>
          </cell>
          <cell r="H18">
            <v>41</v>
          </cell>
          <cell r="I18">
            <v>73</v>
          </cell>
          <cell r="J18">
            <v>73</v>
          </cell>
          <cell r="K18" t="str">
            <v>B1</v>
          </cell>
          <cell r="L18">
            <v>19</v>
          </cell>
          <cell r="M18">
            <v>15</v>
          </cell>
          <cell r="N18">
            <v>23</v>
          </cell>
          <cell r="O18">
            <v>57</v>
          </cell>
          <cell r="P18">
            <v>56.999999999999993</v>
          </cell>
          <cell r="Q18" t="str">
            <v>C4</v>
          </cell>
          <cell r="R18">
            <v>10</v>
          </cell>
          <cell r="S18">
            <v>20</v>
          </cell>
          <cell r="T18">
            <v>30</v>
          </cell>
          <cell r="U18">
            <v>60</v>
          </cell>
          <cell r="V18">
            <v>60</v>
          </cell>
          <cell r="W18" t="str">
            <v>C4</v>
          </cell>
          <cell r="X18">
            <v>14</v>
          </cell>
          <cell r="Y18">
            <v>14</v>
          </cell>
          <cell r="Z18">
            <v>41</v>
          </cell>
          <cell r="AA18">
            <v>69</v>
          </cell>
          <cell r="AB18">
            <v>69</v>
          </cell>
          <cell r="AC18" t="str">
            <v>B2</v>
          </cell>
          <cell r="AD18">
            <v>10</v>
          </cell>
          <cell r="AE18">
            <v>10</v>
          </cell>
          <cell r="AF18">
            <v>52</v>
          </cell>
          <cell r="AG18">
            <v>72</v>
          </cell>
          <cell r="AH18">
            <v>72</v>
          </cell>
          <cell r="AI18" t="str">
            <v>B1</v>
          </cell>
          <cell r="AJ18">
            <v>20</v>
          </cell>
          <cell r="AK18">
            <v>20</v>
          </cell>
          <cell r="AL18">
            <v>35</v>
          </cell>
          <cell r="AM18">
            <v>75</v>
          </cell>
          <cell r="AN18">
            <v>75</v>
          </cell>
          <cell r="AO18" t="str">
            <v>B1</v>
          </cell>
          <cell r="AP18">
            <v>10</v>
          </cell>
          <cell r="AQ18">
            <v>10</v>
          </cell>
          <cell r="AR18">
            <v>53</v>
          </cell>
          <cell r="AS18">
            <v>73</v>
          </cell>
          <cell r="AT18">
            <v>73</v>
          </cell>
          <cell r="AU18" t="str">
            <v>B1</v>
          </cell>
          <cell r="AV18">
            <v>20</v>
          </cell>
          <cell r="AW18">
            <v>20</v>
          </cell>
          <cell r="AX18">
            <v>23</v>
          </cell>
          <cell r="AY18">
            <v>63</v>
          </cell>
          <cell r="AZ18">
            <v>63</v>
          </cell>
          <cell r="BA18" t="str">
            <v>B2</v>
          </cell>
          <cell r="BB18">
            <v>5</v>
          </cell>
          <cell r="BC18">
            <v>7</v>
          </cell>
          <cell r="BD18">
            <v>43</v>
          </cell>
          <cell r="BE18">
            <v>55</v>
          </cell>
          <cell r="BF18">
            <v>55.000000000000007</v>
          </cell>
          <cell r="BG18" t="str">
            <v>C4</v>
          </cell>
          <cell r="BH18">
            <v>16</v>
          </cell>
          <cell r="BI18">
            <v>10</v>
          </cell>
          <cell r="BJ18">
            <v>38</v>
          </cell>
          <cell r="BK18">
            <v>64</v>
          </cell>
          <cell r="BL18">
            <v>64</v>
          </cell>
          <cell r="BM18" t="str">
            <v>B2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 t="str">
            <v>F9</v>
          </cell>
          <cell r="BT18">
            <v>5</v>
          </cell>
          <cell r="BU18">
            <v>15</v>
          </cell>
          <cell r="BV18">
            <v>10</v>
          </cell>
          <cell r="BW18">
            <v>30</v>
          </cell>
          <cell r="BX18">
            <v>30</v>
          </cell>
          <cell r="BY18" t="str">
            <v>F9</v>
          </cell>
          <cell r="BZ18">
            <v>15</v>
          </cell>
          <cell r="CA18">
            <v>20</v>
          </cell>
          <cell r="CB18">
            <v>50</v>
          </cell>
          <cell r="CC18">
            <v>85</v>
          </cell>
          <cell r="CD18">
            <v>85</v>
          </cell>
          <cell r="CE18" t="str">
            <v>A</v>
          </cell>
          <cell r="CF18">
            <v>17</v>
          </cell>
          <cell r="CG18">
            <v>10</v>
          </cell>
          <cell r="CH18">
            <v>33</v>
          </cell>
          <cell r="CI18">
            <v>60</v>
          </cell>
          <cell r="CJ18">
            <v>60</v>
          </cell>
          <cell r="CK18" t="str">
            <v>C4</v>
          </cell>
          <cell r="CL18">
            <v>20</v>
          </cell>
          <cell r="CM18">
            <v>8</v>
          </cell>
          <cell r="CN18">
            <v>31</v>
          </cell>
          <cell r="CO18">
            <v>59</v>
          </cell>
          <cell r="CP18">
            <v>59</v>
          </cell>
          <cell r="CQ18" t="str">
            <v>C4</v>
          </cell>
          <cell r="CR18">
            <v>7</v>
          </cell>
          <cell r="CS18">
            <v>20</v>
          </cell>
          <cell r="CT18">
            <v>25</v>
          </cell>
          <cell r="CU18">
            <v>52</v>
          </cell>
          <cell r="CV18">
            <v>52</v>
          </cell>
          <cell r="CW18" t="str">
            <v>C4</v>
          </cell>
          <cell r="CX18">
            <v>15</v>
          </cell>
          <cell r="CY18">
            <v>20</v>
          </cell>
          <cell r="CZ18">
            <v>50</v>
          </cell>
          <cell r="DA18">
            <v>85</v>
          </cell>
          <cell r="DB18">
            <v>85</v>
          </cell>
          <cell r="DC18" t="str">
            <v>A</v>
          </cell>
          <cell r="DD18">
            <v>20</v>
          </cell>
          <cell r="DE18">
            <v>17</v>
          </cell>
          <cell r="DF18">
            <v>14</v>
          </cell>
          <cell r="DG18">
            <v>51</v>
          </cell>
          <cell r="DH18">
            <v>51</v>
          </cell>
          <cell r="DI18" t="str">
            <v>C4</v>
          </cell>
          <cell r="DJ18">
            <v>1083</v>
          </cell>
          <cell r="DK18">
            <v>1083</v>
          </cell>
          <cell r="DL18">
            <v>0.63705882352941179</v>
          </cell>
          <cell r="DM18" t="str">
            <v>21st</v>
          </cell>
          <cell r="DN18">
            <v>73</v>
          </cell>
          <cell r="DO18">
            <v>26</v>
          </cell>
          <cell r="DP18">
            <v>96</v>
          </cell>
          <cell r="DQ18" t="str">
            <v>28th</v>
          </cell>
          <cell r="DR18">
            <v>57</v>
          </cell>
          <cell r="DS18">
            <v>0</v>
          </cell>
          <cell r="DT18">
            <v>90</v>
          </cell>
          <cell r="DU18" t="str">
            <v>29th</v>
          </cell>
          <cell r="DV18">
            <v>60</v>
          </cell>
          <cell r="DW18">
            <v>0</v>
          </cell>
          <cell r="DX18">
            <v>78</v>
          </cell>
          <cell r="DY18" t="str">
            <v>16th</v>
          </cell>
          <cell r="DZ18">
            <v>69</v>
          </cell>
          <cell r="EA18">
            <v>10</v>
          </cell>
          <cell r="EB18">
            <v>93</v>
          </cell>
          <cell r="EC18" t="str">
            <v>8th</v>
          </cell>
          <cell r="ED18">
            <v>72</v>
          </cell>
          <cell r="EE18">
            <v>0</v>
          </cell>
          <cell r="EF18">
            <v>78</v>
          </cell>
          <cell r="EG18" t="str">
            <v>7th</v>
          </cell>
          <cell r="EH18">
            <v>75</v>
          </cell>
          <cell r="EI18">
            <v>36</v>
          </cell>
          <cell r="EJ18">
            <v>85</v>
          </cell>
          <cell r="EK18" t="str">
            <v>11th</v>
          </cell>
          <cell r="EL18">
            <v>73</v>
          </cell>
          <cell r="EM18">
            <v>0</v>
          </cell>
          <cell r="EN18">
            <v>87</v>
          </cell>
          <cell r="EO18" t="str">
            <v>26th</v>
          </cell>
          <cell r="EP18">
            <v>63</v>
          </cell>
          <cell r="EQ18">
            <v>0</v>
          </cell>
          <cell r="ER18">
            <v>100</v>
          </cell>
          <cell r="ES18" t="str">
            <v>31st</v>
          </cell>
          <cell r="ET18">
            <v>55</v>
          </cell>
          <cell r="EU18">
            <v>5</v>
          </cell>
          <cell r="EV18">
            <v>70</v>
          </cell>
          <cell r="EW18" t="str">
            <v>7th</v>
          </cell>
          <cell r="EX18">
            <v>64</v>
          </cell>
          <cell r="EY18">
            <v>0</v>
          </cell>
          <cell r="EZ18">
            <v>86</v>
          </cell>
          <cell r="FA18" t="str">
            <v>23rd</v>
          </cell>
          <cell r="FB18">
            <v>0</v>
          </cell>
          <cell r="FC18">
            <v>0</v>
          </cell>
          <cell r="FD18">
            <v>0</v>
          </cell>
          <cell r="FE18" t="str">
            <v>1st</v>
          </cell>
          <cell r="FF18">
            <v>30</v>
          </cell>
          <cell r="FG18">
            <v>19</v>
          </cell>
          <cell r="FH18">
            <v>81</v>
          </cell>
          <cell r="FI18" t="str">
            <v>39th</v>
          </cell>
          <cell r="FJ18">
            <v>85</v>
          </cell>
          <cell r="FK18">
            <v>0</v>
          </cell>
          <cell r="FL18">
            <v>95</v>
          </cell>
          <cell r="FM18" t="str">
            <v>21st</v>
          </cell>
          <cell r="FN18">
            <v>60</v>
          </cell>
          <cell r="FO18">
            <v>0</v>
          </cell>
          <cell r="FP18">
            <v>84</v>
          </cell>
          <cell r="FQ18" t="str">
            <v>28th</v>
          </cell>
          <cell r="FR18">
            <v>59</v>
          </cell>
          <cell r="FS18">
            <v>0</v>
          </cell>
          <cell r="FT18">
            <v>82</v>
          </cell>
          <cell r="FU18" t="str">
            <v>16th</v>
          </cell>
          <cell r="FV18">
            <v>52</v>
          </cell>
          <cell r="FW18">
            <v>0</v>
          </cell>
          <cell r="FX18">
            <v>85</v>
          </cell>
          <cell r="FY18" t="str">
            <v>26th</v>
          </cell>
          <cell r="FZ18">
            <v>85</v>
          </cell>
          <cell r="GA18">
            <v>0</v>
          </cell>
          <cell r="GB18">
            <v>95</v>
          </cell>
          <cell r="GC18" t="str">
            <v>31st</v>
          </cell>
          <cell r="GD18">
            <v>51</v>
          </cell>
          <cell r="GE18">
            <v>24</v>
          </cell>
          <cell r="GF18">
            <v>71</v>
          </cell>
          <cell r="GG18" t="str">
            <v>24th</v>
          </cell>
        </row>
        <row r="19">
          <cell r="A19" t="str">
            <v>BDS/22/013</v>
          </cell>
          <cell r="B19" t="str">
            <v>UBADIRE FORTUNE EMMANUEL</v>
          </cell>
          <cell r="C19" t="str">
            <v>MALE</v>
          </cell>
          <cell r="D19" t="str">
            <v>14/01/2012</v>
          </cell>
          <cell r="E19" t="str">
            <v>JET</v>
          </cell>
          <cell r="F19">
            <v>10</v>
          </cell>
          <cell r="G19">
            <v>10</v>
          </cell>
          <cell r="H19">
            <v>55</v>
          </cell>
          <cell r="I19">
            <v>75</v>
          </cell>
          <cell r="J19">
            <v>75</v>
          </cell>
          <cell r="K19" t="str">
            <v>B1</v>
          </cell>
          <cell r="L19">
            <v>20</v>
          </cell>
          <cell r="M19">
            <v>15</v>
          </cell>
          <cell r="N19">
            <v>33</v>
          </cell>
          <cell r="O19">
            <v>68</v>
          </cell>
          <cell r="P19">
            <v>68</v>
          </cell>
          <cell r="Q19" t="str">
            <v>B2</v>
          </cell>
          <cell r="R19">
            <v>10</v>
          </cell>
          <cell r="S19">
            <v>10</v>
          </cell>
          <cell r="T19">
            <v>30</v>
          </cell>
          <cell r="U19">
            <v>50</v>
          </cell>
          <cell r="V19">
            <v>50</v>
          </cell>
          <cell r="W19" t="str">
            <v>C5</v>
          </cell>
          <cell r="X19">
            <v>15</v>
          </cell>
          <cell r="Y19">
            <v>15</v>
          </cell>
          <cell r="Z19">
            <v>37</v>
          </cell>
          <cell r="AA19">
            <v>67</v>
          </cell>
          <cell r="AB19">
            <v>67</v>
          </cell>
          <cell r="AC19" t="str">
            <v>B2</v>
          </cell>
          <cell r="AD19">
            <v>10</v>
          </cell>
          <cell r="AE19">
            <v>10</v>
          </cell>
          <cell r="AF19">
            <v>29</v>
          </cell>
          <cell r="AG19">
            <v>49</v>
          </cell>
          <cell r="AH19">
            <v>49</v>
          </cell>
          <cell r="AI19" t="str">
            <v>C5</v>
          </cell>
          <cell r="AJ19">
            <v>20</v>
          </cell>
          <cell r="AK19">
            <v>20</v>
          </cell>
          <cell r="AL19">
            <v>33</v>
          </cell>
          <cell r="AM19">
            <v>73</v>
          </cell>
          <cell r="AN19">
            <v>73</v>
          </cell>
          <cell r="AO19" t="str">
            <v>B1</v>
          </cell>
          <cell r="AP19">
            <v>18</v>
          </cell>
          <cell r="AQ19">
            <v>10</v>
          </cell>
          <cell r="AR19">
            <v>56</v>
          </cell>
          <cell r="AS19">
            <v>84</v>
          </cell>
          <cell r="AT19">
            <v>84</v>
          </cell>
          <cell r="AU19" t="str">
            <v>A</v>
          </cell>
          <cell r="AV19">
            <v>15</v>
          </cell>
          <cell r="AW19">
            <v>15</v>
          </cell>
          <cell r="AX19">
            <v>53</v>
          </cell>
          <cell r="AY19">
            <v>83</v>
          </cell>
          <cell r="AZ19">
            <v>83</v>
          </cell>
          <cell r="BA19" t="str">
            <v>A</v>
          </cell>
          <cell r="BB19">
            <v>2</v>
          </cell>
          <cell r="BC19">
            <v>3</v>
          </cell>
          <cell r="BD19">
            <v>26</v>
          </cell>
          <cell r="BE19">
            <v>31</v>
          </cell>
          <cell r="BF19">
            <v>31</v>
          </cell>
          <cell r="BG19" t="str">
            <v>F9</v>
          </cell>
          <cell r="BH19">
            <v>14</v>
          </cell>
          <cell r="BI19">
            <v>20</v>
          </cell>
          <cell r="BJ19">
            <v>38</v>
          </cell>
          <cell r="BK19">
            <v>72</v>
          </cell>
          <cell r="BL19">
            <v>72</v>
          </cell>
          <cell r="BM19" t="str">
            <v>B1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 t="str">
            <v>F9</v>
          </cell>
          <cell r="BT19">
            <v>5</v>
          </cell>
          <cell r="BU19">
            <v>14</v>
          </cell>
          <cell r="BV19">
            <v>35</v>
          </cell>
          <cell r="BW19">
            <v>54</v>
          </cell>
          <cell r="BX19">
            <v>54</v>
          </cell>
          <cell r="BY19" t="str">
            <v>C4</v>
          </cell>
          <cell r="BZ19">
            <v>15</v>
          </cell>
          <cell r="CA19">
            <v>20</v>
          </cell>
          <cell r="CB19">
            <v>50</v>
          </cell>
          <cell r="CC19">
            <v>85</v>
          </cell>
          <cell r="CD19">
            <v>85</v>
          </cell>
          <cell r="CE19" t="str">
            <v>A</v>
          </cell>
          <cell r="CF19">
            <v>10</v>
          </cell>
          <cell r="CG19">
            <v>7</v>
          </cell>
          <cell r="CH19">
            <v>48</v>
          </cell>
          <cell r="CI19">
            <v>65</v>
          </cell>
          <cell r="CJ19">
            <v>65</v>
          </cell>
          <cell r="CK19" t="str">
            <v>B2</v>
          </cell>
          <cell r="CL19">
            <v>20</v>
          </cell>
          <cell r="CM19">
            <v>12</v>
          </cell>
          <cell r="CN19">
            <v>31</v>
          </cell>
          <cell r="CO19">
            <v>63</v>
          </cell>
          <cell r="CP19">
            <v>63</v>
          </cell>
          <cell r="CQ19" t="str">
            <v>B2</v>
          </cell>
          <cell r="CR19">
            <v>12</v>
          </cell>
          <cell r="CS19">
            <v>20</v>
          </cell>
          <cell r="CT19">
            <v>40</v>
          </cell>
          <cell r="CU19">
            <v>72</v>
          </cell>
          <cell r="CV19">
            <v>72</v>
          </cell>
          <cell r="CW19" t="str">
            <v>B1</v>
          </cell>
          <cell r="CX19">
            <v>15</v>
          </cell>
          <cell r="CY19">
            <v>20</v>
          </cell>
          <cell r="CZ19">
            <v>50</v>
          </cell>
          <cell r="DA19">
            <v>85</v>
          </cell>
          <cell r="DB19">
            <v>85</v>
          </cell>
          <cell r="DC19" t="str">
            <v>A</v>
          </cell>
          <cell r="DD19">
            <v>15</v>
          </cell>
          <cell r="DE19">
            <v>17</v>
          </cell>
          <cell r="DF19">
            <v>14</v>
          </cell>
          <cell r="DG19">
            <v>46</v>
          </cell>
          <cell r="DH19">
            <v>46</v>
          </cell>
          <cell r="DI19" t="str">
            <v>C5</v>
          </cell>
          <cell r="DJ19">
            <v>1122</v>
          </cell>
          <cell r="DK19">
            <v>1122</v>
          </cell>
          <cell r="DL19">
            <v>0.66</v>
          </cell>
          <cell r="DM19" t="str">
            <v>16th</v>
          </cell>
          <cell r="DN19">
            <v>75</v>
          </cell>
          <cell r="DO19">
            <v>26</v>
          </cell>
          <cell r="DP19">
            <v>96</v>
          </cell>
          <cell r="DQ19" t="str">
            <v>25th</v>
          </cell>
          <cell r="DR19">
            <v>68</v>
          </cell>
          <cell r="DS19">
            <v>0</v>
          </cell>
          <cell r="DT19">
            <v>90</v>
          </cell>
          <cell r="DU19" t="str">
            <v>14th</v>
          </cell>
          <cell r="DV19">
            <v>50</v>
          </cell>
          <cell r="DW19">
            <v>0</v>
          </cell>
          <cell r="DX19">
            <v>78</v>
          </cell>
          <cell r="DY19" t="str">
            <v>31st</v>
          </cell>
          <cell r="DZ19">
            <v>67</v>
          </cell>
          <cell r="EA19">
            <v>10</v>
          </cell>
          <cell r="EB19">
            <v>93</v>
          </cell>
          <cell r="EC19" t="str">
            <v>12th</v>
          </cell>
          <cell r="ED19">
            <v>49</v>
          </cell>
          <cell r="EE19">
            <v>0</v>
          </cell>
          <cell r="EF19">
            <v>78</v>
          </cell>
          <cell r="EG19" t="str">
            <v>26th</v>
          </cell>
          <cell r="EH19">
            <v>73</v>
          </cell>
          <cell r="EI19">
            <v>36</v>
          </cell>
          <cell r="EJ19">
            <v>85</v>
          </cell>
          <cell r="EK19" t="str">
            <v>14th</v>
          </cell>
          <cell r="EL19">
            <v>84</v>
          </cell>
          <cell r="EM19">
            <v>0</v>
          </cell>
          <cell r="EN19">
            <v>87</v>
          </cell>
          <cell r="EO19" t="str">
            <v>6th</v>
          </cell>
          <cell r="EP19">
            <v>83</v>
          </cell>
          <cell r="EQ19">
            <v>0</v>
          </cell>
          <cell r="ER19">
            <v>100</v>
          </cell>
          <cell r="ES19" t="str">
            <v>11th</v>
          </cell>
          <cell r="ET19">
            <v>31</v>
          </cell>
          <cell r="EU19">
            <v>5</v>
          </cell>
          <cell r="EV19">
            <v>70</v>
          </cell>
          <cell r="EW19" t="str">
            <v>35th</v>
          </cell>
          <cell r="EX19">
            <v>72</v>
          </cell>
          <cell r="EY19">
            <v>0</v>
          </cell>
          <cell r="EZ19">
            <v>86</v>
          </cell>
          <cell r="FA19" t="str">
            <v>13th</v>
          </cell>
          <cell r="FB19">
            <v>0</v>
          </cell>
          <cell r="FC19">
            <v>0</v>
          </cell>
          <cell r="FD19">
            <v>0</v>
          </cell>
          <cell r="FE19" t="str">
            <v>1st</v>
          </cell>
          <cell r="FF19">
            <v>54</v>
          </cell>
          <cell r="FG19">
            <v>19</v>
          </cell>
          <cell r="FH19">
            <v>81</v>
          </cell>
          <cell r="FI19" t="str">
            <v>19th</v>
          </cell>
          <cell r="FJ19">
            <v>85</v>
          </cell>
          <cell r="FK19">
            <v>0</v>
          </cell>
          <cell r="FL19">
            <v>95</v>
          </cell>
          <cell r="FM19" t="str">
            <v>21st</v>
          </cell>
          <cell r="FN19">
            <v>65</v>
          </cell>
          <cell r="FO19">
            <v>0</v>
          </cell>
          <cell r="FP19">
            <v>84</v>
          </cell>
          <cell r="FQ19" t="str">
            <v>21st</v>
          </cell>
          <cell r="FR19">
            <v>63</v>
          </cell>
          <cell r="FS19">
            <v>0</v>
          </cell>
          <cell r="FT19">
            <v>82</v>
          </cell>
          <cell r="FU19" t="str">
            <v>12th</v>
          </cell>
          <cell r="FV19">
            <v>72</v>
          </cell>
          <cell r="FW19">
            <v>0</v>
          </cell>
          <cell r="FX19">
            <v>85</v>
          </cell>
          <cell r="FY19" t="str">
            <v>10th</v>
          </cell>
          <cell r="FZ19">
            <v>85</v>
          </cell>
          <cell r="GA19">
            <v>0</v>
          </cell>
          <cell r="GB19">
            <v>95</v>
          </cell>
          <cell r="GC19" t="str">
            <v>31st</v>
          </cell>
          <cell r="GD19">
            <v>46</v>
          </cell>
          <cell r="GE19">
            <v>24</v>
          </cell>
          <cell r="GF19">
            <v>71</v>
          </cell>
          <cell r="GG19" t="str">
            <v>36th</v>
          </cell>
        </row>
        <row r="20">
          <cell r="A20" t="str">
            <v>BDS/22/015</v>
          </cell>
          <cell r="B20" t="str">
            <v>IHEME SOLOMON</v>
          </cell>
          <cell r="C20" t="str">
            <v>MALE</v>
          </cell>
          <cell r="D20" t="str">
            <v>14/01/2012</v>
          </cell>
          <cell r="E20" t="str">
            <v>DRAMA</v>
          </cell>
          <cell r="F20">
            <v>15</v>
          </cell>
          <cell r="G20">
            <v>15</v>
          </cell>
          <cell r="H20">
            <v>55</v>
          </cell>
          <cell r="I20">
            <v>85</v>
          </cell>
          <cell r="J20">
            <v>85</v>
          </cell>
          <cell r="K20" t="str">
            <v>A</v>
          </cell>
          <cell r="L20">
            <v>20</v>
          </cell>
          <cell r="M20">
            <v>15</v>
          </cell>
          <cell r="N20">
            <v>39</v>
          </cell>
          <cell r="O20">
            <v>74</v>
          </cell>
          <cell r="P20">
            <v>74</v>
          </cell>
          <cell r="Q20" t="str">
            <v>B1</v>
          </cell>
          <cell r="R20">
            <v>12</v>
          </cell>
          <cell r="S20">
            <v>20</v>
          </cell>
          <cell r="T20">
            <v>24</v>
          </cell>
          <cell r="U20">
            <v>56</v>
          </cell>
          <cell r="V20">
            <v>56.000000000000007</v>
          </cell>
          <cell r="W20" t="str">
            <v>C4</v>
          </cell>
          <cell r="X20">
            <v>15</v>
          </cell>
          <cell r="Y20">
            <v>15</v>
          </cell>
          <cell r="Z20">
            <v>33</v>
          </cell>
          <cell r="AA20">
            <v>63</v>
          </cell>
          <cell r="AB20">
            <v>63</v>
          </cell>
          <cell r="AC20" t="str">
            <v>B2</v>
          </cell>
          <cell r="AD20">
            <v>15</v>
          </cell>
          <cell r="AE20">
            <v>15</v>
          </cell>
          <cell r="AF20">
            <v>21</v>
          </cell>
          <cell r="AG20">
            <v>51</v>
          </cell>
          <cell r="AH20">
            <v>51</v>
          </cell>
          <cell r="AI20" t="str">
            <v>C4</v>
          </cell>
          <cell r="AJ20">
            <v>20</v>
          </cell>
          <cell r="AK20">
            <v>20</v>
          </cell>
          <cell r="AL20">
            <v>33</v>
          </cell>
          <cell r="AM20">
            <v>73</v>
          </cell>
          <cell r="AN20">
            <v>73</v>
          </cell>
          <cell r="AO20" t="str">
            <v>B1</v>
          </cell>
          <cell r="AP20">
            <v>16</v>
          </cell>
          <cell r="AQ20">
            <v>10</v>
          </cell>
          <cell r="AR20">
            <v>52</v>
          </cell>
          <cell r="AS20">
            <v>78</v>
          </cell>
          <cell r="AT20">
            <v>78</v>
          </cell>
          <cell r="AU20" t="str">
            <v>B1</v>
          </cell>
          <cell r="AV20">
            <v>15</v>
          </cell>
          <cell r="AW20">
            <v>10</v>
          </cell>
          <cell r="AX20">
            <v>56</v>
          </cell>
          <cell r="AY20">
            <v>81</v>
          </cell>
          <cell r="AZ20">
            <v>81</v>
          </cell>
          <cell r="BA20" t="str">
            <v>A</v>
          </cell>
          <cell r="BB20">
            <v>16</v>
          </cell>
          <cell r="BC20">
            <v>4</v>
          </cell>
          <cell r="BD20">
            <v>23</v>
          </cell>
          <cell r="BE20">
            <v>43</v>
          </cell>
          <cell r="BF20">
            <v>43</v>
          </cell>
          <cell r="BG20" t="str">
            <v>D</v>
          </cell>
          <cell r="BH20">
            <v>18</v>
          </cell>
          <cell r="BI20">
            <v>20</v>
          </cell>
          <cell r="BJ20">
            <v>37</v>
          </cell>
          <cell r="BK20">
            <v>75</v>
          </cell>
          <cell r="BL20">
            <v>75</v>
          </cell>
          <cell r="BM20" t="str">
            <v>B1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 t="str">
            <v>F9</v>
          </cell>
          <cell r="BT20">
            <v>18</v>
          </cell>
          <cell r="BU20">
            <v>14</v>
          </cell>
          <cell r="BV20">
            <v>23</v>
          </cell>
          <cell r="BW20">
            <v>55</v>
          </cell>
          <cell r="BX20">
            <v>55.000000000000007</v>
          </cell>
          <cell r="BY20" t="str">
            <v>C4</v>
          </cell>
          <cell r="BZ20">
            <v>15</v>
          </cell>
          <cell r="CA20">
            <v>20</v>
          </cell>
          <cell r="CB20">
            <v>50</v>
          </cell>
          <cell r="CC20">
            <v>85</v>
          </cell>
          <cell r="CD20">
            <v>85</v>
          </cell>
          <cell r="CE20" t="str">
            <v>A</v>
          </cell>
          <cell r="CF20">
            <v>3</v>
          </cell>
          <cell r="CG20">
            <v>2</v>
          </cell>
          <cell r="CH20">
            <v>45</v>
          </cell>
          <cell r="CI20">
            <v>50</v>
          </cell>
          <cell r="CJ20">
            <v>50</v>
          </cell>
          <cell r="CK20" t="str">
            <v>C5</v>
          </cell>
          <cell r="CL20">
            <v>20</v>
          </cell>
          <cell r="CM20">
            <v>15</v>
          </cell>
          <cell r="CN20">
            <v>23</v>
          </cell>
          <cell r="CO20">
            <v>58</v>
          </cell>
          <cell r="CP20">
            <v>57.999999999999993</v>
          </cell>
          <cell r="CQ20" t="str">
            <v>C4</v>
          </cell>
          <cell r="CR20">
            <v>15</v>
          </cell>
          <cell r="CS20">
            <v>20</v>
          </cell>
          <cell r="CT20">
            <v>33</v>
          </cell>
          <cell r="CU20">
            <v>68</v>
          </cell>
          <cell r="CV20">
            <v>68</v>
          </cell>
          <cell r="CW20" t="str">
            <v>B2</v>
          </cell>
          <cell r="CX20">
            <v>15</v>
          </cell>
          <cell r="CY20">
            <v>20</v>
          </cell>
          <cell r="CZ20">
            <v>50</v>
          </cell>
          <cell r="DA20">
            <v>85</v>
          </cell>
          <cell r="DB20">
            <v>85</v>
          </cell>
          <cell r="DC20" t="str">
            <v>A</v>
          </cell>
          <cell r="DD20">
            <v>19</v>
          </cell>
          <cell r="DE20">
            <v>17</v>
          </cell>
          <cell r="DF20">
            <v>27</v>
          </cell>
          <cell r="DG20">
            <v>63</v>
          </cell>
          <cell r="DH20">
            <v>63</v>
          </cell>
          <cell r="DI20" t="str">
            <v>B2</v>
          </cell>
          <cell r="DJ20">
            <v>1143</v>
          </cell>
          <cell r="DK20">
            <v>1143</v>
          </cell>
          <cell r="DL20">
            <v>0.6723529411764706</v>
          </cell>
          <cell r="DM20" t="str">
            <v>15th</v>
          </cell>
          <cell r="DN20">
            <v>85</v>
          </cell>
          <cell r="DO20">
            <v>26</v>
          </cell>
          <cell r="DP20">
            <v>96</v>
          </cell>
          <cell r="DQ20" t="str">
            <v>14th</v>
          </cell>
          <cell r="DR20">
            <v>74</v>
          </cell>
          <cell r="DS20">
            <v>0</v>
          </cell>
          <cell r="DT20">
            <v>90</v>
          </cell>
          <cell r="DU20" t="str">
            <v>3rd</v>
          </cell>
          <cell r="DV20">
            <v>56</v>
          </cell>
          <cell r="DW20">
            <v>0</v>
          </cell>
          <cell r="DX20">
            <v>78</v>
          </cell>
          <cell r="DY20" t="str">
            <v>22nd</v>
          </cell>
          <cell r="DZ20">
            <v>63</v>
          </cell>
          <cell r="EA20">
            <v>10</v>
          </cell>
          <cell r="EB20">
            <v>93</v>
          </cell>
          <cell r="EC20" t="str">
            <v>19th</v>
          </cell>
          <cell r="ED20">
            <v>51</v>
          </cell>
          <cell r="EE20">
            <v>0</v>
          </cell>
          <cell r="EF20">
            <v>78</v>
          </cell>
          <cell r="EG20" t="str">
            <v>22nd</v>
          </cell>
          <cell r="EH20">
            <v>73</v>
          </cell>
          <cell r="EI20">
            <v>36</v>
          </cell>
          <cell r="EJ20">
            <v>85</v>
          </cell>
          <cell r="EK20" t="str">
            <v>14th</v>
          </cell>
          <cell r="EL20">
            <v>78</v>
          </cell>
          <cell r="EM20">
            <v>0</v>
          </cell>
          <cell r="EN20">
            <v>87</v>
          </cell>
          <cell r="EO20" t="str">
            <v>18th</v>
          </cell>
          <cell r="EP20">
            <v>81</v>
          </cell>
          <cell r="EQ20">
            <v>0</v>
          </cell>
          <cell r="ER20">
            <v>100</v>
          </cell>
          <cell r="ES20" t="str">
            <v>14th</v>
          </cell>
          <cell r="ET20">
            <v>43</v>
          </cell>
          <cell r="EU20">
            <v>5</v>
          </cell>
          <cell r="EV20">
            <v>70</v>
          </cell>
          <cell r="EW20" t="str">
            <v>18th</v>
          </cell>
          <cell r="EX20">
            <v>75</v>
          </cell>
          <cell r="EY20">
            <v>0</v>
          </cell>
          <cell r="EZ20">
            <v>86</v>
          </cell>
          <cell r="FA20" t="str">
            <v>10th</v>
          </cell>
          <cell r="FB20">
            <v>0</v>
          </cell>
          <cell r="FC20">
            <v>0</v>
          </cell>
          <cell r="FD20">
            <v>0</v>
          </cell>
          <cell r="FE20" t="str">
            <v>1st</v>
          </cell>
          <cell r="FF20">
            <v>55</v>
          </cell>
          <cell r="FG20">
            <v>19</v>
          </cell>
          <cell r="FH20">
            <v>81</v>
          </cell>
          <cell r="FI20" t="str">
            <v>18th</v>
          </cell>
          <cell r="FJ20">
            <v>85</v>
          </cell>
          <cell r="FK20">
            <v>0</v>
          </cell>
          <cell r="FL20">
            <v>95</v>
          </cell>
          <cell r="FM20" t="str">
            <v>21st</v>
          </cell>
          <cell r="FN20">
            <v>50</v>
          </cell>
          <cell r="FO20">
            <v>0</v>
          </cell>
          <cell r="FP20">
            <v>84</v>
          </cell>
          <cell r="FQ20" t="str">
            <v>37th</v>
          </cell>
          <cell r="FR20">
            <v>58</v>
          </cell>
          <cell r="FS20">
            <v>0</v>
          </cell>
          <cell r="FT20">
            <v>82</v>
          </cell>
          <cell r="FU20" t="str">
            <v>17th</v>
          </cell>
          <cell r="FV20">
            <v>68</v>
          </cell>
          <cell r="FW20">
            <v>0</v>
          </cell>
          <cell r="FX20">
            <v>85</v>
          </cell>
          <cell r="FY20" t="str">
            <v>13th</v>
          </cell>
          <cell r="FZ20">
            <v>85</v>
          </cell>
          <cell r="GA20">
            <v>0</v>
          </cell>
          <cell r="GB20">
            <v>95</v>
          </cell>
          <cell r="GC20" t="str">
            <v>31st</v>
          </cell>
          <cell r="GD20">
            <v>63</v>
          </cell>
          <cell r="GE20">
            <v>24</v>
          </cell>
          <cell r="GF20">
            <v>71</v>
          </cell>
          <cell r="GG20" t="str">
            <v>6th</v>
          </cell>
        </row>
        <row r="21">
          <cell r="A21" t="str">
            <v>BDS/22/017</v>
          </cell>
          <cell r="B21" t="str">
            <v>IWUCHUKWU PRECIOUS</v>
          </cell>
          <cell r="C21" t="str">
            <v>FEMALE</v>
          </cell>
          <cell r="D21" t="str">
            <v>27/05/2011</v>
          </cell>
          <cell r="E21" t="str">
            <v>DRAMA</v>
          </cell>
          <cell r="F21">
            <v>16</v>
          </cell>
          <cell r="G21">
            <v>20</v>
          </cell>
          <cell r="H21">
            <v>35</v>
          </cell>
          <cell r="I21">
            <v>71</v>
          </cell>
          <cell r="J21">
            <v>71</v>
          </cell>
          <cell r="K21" t="str">
            <v>B1</v>
          </cell>
          <cell r="L21">
            <v>15</v>
          </cell>
          <cell r="M21">
            <v>0</v>
          </cell>
          <cell r="N21">
            <v>35</v>
          </cell>
          <cell r="O21">
            <v>50</v>
          </cell>
          <cell r="P21">
            <v>50</v>
          </cell>
          <cell r="Q21" t="str">
            <v>C5</v>
          </cell>
          <cell r="R21">
            <v>6</v>
          </cell>
          <cell r="S21">
            <v>20</v>
          </cell>
          <cell r="T21">
            <v>26</v>
          </cell>
          <cell r="U21">
            <v>52</v>
          </cell>
          <cell r="V21">
            <v>52</v>
          </cell>
          <cell r="W21" t="str">
            <v>C4</v>
          </cell>
          <cell r="X21">
            <v>13</v>
          </cell>
          <cell r="Y21">
            <v>13</v>
          </cell>
          <cell r="Z21">
            <v>30</v>
          </cell>
          <cell r="AA21">
            <v>56</v>
          </cell>
          <cell r="AB21">
            <v>56.000000000000007</v>
          </cell>
          <cell r="AC21" t="str">
            <v>C4</v>
          </cell>
          <cell r="AD21">
            <v>8</v>
          </cell>
          <cell r="AE21">
            <v>15</v>
          </cell>
          <cell r="AF21">
            <v>15</v>
          </cell>
          <cell r="AG21">
            <v>38</v>
          </cell>
          <cell r="AH21">
            <v>38</v>
          </cell>
          <cell r="AI21" t="str">
            <v>E8</v>
          </cell>
          <cell r="AJ21">
            <v>20</v>
          </cell>
          <cell r="AK21">
            <v>20</v>
          </cell>
          <cell r="AL21">
            <v>17</v>
          </cell>
          <cell r="AM21">
            <v>57</v>
          </cell>
          <cell r="AN21">
            <v>56.999999999999993</v>
          </cell>
          <cell r="AO21" t="str">
            <v>C4</v>
          </cell>
          <cell r="AP21">
            <v>13</v>
          </cell>
          <cell r="AQ21">
            <v>10</v>
          </cell>
          <cell r="AR21">
            <v>19</v>
          </cell>
          <cell r="AS21">
            <v>42</v>
          </cell>
          <cell r="AT21">
            <v>42</v>
          </cell>
          <cell r="AU21" t="str">
            <v>D</v>
          </cell>
          <cell r="AV21">
            <v>10</v>
          </cell>
          <cell r="AW21">
            <v>10</v>
          </cell>
          <cell r="AX21">
            <v>10</v>
          </cell>
          <cell r="AY21">
            <v>30</v>
          </cell>
          <cell r="AZ21">
            <v>30</v>
          </cell>
          <cell r="BA21" t="str">
            <v>F9</v>
          </cell>
          <cell r="BB21">
            <v>14</v>
          </cell>
          <cell r="BC21">
            <v>2</v>
          </cell>
          <cell r="BD21">
            <v>16</v>
          </cell>
          <cell r="BE21">
            <v>32</v>
          </cell>
          <cell r="BF21">
            <v>32</v>
          </cell>
          <cell r="BG21" t="str">
            <v>F9</v>
          </cell>
          <cell r="BH21">
            <v>12</v>
          </cell>
          <cell r="BI21">
            <v>12</v>
          </cell>
          <cell r="BJ21">
            <v>29</v>
          </cell>
          <cell r="BK21">
            <v>53</v>
          </cell>
          <cell r="BL21">
            <v>53</v>
          </cell>
          <cell r="BM21" t="str">
            <v>C4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 t="str">
            <v>F9</v>
          </cell>
          <cell r="BT21">
            <v>16</v>
          </cell>
          <cell r="BU21">
            <v>10</v>
          </cell>
          <cell r="BV21">
            <v>17</v>
          </cell>
          <cell r="BW21">
            <v>43</v>
          </cell>
          <cell r="BX21">
            <v>43</v>
          </cell>
          <cell r="BY21" t="str">
            <v>D</v>
          </cell>
          <cell r="BZ21">
            <v>20</v>
          </cell>
          <cell r="CA21">
            <v>20</v>
          </cell>
          <cell r="CB21">
            <v>55</v>
          </cell>
          <cell r="CC21">
            <v>95</v>
          </cell>
          <cell r="CD21">
            <v>95</v>
          </cell>
          <cell r="CE21" t="str">
            <v>A</v>
          </cell>
          <cell r="CF21">
            <v>18</v>
          </cell>
          <cell r="CG21">
            <v>10</v>
          </cell>
          <cell r="CH21">
            <v>33</v>
          </cell>
          <cell r="CI21">
            <v>61</v>
          </cell>
          <cell r="CJ21">
            <v>61</v>
          </cell>
          <cell r="CK21" t="str">
            <v>B2</v>
          </cell>
          <cell r="CL21">
            <v>20</v>
          </cell>
          <cell r="CM21">
            <v>10</v>
          </cell>
          <cell r="CN21">
            <v>27</v>
          </cell>
          <cell r="CO21">
            <v>57</v>
          </cell>
          <cell r="CP21">
            <v>56.999999999999993</v>
          </cell>
          <cell r="CQ21" t="str">
            <v>C4</v>
          </cell>
          <cell r="CR21">
            <v>5</v>
          </cell>
          <cell r="CS21">
            <v>20</v>
          </cell>
          <cell r="CT21">
            <v>12</v>
          </cell>
          <cell r="CU21">
            <v>37</v>
          </cell>
          <cell r="CV21">
            <v>37</v>
          </cell>
          <cell r="CW21" t="str">
            <v>E8</v>
          </cell>
          <cell r="CX21">
            <v>20</v>
          </cell>
          <cell r="CY21">
            <v>20</v>
          </cell>
          <cell r="CZ21">
            <v>55</v>
          </cell>
          <cell r="DA21">
            <v>95</v>
          </cell>
          <cell r="DB21">
            <v>95</v>
          </cell>
          <cell r="DC21" t="str">
            <v>A</v>
          </cell>
          <cell r="DD21">
            <v>4</v>
          </cell>
          <cell r="DE21">
            <v>17</v>
          </cell>
          <cell r="DF21">
            <v>24</v>
          </cell>
          <cell r="DG21">
            <v>45</v>
          </cell>
          <cell r="DH21">
            <v>45</v>
          </cell>
          <cell r="DI21" t="str">
            <v>D</v>
          </cell>
          <cell r="DJ21">
            <v>914</v>
          </cell>
          <cell r="DK21">
            <v>914</v>
          </cell>
          <cell r="DL21">
            <v>0.53764705882352937</v>
          </cell>
          <cell r="DM21" t="str">
            <v>38th</v>
          </cell>
          <cell r="DN21">
            <v>71</v>
          </cell>
          <cell r="DO21">
            <v>26</v>
          </cell>
          <cell r="DP21">
            <v>96</v>
          </cell>
          <cell r="DQ21" t="str">
            <v>31st</v>
          </cell>
          <cell r="DR21">
            <v>50</v>
          </cell>
          <cell r="DS21">
            <v>0</v>
          </cell>
          <cell r="DT21">
            <v>90</v>
          </cell>
          <cell r="DU21" t="str">
            <v>33rd</v>
          </cell>
          <cell r="DV21">
            <v>52</v>
          </cell>
          <cell r="DW21">
            <v>0</v>
          </cell>
          <cell r="DX21">
            <v>78</v>
          </cell>
          <cell r="DY21" t="str">
            <v>27th</v>
          </cell>
          <cell r="DZ21">
            <v>56</v>
          </cell>
          <cell r="EA21">
            <v>10</v>
          </cell>
          <cell r="EB21">
            <v>93</v>
          </cell>
          <cell r="EC21" t="str">
            <v>24th</v>
          </cell>
          <cell r="ED21">
            <v>38</v>
          </cell>
          <cell r="EE21">
            <v>0</v>
          </cell>
          <cell r="EF21">
            <v>78</v>
          </cell>
          <cell r="EG21" t="str">
            <v>38th</v>
          </cell>
          <cell r="EH21">
            <v>57</v>
          </cell>
          <cell r="EI21">
            <v>36</v>
          </cell>
          <cell r="EJ21">
            <v>85</v>
          </cell>
          <cell r="EK21" t="str">
            <v>38th</v>
          </cell>
          <cell r="EL21">
            <v>42</v>
          </cell>
          <cell r="EM21">
            <v>0</v>
          </cell>
          <cell r="EN21">
            <v>87</v>
          </cell>
          <cell r="EO21" t="str">
            <v>43rd</v>
          </cell>
          <cell r="EP21">
            <v>30</v>
          </cell>
          <cell r="EQ21">
            <v>0</v>
          </cell>
          <cell r="ER21">
            <v>100</v>
          </cell>
          <cell r="ES21" t="str">
            <v>42nd</v>
          </cell>
          <cell r="ET21">
            <v>32</v>
          </cell>
          <cell r="EU21">
            <v>5</v>
          </cell>
          <cell r="EV21">
            <v>70</v>
          </cell>
          <cell r="EW21" t="str">
            <v>34th</v>
          </cell>
          <cell r="EX21">
            <v>53</v>
          </cell>
          <cell r="EY21">
            <v>0</v>
          </cell>
          <cell r="EZ21">
            <v>86</v>
          </cell>
          <cell r="FA21" t="str">
            <v>35th</v>
          </cell>
          <cell r="FB21">
            <v>0</v>
          </cell>
          <cell r="FC21">
            <v>0</v>
          </cell>
          <cell r="FD21">
            <v>0</v>
          </cell>
          <cell r="FE21" t="str">
            <v>1st</v>
          </cell>
          <cell r="FF21">
            <v>43</v>
          </cell>
          <cell r="FG21">
            <v>19</v>
          </cell>
          <cell r="FH21">
            <v>81</v>
          </cell>
          <cell r="FI21" t="str">
            <v>30th</v>
          </cell>
          <cell r="FJ21">
            <v>95</v>
          </cell>
          <cell r="FK21">
            <v>0</v>
          </cell>
          <cell r="FL21">
            <v>95</v>
          </cell>
          <cell r="FM21" t="str">
            <v>1st</v>
          </cell>
          <cell r="FN21">
            <v>61</v>
          </cell>
          <cell r="FO21">
            <v>0</v>
          </cell>
          <cell r="FP21">
            <v>84</v>
          </cell>
          <cell r="FQ21" t="str">
            <v>26th</v>
          </cell>
          <cell r="FR21">
            <v>57</v>
          </cell>
          <cell r="FS21">
            <v>0</v>
          </cell>
          <cell r="FT21">
            <v>82</v>
          </cell>
          <cell r="FU21" t="str">
            <v>22nd</v>
          </cell>
          <cell r="FV21">
            <v>37</v>
          </cell>
          <cell r="FW21">
            <v>0</v>
          </cell>
          <cell r="FX21">
            <v>85</v>
          </cell>
          <cell r="FY21" t="str">
            <v>42nd</v>
          </cell>
          <cell r="FZ21">
            <v>95</v>
          </cell>
          <cell r="GA21">
            <v>0</v>
          </cell>
          <cell r="GB21">
            <v>95</v>
          </cell>
          <cell r="GC21" t="str">
            <v>1st</v>
          </cell>
          <cell r="GD21">
            <v>45</v>
          </cell>
          <cell r="GE21">
            <v>24</v>
          </cell>
          <cell r="GF21">
            <v>71</v>
          </cell>
          <cell r="GG21" t="str">
            <v>37th</v>
          </cell>
        </row>
        <row r="22">
          <cell r="A22" t="str">
            <v>BDS/22/019</v>
          </cell>
          <cell r="B22" t="str">
            <v>KELECHI KING DAVID</v>
          </cell>
          <cell r="C22" t="str">
            <v>MALE</v>
          </cell>
          <cell r="D22" t="str">
            <v>22/11/2012</v>
          </cell>
          <cell r="E22" t="str">
            <v>JET</v>
          </cell>
          <cell r="F22">
            <v>17</v>
          </cell>
          <cell r="G22">
            <v>10</v>
          </cell>
          <cell r="H22">
            <v>30</v>
          </cell>
          <cell r="I22">
            <v>57</v>
          </cell>
          <cell r="J22">
            <v>56.999999999999993</v>
          </cell>
          <cell r="K22" t="str">
            <v>C4</v>
          </cell>
          <cell r="L22">
            <v>20</v>
          </cell>
          <cell r="M22">
            <v>15</v>
          </cell>
          <cell r="N22">
            <v>26</v>
          </cell>
          <cell r="O22">
            <v>61</v>
          </cell>
          <cell r="P22">
            <v>61</v>
          </cell>
          <cell r="Q22" t="str">
            <v>B2</v>
          </cell>
          <cell r="R22">
            <v>10</v>
          </cell>
          <cell r="S22">
            <v>20</v>
          </cell>
          <cell r="T22">
            <v>37</v>
          </cell>
          <cell r="U22">
            <v>67</v>
          </cell>
          <cell r="V22">
            <v>67</v>
          </cell>
          <cell r="W22" t="str">
            <v>B2</v>
          </cell>
          <cell r="X22">
            <v>12</v>
          </cell>
          <cell r="Y22">
            <v>12</v>
          </cell>
          <cell r="Z22">
            <v>31</v>
          </cell>
          <cell r="AA22">
            <v>55</v>
          </cell>
          <cell r="AB22">
            <v>55.000000000000007</v>
          </cell>
          <cell r="AC22" t="str">
            <v>C4</v>
          </cell>
          <cell r="AD22">
            <v>10</v>
          </cell>
          <cell r="AE22">
            <v>10</v>
          </cell>
          <cell r="AF22">
            <v>25</v>
          </cell>
          <cell r="AG22">
            <v>45</v>
          </cell>
          <cell r="AH22">
            <v>45</v>
          </cell>
          <cell r="AI22" t="str">
            <v>D</v>
          </cell>
          <cell r="AJ22">
            <v>20</v>
          </cell>
          <cell r="AK22">
            <v>20</v>
          </cell>
          <cell r="AL22">
            <v>35</v>
          </cell>
          <cell r="AM22">
            <v>75</v>
          </cell>
          <cell r="AN22">
            <v>75</v>
          </cell>
          <cell r="AO22" t="str">
            <v>B1</v>
          </cell>
          <cell r="AP22">
            <v>15</v>
          </cell>
          <cell r="AQ22">
            <v>10</v>
          </cell>
          <cell r="AR22">
            <v>56</v>
          </cell>
          <cell r="AS22">
            <v>81</v>
          </cell>
          <cell r="AT22">
            <v>81</v>
          </cell>
          <cell r="AU22" t="str">
            <v>A</v>
          </cell>
          <cell r="AV22">
            <v>15</v>
          </cell>
          <cell r="AW22">
            <v>10</v>
          </cell>
          <cell r="AX22">
            <v>16</v>
          </cell>
          <cell r="AY22">
            <v>41</v>
          </cell>
          <cell r="AZ22">
            <v>41</v>
          </cell>
          <cell r="BA22" t="str">
            <v>D</v>
          </cell>
          <cell r="BB22">
            <v>5</v>
          </cell>
          <cell r="BC22">
            <v>4</v>
          </cell>
          <cell r="BD22">
            <v>40</v>
          </cell>
          <cell r="BE22">
            <v>49</v>
          </cell>
          <cell r="BF22">
            <v>49</v>
          </cell>
          <cell r="BG22" t="str">
            <v>C5</v>
          </cell>
          <cell r="BH22">
            <v>14</v>
          </cell>
          <cell r="BI22">
            <v>20</v>
          </cell>
          <cell r="BJ22">
            <v>44</v>
          </cell>
          <cell r="BK22">
            <v>78</v>
          </cell>
          <cell r="BL22">
            <v>78</v>
          </cell>
          <cell r="BM22" t="str">
            <v>B1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 t="str">
            <v>F9</v>
          </cell>
          <cell r="BT22">
            <v>5</v>
          </cell>
          <cell r="BU22">
            <v>13</v>
          </cell>
          <cell r="BV22">
            <v>20</v>
          </cell>
          <cell r="BW22">
            <v>38</v>
          </cell>
          <cell r="BX22">
            <v>38</v>
          </cell>
          <cell r="BY22" t="str">
            <v>E8</v>
          </cell>
          <cell r="BZ22">
            <v>15</v>
          </cell>
          <cell r="CA22">
            <v>20</v>
          </cell>
          <cell r="CB22">
            <v>50</v>
          </cell>
          <cell r="CC22">
            <v>85</v>
          </cell>
          <cell r="CD22">
            <v>85</v>
          </cell>
          <cell r="CE22" t="str">
            <v>A</v>
          </cell>
          <cell r="CF22">
            <v>10</v>
          </cell>
          <cell r="CG22">
            <v>10</v>
          </cell>
          <cell r="CH22">
            <v>43</v>
          </cell>
          <cell r="CI22">
            <v>63</v>
          </cell>
          <cell r="CJ22">
            <v>63</v>
          </cell>
          <cell r="CK22" t="str">
            <v>B2</v>
          </cell>
          <cell r="CL22">
            <v>20</v>
          </cell>
          <cell r="CM22">
            <v>8</v>
          </cell>
          <cell r="CN22">
            <v>27</v>
          </cell>
          <cell r="CO22">
            <v>55</v>
          </cell>
          <cell r="CP22">
            <v>55.000000000000007</v>
          </cell>
          <cell r="CQ22" t="str">
            <v>C4</v>
          </cell>
          <cell r="CR22">
            <v>1</v>
          </cell>
          <cell r="CS22">
            <v>20</v>
          </cell>
          <cell r="CT22">
            <v>33</v>
          </cell>
          <cell r="CU22">
            <v>54</v>
          </cell>
          <cell r="CV22">
            <v>54</v>
          </cell>
          <cell r="CW22" t="str">
            <v>C4</v>
          </cell>
          <cell r="CX22">
            <v>20</v>
          </cell>
          <cell r="CY22">
            <v>20</v>
          </cell>
          <cell r="CZ22">
            <v>55</v>
          </cell>
          <cell r="DA22">
            <v>95</v>
          </cell>
          <cell r="DB22">
            <v>95</v>
          </cell>
          <cell r="DC22" t="str">
            <v>A</v>
          </cell>
          <cell r="DD22">
            <v>4</v>
          </cell>
          <cell r="DE22">
            <v>17</v>
          </cell>
          <cell r="DF22">
            <v>22</v>
          </cell>
          <cell r="DG22">
            <v>43</v>
          </cell>
          <cell r="DH22">
            <v>43</v>
          </cell>
          <cell r="DI22" t="str">
            <v>D</v>
          </cell>
          <cell r="DJ22">
            <v>1042</v>
          </cell>
          <cell r="DK22">
            <v>1042</v>
          </cell>
          <cell r="DL22">
            <v>0.61294117647058821</v>
          </cell>
          <cell r="DM22" t="str">
            <v>26th</v>
          </cell>
          <cell r="DN22">
            <v>57</v>
          </cell>
          <cell r="DO22">
            <v>26</v>
          </cell>
          <cell r="DP22">
            <v>96</v>
          </cell>
          <cell r="DQ22" t="str">
            <v>39th</v>
          </cell>
          <cell r="DR22">
            <v>61</v>
          </cell>
          <cell r="DS22">
            <v>0</v>
          </cell>
          <cell r="DT22">
            <v>90</v>
          </cell>
          <cell r="DU22" t="str">
            <v>22nd</v>
          </cell>
          <cell r="DV22">
            <v>67</v>
          </cell>
          <cell r="DW22">
            <v>0</v>
          </cell>
          <cell r="DX22">
            <v>78</v>
          </cell>
          <cell r="DY22" t="str">
            <v>7th</v>
          </cell>
          <cell r="DZ22">
            <v>55</v>
          </cell>
          <cell r="EA22">
            <v>10</v>
          </cell>
          <cell r="EB22">
            <v>93</v>
          </cell>
          <cell r="EC22" t="str">
            <v>25th</v>
          </cell>
          <cell r="ED22">
            <v>45</v>
          </cell>
          <cell r="EE22">
            <v>0</v>
          </cell>
          <cell r="EF22">
            <v>78</v>
          </cell>
          <cell r="EG22" t="str">
            <v>32nd</v>
          </cell>
          <cell r="EH22">
            <v>75</v>
          </cell>
          <cell r="EI22">
            <v>36</v>
          </cell>
          <cell r="EJ22">
            <v>85</v>
          </cell>
          <cell r="EK22" t="str">
            <v>11th</v>
          </cell>
          <cell r="EL22">
            <v>81</v>
          </cell>
          <cell r="EM22">
            <v>0</v>
          </cell>
          <cell r="EN22">
            <v>87</v>
          </cell>
          <cell r="EO22" t="str">
            <v>11th</v>
          </cell>
          <cell r="EP22">
            <v>41</v>
          </cell>
          <cell r="EQ22">
            <v>0</v>
          </cell>
          <cell r="ER22">
            <v>100</v>
          </cell>
          <cell r="ES22" t="str">
            <v>37th</v>
          </cell>
          <cell r="ET22">
            <v>49</v>
          </cell>
          <cell r="EU22">
            <v>5</v>
          </cell>
          <cell r="EV22">
            <v>70</v>
          </cell>
          <cell r="EW22" t="str">
            <v>9th</v>
          </cell>
          <cell r="EX22">
            <v>78</v>
          </cell>
          <cell r="EY22">
            <v>0</v>
          </cell>
          <cell r="EZ22">
            <v>86</v>
          </cell>
          <cell r="FA22" t="str">
            <v>5th</v>
          </cell>
          <cell r="FB22">
            <v>0</v>
          </cell>
          <cell r="FC22">
            <v>0</v>
          </cell>
          <cell r="FD22">
            <v>0</v>
          </cell>
          <cell r="FE22" t="str">
            <v>1st</v>
          </cell>
          <cell r="FF22">
            <v>38</v>
          </cell>
          <cell r="FG22">
            <v>19</v>
          </cell>
          <cell r="FH22">
            <v>81</v>
          </cell>
          <cell r="FI22" t="str">
            <v>35th</v>
          </cell>
          <cell r="FJ22">
            <v>85</v>
          </cell>
          <cell r="FK22">
            <v>0</v>
          </cell>
          <cell r="FL22">
            <v>95</v>
          </cell>
          <cell r="FM22" t="str">
            <v>21st</v>
          </cell>
          <cell r="FN22">
            <v>63</v>
          </cell>
          <cell r="FO22">
            <v>0</v>
          </cell>
          <cell r="FP22">
            <v>84</v>
          </cell>
          <cell r="FQ22" t="str">
            <v>25th</v>
          </cell>
          <cell r="FR22">
            <v>55</v>
          </cell>
          <cell r="FS22">
            <v>0</v>
          </cell>
          <cell r="FT22">
            <v>82</v>
          </cell>
          <cell r="FU22" t="str">
            <v>23rd</v>
          </cell>
          <cell r="FV22">
            <v>54</v>
          </cell>
          <cell r="FW22">
            <v>0</v>
          </cell>
          <cell r="FX22">
            <v>85</v>
          </cell>
          <cell r="FY22" t="str">
            <v>23rd</v>
          </cell>
          <cell r="FZ22">
            <v>95</v>
          </cell>
          <cell r="GA22">
            <v>0</v>
          </cell>
          <cell r="GB22">
            <v>95</v>
          </cell>
          <cell r="GC22" t="str">
            <v>1st</v>
          </cell>
          <cell r="GD22">
            <v>43</v>
          </cell>
          <cell r="GE22">
            <v>24</v>
          </cell>
          <cell r="GF22">
            <v>71</v>
          </cell>
          <cell r="GG22" t="str">
            <v>40th</v>
          </cell>
        </row>
        <row r="23">
          <cell r="A23" t="str">
            <v>BDS/22/021</v>
          </cell>
          <cell r="B23" t="str">
            <v>NDUBUISI CHISOM</v>
          </cell>
          <cell r="C23" t="str">
            <v>FEMALE</v>
          </cell>
          <cell r="D23" t="str">
            <v>22/11/2012</v>
          </cell>
          <cell r="E23" t="str">
            <v>DRAMA</v>
          </cell>
          <cell r="F23">
            <v>20</v>
          </cell>
          <cell r="G23">
            <v>20</v>
          </cell>
          <cell r="H23">
            <v>52</v>
          </cell>
          <cell r="I23">
            <v>92</v>
          </cell>
          <cell r="J23">
            <v>92</v>
          </cell>
          <cell r="K23" t="str">
            <v>A</v>
          </cell>
          <cell r="L23">
            <v>19</v>
          </cell>
          <cell r="M23">
            <v>15</v>
          </cell>
          <cell r="N23">
            <v>32</v>
          </cell>
          <cell r="O23">
            <v>66</v>
          </cell>
          <cell r="P23">
            <v>66</v>
          </cell>
          <cell r="Q23" t="str">
            <v>B2</v>
          </cell>
          <cell r="R23">
            <v>8</v>
          </cell>
          <cell r="S23">
            <v>20</v>
          </cell>
          <cell r="T23">
            <v>43</v>
          </cell>
          <cell r="U23">
            <v>71</v>
          </cell>
          <cell r="V23">
            <v>71</v>
          </cell>
          <cell r="W23" t="str">
            <v>B1</v>
          </cell>
          <cell r="X23">
            <v>16</v>
          </cell>
          <cell r="Y23">
            <v>16</v>
          </cell>
          <cell r="Z23">
            <v>38</v>
          </cell>
          <cell r="AA23">
            <v>70</v>
          </cell>
          <cell r="AB23">
            <v>70</v>
          </cell>
          <cell r="AC23" t="str">
            <v>B2</v>
          </cell>
          <cell r="AD23">
            <v>8</v>
          </cell>
          <cell r="AE23">
            <v>10</v>
          </cell>
          <cell r="AF23">
            <v>45</v>
          </cell>
          <cell r="AG23">
            <v>63</v>
          </cell>
          <cell r="AH23">
            <v>63</v>
          </cell>
          <cell r="AI23" t="str">
            <v>B2</v>
          </cell>
          <cell r="AJ23">
            <v>20</v>
          </cell>
          <cell r="AK23">
            <v>20</v>
          </cell>
          <cell r="AL23">
            <v>31</v>
          </cell>
          <cell r="AM23">
            <v>71</v>
          </cell>
          <cell r="AN23">
            <v>71</v>
          </cell>
          <cell r="AO23" t="str">
            <v>B1</v>
          </cell>
          <cell r="AP23">
            <v>15</v>
          </cell>
          <cell r="AQ23">
            <v>10</v>
          </cell>
          <cell r="AR23">
            <v>56</v>
          </cell>
          <cell r="AS23">
            <v>81</v>
          </cell>
          <cell r="AT23">
            <v>81</v>
          </cell>
          <cell r="AU23" t="str">
            <v>A</v>
          </cell>
          <cell r="AV23">
            <v>15</v>
          </cell>
          <cell r="AW23">
            <v>10</v>
          </cell>
          <cell r="AX23">
            <v>39</v>
          </cell>
          <cell r="AY23">
            <v>64</v>
          </cell>
          <cell r="AZ23">
            <v>64</v>
          </cell>
          <cell r="BA23" t="str">
            <v>B2</v>
          </cell>
          <cell r="BB23">
            <v>18</v>
          </cell>
          <cell r="BC23">
            <v>5</v>
          </cell>
          <cell r="BD23">
            <v>38</v>
          </cell>
          <cell r="BE23">
            <v>61</v>
          </cell>
          <cell r="BF23">
            <v>61</v>
          </cell>
          <cell r="BG23" t="str">
            <v>B2</v>
          </cell>
          <cell r="BH23">
            <v>18</v>
          </cell>
          <cell r="BI23">
            <v>20</v>
          </cell>
          <cell r="BJ23">
            <v>38</v>
          </cell>
          <cell r="BK23">
            <v>76</v>
          </cell>
          <cell r="BL23">
            <v>76</v>
          </cell>
          <cell r="BM23" t="str">
            <v>B1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 t="str">
            <v>F9</v>
          </cell>
          <cell r="BT23">
            <v>20</v>
          </cell>
          <cell r="BU23">
            <v>15</v>
          </cell>
          <cell r="BV23">
            <v>29</v>
          </cell>
          <cell r="BW23">
            <v>64</v>
          </cell>
          <cell r="BX23">
            <v>64</v>
          </cell>
          <cell r="BY23" t="str">
            <v>B2</v>
          </cell>
          <cell r="BZ23">
            <v>15</v>
          </cell>
          <cell r="CA23">
            <v>20</v>
          </cell>
          <cell r="CB23">
            <v>55</v>
          </cell>
          <cell r="CC23">
            <v>90</v>
          </cell>
          <cell r="CD23">
            <v>90</v>
          </cell>
          <cell r="CE23" t="str">
            <v>A</v>
          </cell>
          <cell r="CF23">
            <v>17</v>
          </cell>
          <cell r="CG23">
            <v>10</v>
          </cell>
          <cell r="CH23">
            <v>41</v>
          </cell>
          <cell r="CI23">
            <v>68</v>
          </cell>
          <cell r="CJ23">
            <v>68</v>
          </cell>
          <cell r="CK23" t="str">
            <v>B2</v>
          </cell>
          <cell r="CL23">
            <v>20</v>
          </cell>
          <cell r="CM23">
            <v>16</v>
          </cell>
          <cell r="CN23">
            <v>28</v>
          </cell>
          <cell r="CO23">
            <v>64</v>
          </cell>
          <cell r="CP23">
            <v>64</v>
          </cell>
          <cell r="CQ23" t="str">
            <v>B2</v>
          </cell>
          <cell r="CR23">
            <v>18</v>
          </cell>
          <cell r="CS23">
            <v>20</v>
          </cell>
          <cell r="CT23">
            <v>35</v>
          </cell>
          <cell r="CU23">
            <v>73</v>
          </cell>
          <cell r="CV23">
            <v>73</v>
          </cell>
          <cell r="CW23" t="str">
            <v>B1</v>
          </cell>
          <cell r="CX23">
            <v>20</v>
          </cell>
          <cell r="CY23">
            <v>20</v>
          </cell>
          <cell r="CZ23">
            <v>50</v>
          </cell>
          <cell r="DA23">
            <v>90</v>
          </cell>
          <cell r="DB23">
            <v>90</v>
          </cell>
          <cell r="DC23" t="str">
            <v>A</v>
          </cell>
          <cell r="DD23">
            <v>15</v>
          </cell>
          <cell r="DE23">
            <v>17</v>
          </cell>
          <cell r="DF23">
            <v>22</v>
          </cell>
          <cell r="DG23">
            <v>54</v>
          </cell>
          <cell r="DH23">
            <v>54</v>
          </cell>
          <cell r="DI23" t="str">
            <v>C4</v>
          </cell>
          <cell r="DJ23">
            <v>1218</v>
          </cell>
          <cell r="DK23">
            <v>1218</v>
          </cell>
          <cell r="DL23">
            <v>0.71647058823529408</v>
          </cell>
          <cell r="DM23" t="str">
            <v>7th</v>
          </cell>
          <cell r="DN23">
            <v>92</v>
          </cell>
          <cell r="DO23">
            <v>26</v>
          </cell>
          <cell r="DP23">
            <v>96</v>
          </cell>
          <cell r="DQ23" t="str">
            <v>4th</v>
          </cell>
          <cell r="DR23">
            <v>66</v>
          </cell>
          <cell r="DS23">
            <v>0</v>
          </cell>
          <cell r="DT23">
            <v>90</v>
          </cell>
          <cell r="DU23" t="str">
            <v>17th</v>
          </cell>
          <cell r="DV23">
            <v>71</v>
          </cell>
          <cell r="DW23">
            <v>0</v>
          </cell>
          <cell r="DX23">
            <v>78</v>
          </cell>
          <cell r="DY23" t="str">
            <v>3rd</v>
          </cell>
          <cell r="DZ23">
            <v>70</v>
          </cell>
          <cell r="EA23">
            <v>10</v>
          </cell>
          <cell r="EB23">
            <v>93</v>
          </cell>
          <cell r="EC23" t="str">
            <v>5th</v>
          </cell>
          <cell r="ED23">
            <v>63</v>
          </cell>
          <cell r="EE23">
            <v>0</v>
          </cell>
          <cell r="EF23">
            <v>78</v>
          </cell>
          <cell r="EG23" t="str">
            <v>13th</v>
          </cell>
          <cell r="EH23">
            <v>71</v>
          </cell>
          <cell r="EI23">
            <v>36</v>
          </cell>
          <cell r="EJ23">
            <v>85</v>
          </cell>
          <cell r="EK23" t="str">
            <v>17th</v>
          </cell>
          <cell r="EL23">
            <v>81</v>
          </cell>
          <cell r="EM23">
            <v>0</v>
          </cell>
          <cell r="EN23">
            <v>87</v>
          </cell>
          <cell r="EO23" t="str">
            <v>11th</v>
          </cell>
          <cell r="EP23">
            <v>64</v>
          </cell>
          <cell r="EQ23">
            <v>0</v>
          </cell>
          <cell r="ER23">
            <v>100</v>
          </cell>
          <cell r="ES23" t="str">
            <v>30th</v>
          </cell>
          <cell r="ET23">
            <v>61</v>
          </cell>
          <cell r="EU23">
            <v>5</v>
          </cell>
          <cell r="EV23">
            <v>70</v>
          </cell>
          <cell r="EW23" t="str">
            <v>4th</v>
          </cell>
          <cell r="EX23">
            <v>76</v>
          </cell>
          <cell r="EY23">
            <v>0</v>
          </cell>
          <cell r="EZ23">
            <v>86</v>
          </cell>
          <cell r="FA23" t="str">
            <v>8th</v>
          </cell>
          <cell r="FB23">
            <v>0</v>
          </cell>
          <cell r="FC23">
            <v>0</v>
          </cell>
          <cell r="FD23">
            <v>0</v>
          </cell>
          <cell r="FE23" t="str">
            <v>1st</v>
          </cell>
          <cell r="FF23">
            <v>64</v>
          </cell>
          <cell r="FG23">
            <v>19</v>
          </cell>
          <cell r="FH23">
            <v>81</v>
          </cell>
          <cell r="FI23" t="str">
            <v>7th</v>
          </cell>
          <cell r="FJ23">
            <v>90</v>
          </cell>
          <cell r="FK23">
            <v>0</v>
          </cell>
          <cell r="FL23">
            <v>95</v>
          </cell>
          <cell r="FM23" t="str">
            <v>6th</v>
          </cell>
          <cell r="FN23">
            <v>68</v>
          </cell>
          <cell r="FO23">
            <v>0</v>
          </cell>
          <cell r="FP23">
            <v>84</v>
          </cell>
          <cell r="FQ23" t="str">
            <v>16th</v>
          </cell>
          <cell r="FR23">
            <v>64</v>
          </cell>
          <cell r="FS23">
            <v>0</v>
          </cell>
          <cell r="FT23">
            <v>82</v>
          </cell>
          <cell r="FU23" t="str">
            <v>11th</v>
          </cell>
          <cell r="FV23">
            <v>73</v>
          </cell>
          <cell r="FW23">
            <v>0</v>
          </cell>
          <cell r="FX23">
            <v>85</v>
          </cell>
          <cell r="FY23" t="str">
            <v>6th</v>
          </cell>
          <cell r="FZ23">
            <v>90</v>
          </cell>
          <cell r="GA23">
            <v>0</v>
          </cell>
          <cell r="GB23">
            <v>95</v>
          </cell>
          <cell r="GC23" t="str">
            <v>7th</v>
          </cell>
          <cell r="GD23">
            <v>54</v>
          </cell>
          <cell r="GE23">
            <v>24</v>
          </cell>
          <cell r="GF23">
            <v>71</v>
          </cell>
          <cell r="GG23" t="str">
            <v>20th</v>
          </cell>
        </row>
        <row r="24">
          <cell r="A24" t="str">
            <v>BDS/22/023</v>
          </cell>
          <cell r="B24" t="str">
            <v>NDULAKA CHIMAMANDA</v>
          </cell>
          <cell r="C24" t="str">
            <v>FEMALE</v>
          </cell>
          <cell r="D24" t="str">
            <v>30/05/2012</v>
          </cell>
          <cell r="E24" t="str">
            <v xml:space="preserve">SINGING </v>
          </cell>
          <cell r="F24">
            <v>20</v>
          </cell>
          <cell r="G24">
            <v>20</v>
          </cell>
          <cell r="H24">
            <v>52</v>
          </cell>
          <cell r="I24">
            <v>92</v>
          </cell>
          <cell r="J24">
            <v>92</v>
          </cell>
          <cell r="K24" t="str">
            <v>A</v>
          </cell>
          <cell r="L24">
            <v>20</v>
          </cell>
          <cell r="M24">
            <v>15</v>
          </cell>
          <cell r="N24">
            <v>36</v>
          </cell>
          <cell r="O24">
            <v>71</v>
          </cell>
          <cell r="P24">
            <v>71</v>
          </cell>
          <cell r="Q24" t="str">
            <v>B1</v>
          </cell>
          <cell r="R24">
            <v>10</v>
          </cell>
          <cell r="S24">
            <v>20</v>
          </cell>
          <cell r="T24">
            <v>30</v>
          </cell>
          <cell r="U24">
            <v>60</v>
          </cell>
          <cell r="V24">
            <v>60</v>
          </cell>
          <cell r="W24" t="str">
            <v>C4</v>
          </cell>
          <cell r="X24">
            <v>12</v>
          </cell>
          <cell r="Y24">
            <v>12</v>
          </cell>
          <cell r="Z24">
            <v>23</v>
          </cell>
          <cell r="AA24">
            <v>47</v>
          </cell>
          <cell r="AB24">
            <v>47</v>
          </cell>
          <cell r="AC24" t="str">
            <v>C5</v>
          </cell>
          <cell r="AD24">
            <v>10</v>
          </cell>
          <cell r="AE24">
            <v>20</v>
          </cell>
          <cell r="AF24">
            <v>44</v>
          </cell>
          <cell r="AG24">
            <v>74</v>
          </cell>
          <cell r="AH24">
            <v>74</v>
          </cell>
          <cell r="AI24" t="str">
            <v>B1</v>
          </cell>
          <cell r="AJ24">
            <v>20</v>
          </cell>
          <cell r="AK24">
            <v>20</v>
          </cell>
          <cell r="AL24">
            <v>23</v>
          </cell>
          <cell r="AM24">
            <v>63</v>
          </cell>
          <cell r="AN24">
            <v>63</v>
          </cell>
          <cell r="AO24" t="str">
            <v>B2</v>
          </cell>
          <cell r="AP24">
            <v>16</v>
          </cell>
          <cell r="AQ24">
            <v>10</v>
          </cell>
          <cell r="AR24">
            <v>60</v>
          </cell>
          <cell r="AS24">
            <v>86</v>
          </cell>
          <cell r="AT24">
            <v>86</v>
          </cell>
          <cell r="AU24" t="str">
            <v>A</v>
          </cell>
          <cell r="AV24">
            <v>14</v>
          </cell>
          <cell r="AW24">
            <v>20</v>
          </cell>
          <cell r="AX24">
            <v>56</v>
          </cell>
          <cell r="AY24">
            <v>90</v>
          </cell>
          <cell r="AZ24">
            <v>90</v>
          </cell>
          <cell r="BA24" t="str">
            <v>A</v>
          </cell>
          <cell r="BB24">
            <v>20</v>
          </cell>
          <cell r="BC24">
            <v>11</v>
          </cell>
          <cell r="BD24">
            <v>17</v>
          </cell>
          <cell r="BE24">
            <v>48</v>
          </cell>
          <cell r="BF24">
            <v>48</v>
          </cell>
          <cell r="BG24" t="str">
            <v>C5</v>
          </cell>
          <cell r="BH24">
            <v>12</v>
          </cell>
          <cell r="BI24">
            <v>20</v>
          </cell>
          <cell r="BJ24">
            <v>45</v>
          </cell>
          <cell r="BK24">
            <v>77</v>
          </cell>
          <cell r="BL24">
            <v>77</v>
          </cell>
          <cell r="BM24" t="str">
            <v>B1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 t="str">
            <v>F9</v>
          </cell>
          <cell r="BT24">
            <v>20</v>
          </cell>
          <cell r="BU24">
            <v>17</v>
          </cell>
          <cell r="BV24">
            <v>29</v>
          </cell>
          <cell r="BW24">
            <v>66</v>
          </cell>
          <cell r="BX24">
            <v>66</v>
          </cell>
          <cell r="BY24" t="str">
            <v>B2</v>
          </cell>
          <cell r="BZ24">
            <v>20</v>
          </cell>
          <cell r="CA24">
            <v>20</v>
          </cell>
          <cell r="CB24">
            <v>50</v>
          </cell>
          <cell r="CC24">
            <v>90</v>
          </cell>
          <cell r="CD24">
            <v>90</v>
          </cell>
          <cell r="CE24" t="str">
            <v>A</v>
          </cell>
          <cell r="CF24">
            <v>15</v>
          </cell>
          <cell r="CG24">
            <v>15</v>
          </cell>
          <cell r="CH24">
            <v>48</v>
          </cell>
          <cell r="CI24">
            <v>78</v>
          </cell>
          <cell r="CJ24">
            <v>78</v>
          </cell>
          <cell r="CK24" t="str">
            <v>B1</v>
          </cell>
          <cell r="CL24">
            <v>20</v>
          </cell>
          <cell r="CM24">
            <v>17</v>
          </cell>
          <cell r="CN24">
            <v>34</v>
          </cell>
          <cell r="CO24">
            <v>71</v>
          </cell>
          <cell r="CP24">
            <v>71</v>
          </cell>
          <cell r="CQ24" t="str">
            <v>B1</v>
          </cell>
          <cell r="CR24">
            <v>17</v>
          </cell>
          <cell r="CS24">
            <v>20</v>
          </cell>
          <cell r="CT24">
            <v>37</v>
          </cell>
          <cell r="CU24">
            <v>74</v>
          </cell>
          <cell r="CV24">
            <v>74</v>
          </cell>
          <cell r="CW24" t="str">
            <v>B1</v>
          </cell>
          <cell r="CX24">
            <v>20</v>
          </cell>
          <cell r="CY24">
            <v>20</v>
          </cell>
          <cell r="CZ24">
            <v>50</v>
          </cell>
          <cell r="DA24">
            <v>90</v>
          </cell>
          <cell r="DB24">
            <v>90</v>
          </cell>
          <cell r="DC24" t="str">
            <v>A</v>
          </cell>
          <cell r="DD24">
            <v>10</v>
          </cell>
          <cell r="DE24">
            <v>17</v>
          </cell>
          <cell r="DF24">
            <v>21</v>
          </cell>
          <cell r="DG24">
            <v>48</v>
          </cell>
          <cell r="DH24">
            <v>48</v>
          </cell>
          <cell r="DI24" t="str">
            <v>C5</v>
          </cell>
          <cell r="DJ24">
            <v>1225</v>
          </cell>
          <cell r="DK24">
            <v>1225</v>
          </cell>
          <cell r="DL24">
            <v>0.72058823529411764</v>
          </cell>
          <cell r="DM24" t="str">
            <v>5th</v>
          </cell>
          <cell r="DN24">
            <v>92</v>
          </cell>
          <cell r="DO24">
            <v>26</v>
          </cell>
          <cell r="DP24">
            <v>96</v>
          </cell>
          <cell r="DQ24" t="str">
            <v>4th</v>
          </cell>
          <cell r="DR24">
            <v>71</v>
          </cell>
          <cell r="DS24">
            <v>0</v>
          </cell>
          <cell r="DT24">
            <v>90</v>
          </cell>
          <cell r="DU24" t="str">
            <v>7th</v>
          </cell>
          <cell r="DV24">
            <v>60</v>
          </cell>
          <cell r="DW24">
            <v>0</v>
          </cell>
          <cell r="DX24">
            <v>78</v>
          </cell>
          <cell r="DY24" t="str">
            <v>16th</v>
          </cell>
          <cell r="DZ24">
            <v>47</v>
          </cell>
          <cell r="EA24">
            <v>10</v>
          </cell>
          <cell r="EB24">
            <v>93</v>
          </cell>
          <cell r="EC24" t="str">
            <v>31st</v>
          </cell>
          <cell r="ED24">
            <v>74</v>
          </cell>
          <cell r="EE24">
            <v>0</v>
          </cell>
          <cell r="EF24">
            <v>78</v>
          </cell>
          <cell r="EG24" t="str">
            <v>4th</v>
          </cell>
          <cell r="EH24">
            <v>63</v>
          </cell>
          <cell r="EI24">
            <v>36</v>
          </cell>
          <cell r="EJ24">
            <v>85</v>
          </cell>
          <cell r="EK24" t="str">
            <v>32nd</v>
          </cell>
          <cell r="EL24">
            <v>86</v>
          </cell>
          <cell r="EM24">
            <v>0</v>
          </cell>
          <cell r="EN24">
            <v>87</v>
          </cell>
          <cell r="EO24" t="str">
            <v>2nd</v>
          </cell>
          <cell r="EP24">
            <v>90</v>
          </cell>
          <cell r="EQ24">
            <v>0</v>
          </cell>
          <cell r="ER24">
            <v>100</v>
          </cell>
          <cell r="ES24" t="str">
            <v>6th</v>
          </cell>
          <cell r="ET24">
            <v>48</v>
          </cell>
          <cell r="EU24">
            <v>5</v>
          </cell>
          <cell r="EV24">
            <v>70</v>
          </cell>
          <cell r="EW24" t="str">
            <v>11th</v>
          </cell>
          <cell r="EX24">
            <v>77</v>
          </cell>
          <cell r="EY24">
            <v>0</v>
          </cell>
          <cell r="EZ24">
            <v>86</v>
          </cell>
          <cell r="FA24" t="str">
            <v>7th</v>
          </cell>
          <cell r="FB24">
            <v>0</v>
          </cell>
          <cell r="FC24">
            <v>0</v>
          </cell>
          <cell r="FD24">
            <v>0</v>
          </cell>
          <cell r="FE24" t="str">
            <v>1st</v>
          </cell>
          <cell r="FF24">
            <v>66</v>
          </cell>
          <cell r="FG24">
            <v>19</v>
          </cell>
          <cell r="FH24">
            <v>81</v>
          </cell>
          <cell r="FI24" t="str">
            <v>4th</v>
          </cell>
          <cell r="FJ24">
            <v>90</v>
          </cell>
          <cell r="FK24">
            <v>0</v>
          </cell>
          <cell r="FL24">
            <v>95</v>
          </cell>
          <cell r="FM24" t="str">
            <v>6th</v>
          </cell>
          <cell r="FN24">
            <v>78</v>
          </cell>
          <cell r="FO24">
            <v>0</v>
          </cell>
          <cell r="FP24">
            <v>84</v>
          </cell>
          <cell r="FQ24" t="str">
            <v>4th</v>
          </cell>
          <cell r="FR24">
            <v>71</v>
          </cell>
          <cell r="FS24">
            <v>0</v>
          </cell>
          <cell r="FT24">
            <v>82</v>
          </cell>
          <cell r="FU24" t="str">
            <v>4th</v>
          </cell>
          <cell r="FV24">
            <v>74</v>
          </cell>
          <cell r="FW24">
            <v>0</v>
          </cell>
          <cell r="FX24">
            <v>85</v>
          </cell>
          <cell r="FY24" t="str">
            <v>5th</v>
          </cell>
          <cell r="FZ24">
            <v>90</v>
          </cell>
          <cell r="GA24">
            <v>0</v>
          </cell>
          <cell r="GB24">
            <v>95</v>
          </cell>
          <cell r="GC24" t="str">
            <v>7th</v>
          </cell>
          <cell r="GD24">
            <v>48</v>
          </cell>
          <cell r="GE24">
            <v>24</v>
          </cell>
          <cell r="GF24">
            <v>71</v>
          </cell>
          <cell r="GG24" t="str">
            <v>31st</v>
          </cell>
        </row>
        <row r="25">
          <cell r="A25" t="str">
            <v>BDS/22/026</v>
          </cell>
          <cell r="B25" t="str">
            <v>OKORO WINNER</v>
          </cell>
          <cell r="C25" t="str">
            <v>FEMALE</v>
          </cell>
          <cell r="D25" t="str">
            <v>15/06/2010</v>
          </cell>
          <cell r="E25" t="str">
            <v>CULTURAL</v>
          </cell>
          <cell r="F25">
            <v>20</v>
          </cell>
          <cell r="G25">
            <v>20</v>
          </cell>
          <cell r="H25">
            <v>47</v>
          </cell>
          <cell r="I25">
            <v>87</v>
          </cell>
          <cell r="J25">
            <v>87</v>
          </cell>
          <cell r="K25" t="str">
            <v>A</v>
          </cell>
          <cell r="L25">
            <v>19</v>
          </cell>
          <cell r="M25">
            <v>15</v>
          </cell>
          <cell r="N25">
            <v>34</v>
          </cell>
          <cell r="O25">
            <v>68</v>
          </cell>
          <cell r="P25">
            <v>68</v>
          </cell>
          <cell r="Q25" t="str">
            <v>B2</v>
          </cell>
          <cell r="R25">
            <v>14</v>
          </cell>
          <cell r="S25">
            <v>20</v>
          </cell>
          <cell r="T25">
            <v>37</v>
          </cell>
          <cell r="U25">
            <v>71</v>
          </cell>
          <cell r="V25">
            <v>71</v>
          </cell>
          <cell r="W25" t="str">
            <v>B1</v>
          </cell>
          <cell r="X25">
            <v>18</v>
          </cell>
          <cell r="Y25">
            <v>18</v>
          </cell>
          <cell r="Z25">
            <v>25</v>
          </cell>
          <cell r="AA25">
            <v>61</v>
          </cell>
          <cell r="AB25">
            <v>61</v>
          </cell>
          <cell r="AC25" t="str">
            <v>B2</v>
          </cell>
          <cell r="AD25">
            <v>15</v>
          </cell>
          <cell r="AE25">
            <v>17</v>
          </cell>
          <cell r="AF25">
            <v>41</v>
          </cell>
          <cell r="AG25">
            <v>73</v>
          </cell>
          <cell r="AH25">
            <v>73</v>
          </cell>
          <cell r="AI25" t="str">
            <v>B1</v>
          </cell>
          <cell r="AJ25">
            <v>20</v>
          </cell>
          <cell r="AK25">
            <v>20</v>
          </cell>
          <cell r="AL25">
            <v>23</v>
          </cell>
          <cell r="AM25">
            <v>63</v>
          </cell>
          <cell r="AN25">
            <v>63</v>
          </cell>
          <cell r="AO25" t="str">
            <v>B2</v>
          </cell>
          <cell r="AP25">
            <v>20</v>
          </cell>
          <cell r="AQ25">
            <v>10</v>
          </cell>
          <cell r="AR25">
            <v>46</v>
          </cell>
          <cell r="AS25">
            <v>76</v>
          </cell>
          <cell r="AT25">
            <v>76</v>
          </cell>
          <cell r="AU25" t="str">
            <v>B1</v>
          </cell>
          <cell r="AV25">
            <v>20</v>
          </cell>
          <cell r="AW25">
            <v>20</v>
          </cell>
          <cell r="AX25">
            <v>45</v>
          </cell>
          <cell r="AY25">
            <v>85</v>
          </cell>
          <cell r="AZ25">
            <v>85</v>
          </cell>
          <cell r="BA25" t="str">
            <v>A</v>
          </cell>
          <cell r="BB25">
            <v>16</v>
          </cell>
          <cell r="BC25">
            <v>12</v>
          </cell>
          <cell r="BD25">
            <v>20</v>
          </cell>
          <cell r="BE25">
            <v>48</v>
          </cell>
          <cell r="BF25">
            <v>48</v>
          </cell>
          <cell r="BG25" t="str">
            <v>C5</v>
          </cell>
          <cell r="BH25">
            <v>17</v>
          </cell>
          <cell r="BI25">
            <v>10</v>
          </cell>
          <cell r="BJ25">
            <v>41</v>
          </cell>
          <cell r="BK25">
            <v>68</v>
          </cell>
          <cell r="BL25">
            <v>68</v>
          </cell>
          <cell r="BM25" t="str">
            <v>B2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 t="str">
            <v>F9</v>
          </cell>
          <cell r="BT25">
            <v>20</v>
          </cell>
          <cell r="BU25">
            <v>17</v>
          </cell>
          <cell r="BV25">
            <v>20</v>
          </cell>
          <cell r="BW25">
            <v>57</v>
          </cell>
          <cell r="BX25">
            <v>56.999999999999993</v>
          </cell>
          <cell r="BY25" t="str">
            <v>C4</v>
          </cell>
          <cell r="BZ25">
            <v>15</v>
          </cell>
          <cell r="CA25">
            <v>15</v>
          </cell>
          <cell r="CB25">
            <v>50</v>
          </cell>
          <cell r="CC25">
            <v>80</v>
          </cell>
          <cell r="CD25">
            <v>80</v>
          </cell>
          <cell r="CE25" t="str">
            <v>B1</v>
          </cell>
          <cell r="CF25">
            <v>15</v>
          </cell>
          <cell r="CG25">
            <v>15</v>
          </cell>
          <cell r="CH25">
            <v>42</v>
          </cell>
          <cell r="CI25">
            <v>72</v>
          </cell>
          <cell r="CJ25">
            <v>72</v>
          </cell>
          <cell r="CK25" t="str">
            <v>B1</v>
          </cell>
          <cell r="CL25">
            <v>20</v>
          </cell>
          <cell r="CM25">
            <v>7</v>
          </cell>
          <cell r="CN25">
            <v>28</v>
          </cell>
          <cell r="CO25">
            <v>55</v>
          </cell>
          <cell r="CP25">
            <v>55.000000000000007</v>
          </cell>
          <cell r="CQ25" t="str">
            <v>C4</v>
          </cell>
          <cell r="CR25">
            <v>20</v>
          </cell>
          <cell r="CS25">
            <v>20</v>
          </cell>
          <cell r="CT25">
            <v>36</v>
          </cell>
          <cell r="CU25">
            <v>76</v>
          </cell>
          <cell r="CV25">
            <v>76</v>
          </cell>
          <cell r="CW25" t="str">
            <v>B1</v>
          </cell>
          <cell r="CX25">
            <v>20</v>
          </cell>
          <cell r="CY25">
            <v>20</v>
          </cell>
          <cell r="CZ25">
            <v>50</v>
          </cell>
          <cell r="DA25">
            <v>90</v>
          </cell>
          <cell r="DB25">
            <v>90</v>
          </cell>
          <cell r="DC25" t="str">
            <v>A</v>
          </cell>
          <cell r="DD25">
            <v>20</v>
          </cell>
          <cell r="DE25">
            <v>17</v>
          </cell>
          <cell r="DF25">
            <v>25</v>
          </cell>
          <cell r="DG25">
            <v>62</v>
          </cell>
          <cell r="DH25">
            <v>62</v>
          </cell>
          <cell r="DI25" t="str">
            <v>B2</v>
          </cell>
          <cell r="DJ25">
            <v>1192</v>
          </cell>
          <cell r="DK25">
            <v>1192</v>
          </cell>
          <cell r="DL25">
            <v>0.7011764705882354</v>
          </cell>
          <cell r="DM25" t="str">
            <v>11th</v>
          </cell>
          <cell r="DN25">
            <v>87</v>
          </cell>
          <cell r="DO25">
            <v>26</v>
          </cell>
          <cell r="DP25">
            <v>96</v>
          </cell>
          <cell r="DQ25" t="str">
            <v>11th</v>
          </cell>
          <cell r="DR25">
            <v>68</v>
          </cell>
          <cell r="DS25">
            <v>0</v>
          </cell>
          <cell r="DT25">
            <v>90</v>
          </cell>
          <cell r="DU25" t="str">
            <v>14th</v>
          </cell>
          <cell r="DV25">
            <v>71</v>
          </cell>
          <cell r="DW25">
            <v>0</v>
          </cell>
          <cell r="DX25">
            <v>78</v>
          </cell>
          <cell r="DY25" t="str">
            <v>3rd</v>
          </cell>
          <cell r="DZ25">
            <v>61</v>
          </cell>
          <cell r="EA25">
            <v>10</v>
          </cell>
          <cell r="EB25">
            <v>93</v>
          </cell>
          <cell r="EC25" t="str">
            <v>21st</v>
          </cell>
          <cell r="ED25">
            <v>73</v>
          </cell>
          <cell r="EE25">
            <v>0</v>
          </cell>
          <cell r="EF25">
            <v>78</v>
          </cell>
          <cell r="EG25" t="str">
            <v>5th</v>
          </cell>
          <cell r="EH25">
            <v>63</v>
          </cell>
          <cell r="EI25">
            <v>36</v>
          </cell>
          <cell r="EJ25">
            <v>85</v>
          </cell>
          <cell r="EK25" t="str">
            <v>32nd</v>
          </cell>
          <cell r="EL25">
            <v>76</v>
          </cell>
          <cell r="EM25">
            <v>0</v>
          </cell>
          <cell r="EN25">
            <v>87</v>
          </cell>
          <cell r="EO25" t="str">
            <v>25th</v>
          </cell>
          <cell r="EP25">
            <v>85</v>
          </cell>
          <cell r="EQ25">
            <v>0</v>
          </cell>
          <cell r="ER25">
            <v>100</v>
          </cell>
          <cell r="ES25" t="str">
            <v>10th</v>
          </cell>
          <cell r="ET25">
            <v>48</v>
          </cell>
          <cell r="EU25">
            <v>5</v>
          </cell>
          <cell r="EV25">
            <v>70</v>
          </cell>
          <cell r="EW25" t="str">
            <v>11th</v>
          </cell>
          <cell r="EX25">
            <v>68</v>
          </cell>
          <cell r="EY25">
            <v>0</v>
          </cell>
          <cell r="EZ25">
            <v>86</v>
          </cell>
          <cell r="FA25" t="str">
            <v>17th</v>
          </cell>
          <cell r="FB25">
            <v>0</v>
          </cell>
          <cell r="FC25">
            <v>0</v>
          </cell>
          <cell r="FD25">
            <v>0</v>
          </cell>
          <cell r="FE25" t="str">
            <v>1st</v>
          </cell>
          <cell r="FF25">
            <v>57</v>
          </cell>
          <cell r="FG25">
            <v>19</v>
          </cell>
          <cell r="FH25">
            <v>81</v>
          </cell>
          <cell r="FI25" t="str">
            <v>14th</v>
          </cell>
          <cell r="FJ25">
            <v>80</v>
          </cell>
          <cell r="FK25">
            <v>0</v>
          </cell>
          <cell r="FL25">
            <v>95</v>
          </cell>
          <cell r="FM25" t="str">
            <v>45th</v>
          </cell>
          <cell r="FN25">
            <v>72</v>
          </cell>
          <cell r="FO25">
            <v>0</v>
          </cell>
          <cell r="FP25">
            <v>84</v>
          </cell>
          <cell r="FQ25" t="str">
            <v>9th</v>
          </cell>
          <cell r="FR25">
            <v>55</v>
          </cell>
          <cell r="FS25">
            <v>0</v>
          </cell>
          <cell r="FT25">
            <v>82</v>
          </cell>
          <cell r="FU25" t="str">
            <v>23rd</v>
          </cell>
          <cell r="FV25">
            <v>76</v>
          </cell>
          <cell r="FW25">
            <v>0</v>
          </cell>
          <cell r="FX25">
            <v>85</v>
          </cell>
          <cell r="FY25" t="str">
            <v>4th</v>
          </cell>
          <cell r="FZ25">
            <v>90</v>
          </cell>
          <cell r="GA25">
            <v>0</v>
          </cell>
          <cell r="GB25">
            <v>95</v>
          </cell>
          <cell r="GC25" t="str">
            <v>7th</v>
          </cell>
          <cell r="GD25">
            <v>62</v>
          </cell>
          <cell r="GE25">
            <v>24</v>
          </cell>
          <cell r="GF25">
            <v>71</v>
          </cell>
          <cell r="GG25" t="str">
            <v>9th</v>
          </cell>
        </row>
        <row r="26">
          <cell r="A26" t="str">
            <v>BDS/22/027</v>
          </cell>
          <cell r="B26" t="str">
            <v>ONONOBI AMARACHI</v>
          </cell>
          <cell r="C26" t="str">
            <v>FEMALE</v>
          </cell>
          <cell r="D26" t="str">
            <v>20/09/2012</v>
          </cell>
          <cell r="E26" t="str">
            <v>DRAMA</v>
          </cell>
          <cell r="F26">
            <v>18</v>
          </cell>
          <cell r="G26">
            <v>20</v>
          </cell>
          <cell r="H26">
            <v>49</v>
          </cell>
          <cell r="I26">
            <v>87</v>
          </cell>
          <cell r="J26">
            <v>87</v>
          </cell>
          <cell r="K26" t="str">
            <v>A</v>
          </cell>
          <cell r="L26">
            <v>20</v>
          </cell>
          <cell r="M26">
            <v>15</v>
          </cell>
          <cell r="N26">
            <v>7</v>
          </cell>
          <cell r="O26">
            <v>42</v>
          </cell>
          <cell r="P26">
            <v>42</v>
          </cell>
          <cell r="Q26" t="str">
            <v>D</v>
          </cell>
          <cell r="R26">
            <v>13</v>
          </cell>
          <cell r="S26">
            <v>20</v>
          </cell>
          <cell r="T26">
            <v>34</v>
          </cell>
          <cell r="U26">
            <v>67</v>
          </cell>
          <cell r="V26">
            <v>67</v>
          </cell>
          <cell r="W26" t="str">
            <v>B2</v>
          </cell>
          <cell r="X26">
            <v>6</v>
          </cell>
          <cell r="Y26">
            <v>6</v>
          </cell>
          <cell r="Z26">
            <v>33</v>
          </cell>
          <cell r="AA26">
            <v>45</v>
          </cell>
          <cell r="AB26">
            <v>45</v>
          </cell>
          <cell r="AC26" t="str">
            <v>D</v>
          </cell>
          <cell r="AD26">
            <v>18</v>
          </cell>
          <cell r="AE26">
            <v>10</v>
          </cell>
          <cell r="AF26">
            <v>37</v>
          </cell>
          <cell r="AG26">
            <v>65</v>
          </cell>
          <cell r="AH26">
            <v>65</v>
          </cell>
          <cell r="AI26" t="str">
            <v>B2</v>
          </cell>
          <cell r="AJ26">
            <v>20</v>
          </cell>
          <cell r="AK26">
            <v>20</v>
          </cell>
          <cell r="AL26">
            <v>24</v>
          </cell>
          <cell r="AM26">
            <v>64</v>
          </cell>
          <cell r="AN26">
            <v>64</v>
          </cell>
          <cell r="AO26" t="str">
            <v>B2</v>
          </cell>
          <cell r="AP26">
            <v>12</v>
          </cell>
          <cell r="AQ26">
            <v>10</v>
          </cell>
          <cell r="AR26">
            <v>56</v>
          </cell>
          <cell r="AS26">
            <v>78</v>
          </cell>
          <cell r="AT26">
            <v>78</v>
          </cell>
          <cell r="AU26" t="str">
            <v>B1</v>
          </cell>
          <cell r="AV26">
            <v>15</v>
          </cell>
          <cell r="AW26">
            <v>15</v>
          </cell>
          <cell r="AX26">
            <v>38</v>
          </cell>
          <cell r="AY26">
            <v>68</v>
          </cell>
          <cell r="AZ26">
            <v>68</v>
          </cell>
          <cell r="BA26" t="str">
            <v>B2</v>
          </cell>
          <cell r="BB26">
            <v>10</v>
          </cell>
          <cell r="BC26">
            <v>10</v>
          </cell>
          <cell r="BD26">
            <v>29</v>
          </cell>
          <cell r="BE26">
            <v>49</v>
          </cell>
          <cell r="BF26">
            <v>49</v>
          </cell>
          <cell r="BG26" t="str">
            <v>C5</v>
          </cell>
          <cell r="BH26">
            <v>16</v>
          </cell>
          <cell r="BI26">
            <v>20</v>
          </cell>
          <cell r="BJ26">
            <v>40</v>
          </cell>
          <cell r="BK26">
            <v>76</v>
          </cell>
          <cell r="BL26">
            <v>76</v>
          </cell>
          <cell r="BM26" t="str">
            <v>B1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 t="str">
            <v>F9</v>
          </cell>
          <cell r="BT26">
            <v>18</v>
          </cell>
          <cell r="BU26">
            <v>16</v>
          </cell>
          <cell r="BV26">
            <v>23</v>
          </cell>
          <cell r="BW26">
            <v>57</v>
          </cell>
          <cell r="BX26">
            <v>56.999999999999993</v>
          </cell>
          <cell r="BY26" t="str">
            <v>C4</v>
          </cell>
          <cell r="BZ26">
            <v>15</v>
          </cell>
          <cell r="CA26">
            <v>15</v>
          </cell>
          <cell r="CB26">
            <v>55</v>
          </cell>
          <cell r="CC26">
            <v>85</v>
          </cell>
          <cell r="CD26">
            <v>85</v>
          </cell>
          <cell r="CE26" t="str">
            <v>A</v>
          </cell>
          <cell r="CF26">
            <v>16</v>
          </cell>
          <cell r="CG26">
            <v>20</v>
          </cell>
          <cell r="CH26">
            <v>43</v>
          </cell>
          <cell r="CI26">
            <v>79</v>
          </cell>
          <cell r="CJ26">
            <v>79</v>
          </cell>
          <cell r="CK26" t="str">
            <v>B1</v>
          </cell>
          <cell r="CL26">
            <v>20</v>
          </cell>
          <cell r="CM26">
            <v>7</v>
          </cell>
          <cell r="CN26">
            <v>20</v>
          </cell>
          <cell r="CO26">
            <v>47</v>
          </cell>
          <cell r="CP26">
            <v>47</v>
          </cell>
          <cell r="CQ26" t="str">
            <v>C5</v>
          </cell>
          <cell r="CR26">
            <v>11</v>
          </cell>
          <cell r="CS26">
            <v>20</v>
          </cell>
          <cell r="CT26">
            <v>32</v>
          </cell>
          <cell r="CU26">
            <v>63</v>
          </cell>
          <cell r="CV26">
            <v>63</v>
          </cell>
          <cell r="CW26" t="str">
            <v>B2</v>
          </cell>
          <cell r="CX26">
            <v>20</v>
          </cell>
          <cell r="CY26">
            <v>20</v>
          </cell>
          <cell r="CZ26">
            <v>55</v>
          </cell>
          <cell r="DA26">
            <v>95</v>
          </cell>
          <cell r="DB26">
            <v>95</v>
          </cell>
          <cell r="DC26" t="str">
            <v>A</v>
          </cell>
          <cell r="DD26">
            <v>16</v>
          </cell>
          <cell r="DE26">
            <v>17</v>
          </cell>
          <cell r="DF26">
            <v>14</v>
          </cell>
          <cell r="DG26">
            <v>47</v>
          </cell>
          <cell r="DH26">
            <v>47</v>
          </cell>
          <cell r="DI26" t="str">
            <v>C5</v>
          </cell>
          <cell r="DJ26">
            <v>1114</v>
          </cell>
          <cell r="DK26">
            <v>1114</v>
          </cell>
          <cell r="DL26">
            <v>0.6552941176470588</v>
          </cell>
          <cell r="DM26" t="str">
            <v>18th</v>
          </cell>
          <cell r="DN26">
            <v>87</v>
          </cell>
          <cell r="DO26">
            <v>26</v>
          </cell>
          <cell r="DP26">
            <v>96</v>
          </cell>
          <cell r="DQ26" t="str">
            <v>11th</v>
          </cell>
          <cell r="DR26">
            <v>42</v>
          </cell>
          <cell r="DS26">
            <v>0</v>
          </cell>
          <cell r="DT26">
            <v>90</v>
          </cell>
          <cell r="DU26" t="str">
            <v>42nd</v>
          </cell>
          <cell r="DV26">
            <v>67</v>
          </cell>
          <cell r="DW26">
            <v>0</v>
          </cell>
          <cell r="DX26">
            <v>78</v>
          </cell>
          <cell r="DY26" t="str">
            <v>7th</v>
          </cell>
          <cell r="DZ26">
            <v>45</v>
          </cell>
          <cell r="EA26">
            <v>10</v>
          </cell>
          <cell r="EB26">
            <v>93</v>
          </cell>
          <cell r="EC26" t="str">
            <v>32nd</v>
          </cell>
          <cell r="ED26">
            <v>65</v>
          </cell>
          <cell r="EE26">
            <v>0</v>
          </cell>
          <cell r="EF26">
            <v>78</v>
          </cell>
          <cell r="EG26" t="str">
            <v>11th</v>
          </cell>
          <cell r="EH26">
            <v>64</v>
          </cell>
          <cell r="EI26">
            <v>36</v>
          </cell>
          <cell r="EJ26">
            <v>85</v>
          </cell>
          <cell r="EK26" t="str">
            <v>30th</v>
          </cell>
          <cell r="EL26">
            <v>78</v>
          </cell>
          <cell r="EM26">
            <v>0</v>
          </cell>
          <cell r="EN26">
            <v>87</v>
          </cell>
          <cell r="EO26" t="str">
            <v>18th</v>
          </cell>
          <cell r="EP26">
            <v>68</v>
          </cell>
          <cell r="EQ26">
            <v>0</v>
          </cell>
          <cell r="ER26">
            <v>100</v>
          </cell>
          <cell r="ES26" t="str">
            <v>27th</v>
          </cell>
          <cell r="ET26">
            <v>49</v>
          </cell>
          <cell r="EU26">
            <v>5</v>
          </cell>
          <cell r="EV26">
            <v>70</v>
          </cell>
          <cell r="EW26" t="str">
            <v>9th</v>
          </cell>
          <cell r="EX26">
            <v>76</v>
          </cell>
          <cell r="EY26">
            <v>0</v>
          </cell>
          <cell r="EZ26">
            <v>86</v>
          </cell>
          <cell r="FA26" t="str">
            <v>8th</v>
          </cell>
          <cell r="FB26">
            <v>0</v>
          </cell>
          <cell r="FC26">
            <v>0</v>
          </cell>
          <cell r="FD26">
            <v>0</v>
          </cell>
          <cell r="FE26" t="str">
            <v>1st</v>
          </cell>
          <cell r="FF26">
            <v>57</v>
          </cell>
          <cell r="FG26">
            <v>19</v>
          </cell>
          <cell r="FH26">
            <v>81</v>
          </cell>
          <cell r="FI26" t="str">
            <v>14th</v>
          </cell>
          <cell r="FJ26">
            <v>85</v>
          </cell>
          <cell r="FK26">
            <v>0</v>
          </cell>
          <cell r="FL26">
            <v>95</v>
          </cell>
          <cell r="FM26" t="str">
            <v>21st</v>
          </cell>
          <cell r="FN26">
            <v>79</v>
          </cell>
          <cell r="FO26">
            <v>0</v>
          </cell>
          <cell r="FP26">
            <v>84</v>
          </cell>
          <cell r="FQ26" t="str">
            <v>3rd</v>
          </cell>
          <cell r="FR26">
            <v>47</v>
          </cell>
          <cell r="FS26">
            <v>0</v>
          </cell>
          <cell r="FT26">
            <v>82</v>
          </cell>
          <cell r="FU26" t="str">
            <v>35th</v>
          </cell>
          <cell r="FV26">
            <v>63</v>
          </cell>
          <cell r="FW26">
            <v>0</v>
          </cell>
          <cell r="FX26">
            <v>85</v>
          </cell>
          <cell r="FY26" t="str">
            <v>17th</v>
          </cell>
          <cell r="FZ26">
            <v>95</v>
          </cell>
          <cell r="GA26">
            <v>0</v>
          </cell>
          <cell r="GB26">
            <v>95</v>
          </cell>
          <cell r="GC26" t="str">
            <v>1st</v>
          </cell>
          <cell r="GD26">
            <v>47</v>
          </cell>
          <cell r="GE26">
            <v>24</v>
          </cell>
          <cell r="GF26">
            <v>71</v>
          </cell>
          <cell r="GG26" t="str">
            <v>32nd</v>
          </cell>
        </row>
        <row r="27">
          <cell r="A27" t="str">
            <v>BDS/22/029</v>
          </cell>
          <cell r="B27" t="str">
            <v>RICHARD GOODLUCK</v>
          </cell>
          <cell r="C27" t="str">
            <v>FEMALE</v>
          </cell>
          <cell r="D27">
            <v>39668</v>
          </cell>
          <cell r="E27" t="str">
            <v>CULTURAL</v>
          </cell>
          <cell r="F27">
            <v>20</v>
          </cell>
          <cell r="G27">
            <v>20</v>
          </cell>
          <cell r="H27">
            <v>45</v>
          </cell>
          <cell r="I27">
            <v>85</v>
          </cell>
          <cell r="J27">
            <v>85</v>
          </cell>
          <cell r="K27" t="str">
            <v>A</v>
          </cell>
          <cell r="L27">
            <v>20</v>
          </cell>
          <cell r="M27">
            <v>15</v>
          </cell>
          <cell r="N27">
            <v>25</v>
          </cell>
          <cell r="O27">
            <v>60</v>
          </cell>
          <cell r="P27">
            <v>60</v>
          </cell>
          <cell r="Q27" t="str">
            <v>C4</v>
          </cell>
          <cell r="R27">
            <v>8</v>
          </cell>
          <cell r="S27">
            <v>10</v>
          </cell>
          <cell r="T27">
            <v>30</v>
          </cell>
          <cell r="U27">
            <v>48</v>
          </cell>
          <cell r="V27">
            <v>48</v>
          </cell>
          <cell r="W27" t="str">
            <v>C5</v>
          </cell>
          <cell r="X27">
            <v>14</v>
          </cell>
          <cell r="Y27">
            <v>14</v>
          </cell>
          <cell r="Z27">
            <v>33</v>
          </cell>
          <cell r="AA27">
            <v>61</v>
          </cell>
          <cell r="AB27">
            <v>61</v>
          </cell>
          <cell r="AC27" t="str">
            <v>B2</v>
          </cell>
          <cell r="AD27">
            <v>6</v>
          </cell>
          <cell r="AE27">
            <v>10</v>
          </cell>
          <cell r="AF27">
            <v>17</v>
          </cell>
          <cell r="AG27">
            <v>33</v>
          </cell>
          <cell r="AH27">
            <v>33</v>
          </cell>
          <cell r="AI27" t="str">
            <v>F9</v>
          </cell>
          <cell r="AJ27">
            <v>20</v>
          </cell>
          <cell r="AK27">
            <v>20</v>
          </cell>
          <cell r="AL27">
            <v>29</v>
          </cell>
          <cell r="AM27">
            <v>69</v>
          </cell>
          <cell r="AN27">
            <v>69</v>
          </cell>
          <cell r="AO27" t="str">
            <v>B2</v>
          </cell>
          <cell r="AP27">
            <v>17</v>
          </cell>
          <cell r="AQ27">
            <v>10</v>
          </cell>
          <cell r="AR27">
            <v>46</v>
          </cell>
          <cell r="AS27">
            <v>73</v>
          </cell>
          <cell r="AT27">
            <v>73</v>
          </cell>
          <cell r="AU27" t="str">
            <v>B1</v>
          </cell>
          <cell r="AV27">
            <v>10</v>
          </cell>
          <cell r="AW27">
            <v>5</v>
          </cell>
          <cell r="AX27">
            <v>50</v>
          </cell>
          <cell r="AY27">
            <v>65</v>
          </cell>
          <cell r="AZ27">
            <v>65</v>
          </cell>
          <cell r="BA27" t="str">
            <v>B2</v>
          </cell>
          <cell r="BB27">
            <v>2</v>
          </cell>
          <cell r="BC27">
            <v>3</v>
          </cell>
          <cell r="BD27">
            <v>34</v>
          </cell>
          <cell r="BE27">
            <v>39</v>
          </cell>
          <cell r="BF27">
            <v>39</v>
          </cell>
          <cell r="BG27" t="str">
            <v>E8</v>
          </cell>
          <cell r="BH27">
            <v>10</v>
          </cell>
          <cell r="BI27">
            <v>7</v>
          </cell>
          <cell r="BJ27">
            <v>24</v>
          </cell>
          <cell r="BK27">
            <v>41</v>
          </cell>
          <cell r="BL27">
            <v>41</v>
          </cell>
          <cell r="BM27" t="str">
            <v>D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 t="str">
            <v>F9</v>
          </cell>
          <cell r="BT27">
            <v>5</v>
          </cell>
          <cell r="BU27">
            <v>15</v>
          </cell>
          <cell r="BV27">
            <v>19</v>
          </cell>
          <cell r="BW27">
            <v>39</v>
          </cell>
          <cell r="BX27">
            <v>39</v>
          </cell>
          <cell r="BY27" t="str">
            <v>E8</v>
          </cell>
          <cell r="BZ27">
            <v>15</v>
          </cell>
          <cell r="CA27">
            <v>20</v>
          </cell>
          <cell r="CB27">
            <v>55</v>
          </cell>
          <cell r="CC27">
            <v>90</v>
          </cell>
          <cell r="CD27">
            <v>90</v>
          </cell>
          <cell r="CE27" t="str">
            <v>A</v>
          </cell>
          <cell r="CF27">
            <v>9</v>
          </cell>
          <cell r="CG27">
            <v>10</v>
          </cell>
          <cell r="CH27">
            <v>42</v>
          </cell>
          <cell r="CI27">
            <v>61</v>
          </cell>
          <cell r="CJ27">
            <v>61</v>
          </cell>
          <cell r="CK27" t="str">
            <v>B2</v>
          </cell>
          <cell r="CL27">
            <v>20</v>
          </cell>
          <cell r="CM27">
            <v>7</v>
          </cell>
          <cell r="CN27">
            <v>28</v>
          </cell>
          <cell r="CO27">
            <v>55</v>
          </cell>
          <cell r="CP27">
            <v>55.000000000000007</v>
          </cell>
          <cell r="CQ27" t="str">
            <v>C4</v>
          </cell>
          <cell r="CR27">
            <v>0</v>
          </cell>
          <cell r="CS27">
            <v>20</v>
          </cell>
          <cell r="CT27">
            <v>41</v>
          </cell>
          <cell r="CU27">
            <v>61</v>
          </cell>
          <cell r="CV27">
            <v>61</v>
          </cell>
          <cell r="CW27" t="str">
            <v>B2</v>
          </cell>
          <cell r="CX27">
            <v>20</v>
          </cell>
          <cell r="CY27">
            <v>20</v>
          </cell>
          <cell r="CZ27">
            <v>55</v>
          </cell>
          <cell r="DA27">
            <v>95</v>
          </cell>
          <cell r="DB27">
            <v>95</v>
          </cell>
          <cell r="DC27" t="str">
            <v>A</v>
          </cell>
          <cell r="DD27">
            <v>15</v>
          </cell>
          <cell r="DE27">
            <v>17</v>
          </cell>
          <cell r="DF27">
            <v>20</v>
          </cell>
          <cell r="DG27">
            <v>52</v>
          </cell>
          <cell r="DH27">
            <v>52</v>
          </cell>
          <cell r="DI27" t="str">
            <v>C4</v>
          </cell>
          <cell r="DJ27">
            <v>1027</v>
          </cell>
          <cell r="DK27">
            <v>1027</v>
          </cell>
          <cell r="DL27">
            <v>0.60411764705882354</v>
          </cell>
          <cell r="DM27" t="str">
            <v>28th</v>
          </cell>
          <cell r="DN27">
            <v>85</v>
          </cell>
          <cell r="DO27">
            <v>26</v>
          </cell>
          <cell r="DP27">
            <v>96</v>
          </cell>
          <cell r="DQ27" t="str">
            <v>14th</v>
          </cell>
          <cell r="DR27">
            <v>60</v>
          </cell>
          <cell r="DS27">
            <v>0</v>
          </cell>
          <cell r="DT27">
            <v>90</v>
          </cell>
          <cell r="DU27" t="str">
            <v>25th</v>
          </cell>
          <cell r="DV27">
            <v>48</v>
          </cell>
          <cell r="DW27">
            <v>0</v>
          </cell>
          <cell r="DX27">
            <v>78</v>
          </cell>
          <cell r="DY27" t="str">
            <v>36th</v>
          </cell>
          <cell r="DZ27">
            <v>61</v>
          </cell>
          <cell r="EA27">
            <v>10</v>
          </cell>
          <cell r="EB27">
            <v>93</v>
          </cell>
          <cell r="EC27" t="str">
            <v>21st</v>
          </cell>
          <cell r="ED27">
            <v>33</v>
          </cell>
          <cell r="EE27">
            <v>0</v>
          </cell>
          <cell r="EF27">
            <v>78</v>
          </cell>
          <cell r="EG27" t="str">
            <v>41st</v>
          </cell>
          <cell r="EH27">
            <v>69</v>
          </cell>
          <cell r="EI27">
            <v>36</v>
          </cell>
          <cell r="EJ27">
            <v>85</v>
          </cell>
          <cell r="EK27" t="str">
            <v>18th</v>
          </cell>
          <cell r="EL27">
            <v>73</v>
          </cell>
          <cell r="EM27">
            <v>0</v>
          </cell>
          <cell r="EN27">
            <v>87</v>
          </cell>
          <cell r="EO27" t="str">
            <v>26th</v>
          </cell>
          <cell r="EP27">
            <v>65</v>
          </cell>
          <cell r="EQ27">
            <v>0</v>
          </cell>
          <cell r="ER27">
            <v>100</v>
          </cell>
          <cell r="ES27" t="str">
            <v>28th</v>
          </cell>
          <cell r="ET27">
            <v>39</v>
          </cell>
          <cell r="EU27">
            <v>5</v>
          </cell>
          <cell r="EV27">
            <v>70</v>
          </cell>
          <cell r="EW27" t="str">
            <v>26th</v>
          </cell>
          <cell r="EX27">
            <v>41</v>
          </cell>
          <cell r="EY27">
            <v>0</v>
          </cell>
          <cell r="EZ27">
            <v>86</v>
          </cell>
          <cell r="FA27" t="str">
            <v>41st</v>
          </cell>
          <cell r="FB27">
            <v>0</v>
          </cell>
          <cell r="FC27">
            <v>0</v>
          </cell>
          <cell r="FD27">
            <v>0</v>
          </cell>
          <cell r="FE27" t="str">
            <v>1st</v>
          </cell>
          <cell r="FF27">
            <v>39</v>
          </cell>
          <cell r="FG27">
            <v>19</v>
          </cell>
          <cell r="FH27">
            <v>81</v>
          </cell>
          <cell r="FI27" t="str">
            <v>34th</v>
          </cell>
          <cell r="FJ27">
            <v>90</v>
          </cell>
          <cell r="FK27">
            <v>0</v>
          </cell>
          <cell r="FL27">
            <v>95</v>
          </cell>
          <cell r="FM27" t="str">
            <v>6th</v>
          </cell>
          <cell r="FN27">
            <v>61</v>
          </cell>
          <cell r="FO27">
            <v>0</v>
          </cell>
          <cell r="FP27">
            <v>84</v>
          </cell>
          <cell r="FQ27" t="str">
            <v>26th</v>
          </cell>
          <cell r="FR27">
            <v>55</v>
          </cell>
          <cell r="FS27">
            <v>0</v>
          </cell>
          <cell r="FT27">
            <v>82</v>
          </cell>
          <cell r="FU27" t="str">
            <v>23rd</v>
          </cell>
          <cell r="FV27">
            <v>61</v>
          </cell>
          <cell r="FW27">
            <v>0</v>
          </cell>
          <cell r="FX27">
            <v>85</v>
          </cell>
          <cell r="FY27" t="str">
            <v>19th</v>
          </cell>
          <cell r="FZ27">
            <v>95</v>
          </cell>
          <cell r="GA27">
            <v>0</v>
          </cell>
          <cell r="GB27">
            <v>95</v>
          </cell>
          <cell r="GC27" t="str">
            <v>1st</v>
          </cell>
          <cell r="GD27">
            <v>52</v>
          </cell>
          <cell r="GE27">
            <v>24</v>
          </cell>
          <cell r="GF27">
            <v>71</v>
          </cell>
          <cell r="GG27" t="str">
            <v>22nd</v>
          </cell>
        </row>
        <row r="28">
          <cell r="A28" t="str">
            <v>BDS/22/033</v>
          </cell>
          <cell r="B28" t="str">
            <v>UKPABI NOBLE MUNACHI</v>
          </cell>
          <cell r="C28" t="str">
            <v>MALE</v>
          </cell>
          <cell r="D28">
            <v>40888</v>
          </cell>
          <cell r="E28" t="str">
            <v>JET</v>
          </cell>
          <cell r="F28">
            <v>12</v>
          </cell>
          <cell r="G28">
            <v>20</v>
          </cell>
          <cell r="H28">
            <v>40</v>
          </cell>
          <cell r="I28">
            <v>72</v>
          </cell>
          <cell r="J28">
            <v>72</v>
          </cell>
          <cell r="K28" t="str">
            <v>B1</v>
          </cell>
          <cell r="L28">
            <v>20</v>
          </cell>
          <cell r="M28">
            <v>15</v>
          </cell>
          <cell r="N28">
            <v>24</v>
          </cell>
          <cell r="O28">
            <v>59</v>
          </cell>
          <cell r="P28">
            <v>59</v>
          </cell>
          <cell r="Q28" t="str">
            <v>C4</v>
          </cell>
          <cell r="R28">
            <v>10</v>
          </cell>
          <cell r="S28">
            <v>10</v>
          </cell>
          <cell r="T28">
            <v>26</v>
          </cell>
          <cell r="U28">
            <v>46</v>
          </cell>
          <cell r="V28">
            <v>46</v>
          </cell>
          <cell r="W28" t="str">
            <v>C5</v>
          </cell>
          <cell r="X28">
            <v>7</v>
          </cell>
          <cell r="Y28">
            <v>7</v>
          </cell>
          <cell r="Z28">
            <v>31</v>
          </cell>
          <cell r="AA28">
            <v>45</v>
          </cell>
          <cell r="AB28">
            <v>45</v>
          </cell>
          <cell r="AC28" t="str">
            <v>D</v>
          </cell>
          <cell r="AD28">
            <v>10</v>
          </cell>
          <cell r="AE28">
            <v>18</v>
          </cell>
          <cell r="AF28">
            <v>45</v>
          </cell>
          <cell r="AG28">
            <v>73</v>
          </cell>
          <cell r="AH28">
            <v>73</v>
          </cell>
          <cell r="AI28" t="str">
            <v>B1</v>
          </cell>
          <cell r="AJ28">
            <v>20</v>
          </cell>
          <cell r="AK28">
            <v>20</v>
          </cell>
          <cell r="AL28">
            <v>0</v>
          </cell>
          <cell r="AM28">
            <v>40</v>
          </cell>
          <cell r="AN28">
            <v>40</v>
          </cell>
          <cell r="AO28" t="str">
            <v>E8</v>
          </cell>
          <cell r="AP28">
            <v>15</v>
          </cell>
          <cell r="AQ28">
            <v>10</v>
          </cell>
          <cell r="AR28">
            <v>48</v>
          </cell>
          <cell r="AS28">
            <v>73</v>
          </cell>
          <cell r="AT28">
            <v>73</v>
          </cell>
          <cell r="AU28" t="str">
            <v>B1</v>
          </cell>
          <cell r="AV28">
            <v>15</v>
          </cell>
          <cell r="AW28">
            <v>10</v>
          </cell>
          <cell r="AX28">
            <v>28</v>
          </cell>
          <cell r="AY28">
            <v>53</v>
          </cell>
          <cell r="AZ28">
            <v>53</v>
          </cell>
          <cell r="BA28" t="str">
            <v>C4</v>
          </cell>
          <cell r="BB28">
            <v>2</v>
          </cell>
          <cell r="BC28">
            <v>3</v>
          </cell>
          <cell r="BD28">
            <v>37</v>
          </cell>
          <cell r="BE28">
            <v>42</v>
          </cell>
          <cell r="BF28">
            <v>42</v>
          </cell>
          <cell r="BG28" t="str">
            <v>D</v>
          </cell>
          <cell r="BH28">
            <v>10</v>
          </cell>
          <cell r="BI28">
            <v>10</v>
          </cell>
          <cell r="BJ28">
            <v>40</v>
          </cell>
          <cell r="BK28">
            <v>60</v>
          </cell>
          <cell r="BL28">
            <v>60</v>
          </cell>
          <cell r="BM28" t="str">
            <v>C4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 t="str">
            <v>F9</v>
          </cell>
          <cell r="BT28">
            <v>5</v>
          </cell>
          <cell r="BU28">
            <v>11</v>
          </cell>
          <cell r="BV28">
            <v>14</v>
          </cell>
          <cell r="BW28">
            <v>30</v>
          </cell>
          <cell r="BX28">
            <v>30</v>
          </cell>
          <cell r="BY28" t="str">
            <v>F9</v>
          </cell>
          <cell r="BZ28">
            <v>20</v>
          </cell>
          <cell r="CA28">
            <v>20</v>
          </cell>
          <cell r="CB28">
            <v>55</v>
          </cell>
          <cell r="CC28">
            <v>95</v>
          </cell>
          <cell r="CD28">
            <v>95</v>
          </cell>
          <cell r="CE28" t="str">
            <v>A</v>
          </cell>
          <cell r="CF28">
            <v>20</v>
          </cell>
          <cell r="CG28">
            <v>9</v>
          </cell>
          <cell r="CH28">
            <v>39</v>
          </cell>
          <cell r="CI28">
            <v>68</v>
          </cell>
          <cell r="CJ28">
            <v>68</v>
          </cell>
          <cell r="CK28" t="str">
            <v>B2</v>
          </cell>
          <cell r="CL28">
            <v>20</v>
          </cell>
          <cell r="CM28">
            <v>8</v>
          </cell>
          <cell r="CN28">
            <v>30</v>
          </cell>
          <cell r="CO28">
            <v>58</v>
          </cell>
          <cell r="CP28">
            <v>57.999999999999993</v>
          </cell>
          <cell r="CQ28" t="str">
            <v>C4</v>
          </cell>
          <cell r="CR28">
            <v>0</v>
          </cell>
          <cell r="CS28">
            <v>20</v>
          </cell>
          <cell r="CT28">
            <v>29</v>
          </cell>
          <cell r="CU28">
            <v>49</v>
          </cell>
          <cell r="CV28">
            <v>49</v>
          </cell>
          <cell r="CW28" t="str">
            <v>C5</v>
          </cell>
          <cell r="CX28">
            <v>20</v>
          </cell>
          <cell r="CY28">
            <v>20</v>
          </cell>
          <cell r="CZ28">
            <v>50</v>
          </cell>
          <cell r="DA28">
            <v>90</v>
          </cell>
          <cell r="DB28">
            <v>90</v>
          </cell>
          <cell r="DC28" t="str">
            <v>A</v>
          </cell>
          <cell r="DD28">
            <v>18</v>
          </cell>
          <cell r="DE28">
            <v>17</v>
          </cell>
          <cell r="DF28">
            <v>28</v>
          </cell>
          <cell r="DG28">
            <v>63</v>
          </cell>
          <cell r="DH28">
            <v>63</v>
          </cell>
          <cell r="DI28" t="str">
            <v>B2</v>
          </cell>
          <cell r="DJ28">
            <v>1016</v>
          </cell>
          <cell r="DK28">
            <v>1016</v>
          </cell>
          <cell r="DL28">
            <v>0.59764705882352942</v>
          </cell>
          <cell r="DM28" t="str">
            <v>30th</v>
          </cell>
          <cell r="DN28">
            <v>72</v>
          </cell>
          <cell r="DO28">
            <v>26</v>
          </cell>
          <cell r="DP28">
            <v>96</v>
          </cell>
          <cell r="DQ28" t="str">
            <v>29th</v>
          </cell>
          <cell r="DR28">
            <v>59</v>
          </cell>
          <cell r="DS28">
            <v>0</v>
          </cell>
          <cell r="DT28">
            <v>90</v>
          </cell>
          <cell r="DU28" t="str">
            <v>26th</v>
          </cell>
          <cell r="DV28">
            <v>46</v>
          </cell>
          <cell r="DW28">
            <v>0</v>
          </cell>
          <cell r="DX28">
            <v>78</v>
          </cell>
          <cell r="DY28" t="str">
            <v>38th</v>
          </cell>
          <cell r="DZ28">
            <v>45</v>
          </cell>
          <cell r="EA28">
            <v>10</v>
          </cell>
          <cell r="EB28">
            <v>93</v>
          </cell>
          <cell r="EC28" t="str">
            <v>32nd</v>
          </cell>
          <cell r="ED28">
            <v>73</v>
          </cell>
          <cell r="EE28">
            <v>0</v>
          </cell>
          <cell r="EF28">
            <v>78</v>
          </cell>
          <cell r="EG28" t="str">
            <v>5th</v>
          </cell>
          <cell r="EH28">
            <v>40</v>
          </cell>
          <cell r="EI28">
            <v>36</v>
          </cell>
          <cell r="EJ28">
            <v>85</v>
          </cell>
          <cell r="EK28" t="str">
            <v>45th</v>
          </cell>
          <cell r="EL28">
            <v>73</v>
          </cell>
          <cell r="EM28">
            <v>0</v>
          </cell>
          <cell r="EN28">
            <v>87</v>
          </cell>
          <cell r="EO28" t="str">
            <v>26th</v>
          </cell>
          <cell r="EP28">
            <v>53</v>
          </cell>
          <cell r="EQ28">
            <v>0</v>
          </cell>
          <cell r="ER28">
            <v>100</v>
          </cell>
          <cell r="ES28" t="str">
            <v>35th</v>
          </cell>
          <cell r="ET28">
            <v>42</v>
          </cell>
          <cell r="EU28">
            <v>5</v>
          </cell>
          <cell r="EV28">
            <v>70</v>
          </cell>
          <cell r="EW28" t="str">
            <v>21st</v>
          </cell>
          <cell r="EX28">
            <v>60</v>
          </cell>
          <cell r="EY28">
            <v>0</v>
          </cell>
          <cell r="EZ28">
            <v>86</v>
          </cell>
          <cell r="FA28" t="str">
            <v>26th</v>
          </cell>
          <cell r="FB28">
            <v>0</v>
          </cell>
          <cell r="FC28">
            <v>0</v>
          </cell>
          <cell r="FD28">
            <v>0</v>
          </cell>
          <cell r="FE28" t="str">
            <v>1st</v>
          </cell>
          <cell r="FF28">
            <v>30</v>
          </cell>
          <cell r="FG28">
            <v>19</v>
          </cell>
          <cell r="FH28">
            <v>81</v>
          </cell>
          <cell r="FI28" t="str">
            <v>39th</v>
          </cell>
          <cell r="FJ28">
            <v>95</v>
          </cell>
          <cell r="FK28">
            <v>0</v>
          </cell>
          <cell r="FL28">
            <v>95</v>
          </cell>
          <cell r="FM28" t="str">
            <v>1st</v>
          </cell>
          <cell r="FN28">
            <v>68</v>
          </cell>
          <cell r="FO28">
            <v>0</v>
          </cell>
          <cell r="FP28">
            <v>84</v>
          </cell>
          <cell r="FQ28" t="str">
            <v>16th</v>
          </cell>
          <cell r="FR28">
            <v>58</v>
          </cell>
          <cell r="FS28">
            <v>0</v>
          </cell>
          <cell r="FT28">
            <v>82</v>
          </cell>
          <cell r="FU28" t="str">
            <v>17th</v>
          </cell>
          <cell r="FV28">
            <v>49</v>
          </cell>
          <cell r="FW28">
            <v>0</v>
          </cell>
          <cell r="FX28">
            <v>85</v>
          </cell>
          <cell r="FY28" t="str">
            <v>31st</v>
          </cell>
          <cell r="FZ28">
            <v>90</v>
          </cell>
          <cell r="GA28">
            <v>0</v>
          </cell>
          <cell r="GB28">
            <v>95</v>
          </cell>
          <cell r="GC28" t="str">
            <v>7th</v>
          </cell>
          <cell r="GD28">
            <v>63</v>
          </cell>
          <cell r="GE28">
            <v>24</v>
          </cell>
          <cell r="GF28">
            <v>71</v>
          </cell>
          <cell r="GG28" t="str">
            <v>6th</v>
          </cell>
        </row>
        <row r="29">
          <cell r="A29" t="str">
            <v>BDS/22/034</v>
          </cell>
          <cell r="B29" t="str">
            <v xml:space="preserve">VICTOR VICTORY </v>
          </cell>
          <cell r="C29" t="str">
            <v>MALE</v>
          </cell>
          <cell r="D29">
            <v>40779</v>
          </cell>
          <cell r="E29" t="str">
            <v>CULTURAL</v>
          </cell>
          <cell r="F29">
            <v>18</v>
          </cell>
          <cell r="G29">
            <v>20</v>
          </cell>
          <cell r="H29">
            <v>58</v>
          </cell>
          <cell r="I29">
            <v>96</v>
          </cell>
          <cell r="J29">
            <v>96</v>
          </cell>
          <cell r="K29" t="str">
            <v>A</v>
          </cell>
          <cell r="L29">
            <v>20</v>
          </cell>
          <cell r="M29">
            <v>15</v>
          </cell>
          <cell r="N29">
            <v>43</v>
          </cell>
          <cell r="O29">
            <v>78</v>
          </cell>
          <cell r="P29">
            <v>78</v>
          </cell>
          <cell r="Q29" t="str">
            <v>B1</v>
          </cell>
          <cell r="R29">
            <v>16</v>
          </cell>
          <cell r="S29">
            <v>20</v>
          </cell>
          <cell r="T29">
            <v>32</v>
          </cell>
          <cell r="U29">
            <v>68</v>
          </cell>
          <cell r="V29">
            <v>68</v>
          </cell>
          <cell r="W29" t="str">
            <v>B2</v>
          </cell>
          <cell r="X29">
            <v>18</v>
          </cell>
          <cell r="Y29">
            <v>18</v>
          </cell>
          <cell r="Z29">
            <v>34</v>
          </cell>
          <cell r="AA29">
            <v>70</v>
          </cell>
          <cell r="AB29">
            <v>70</v>
          </cell>
          <cell r="AC29" t="str">
            <v>B2</v>
          </cell>
          <cell r="AD29">
            <v>10</v>
          </cell>
          <cell r="AE29">
            <v>10</v>
          </cell>
          <cell r="AF29">
            <v>45</v>
          </cell>
          <cell r="AG29">
            <v>65</v>
          </cell>
          <cell r="AH29">
            <v>65</v>
          </cell>
          <cell r="AI29" t="str">
            <v>B2</v>
          </cell>
          <cell r="AJ29">
            <v>20</v>
          </cell>
          <cell r="AK29">
            <v>20</v>
          </cell>
          <cell r="AL29">
            <v>37</v>
          </cell>
          <cell r="AM29">
            <v>77</v>
          </cell>
          <cell r="AN29">
            <v>77</v>
          </cell>
          <cell r="AO29" t="str">
            <v>B1</v>
          </cell>
          <cell r="AP29">
            <v>18</v>
          </cell>
          <cell r="AQ29">
            <v>10</v>
          </cell>
          <cell r="AR29">
            <v>52</v>
          </cell>
          <cell r="AS29">
            <v>80</v>
          </cell>
          <cell r="AT29">
            <v>80</v>
          </cell>
          <cell r="AU29" t="str">
            <v>B1</v>
          </cell>
          <cell r="AV29">
            <v>15</v>
          </cell>
          <cell r="AW29">
            <v>20</v>
          </cell>
          <cell r="AX29">
            <v>59</v>
          </cell>
          <cell r="AY29">
            <v>94</v>
          </cell>
          <cell r="AZ29">
            <v>94</v>
          </cell>
          <cell r="BA29" t="str">
            <v>A</v>
          </cell>
          <cell r="BB29">
            <v>18</v>
          </cell>
          <cell r="BC29">
            <v>6</v>
          </cell>
          <cell r="BD29">
            <v>21</v>
          </cell>
          <cell r="BE29">
            <v>45</v>
          </cell>
          <cell r="BF29">
            <v>45</v>
          </cell>
          <cell r="BG29" t="str">
            <v>D</v>
          </cell>
          <cell r="BH29">
            <v>15</v>
          </cell>
          <cell r="BI29">
            <v>20</v>
          </cell>
          <cell r="BJ29">
            <v>40</v>
          </cell>
          <cell r="BK29">
            <v>75</v>
          </cell>
          <cell r="BL29">
            <v>75</v>
          </cell>
          <cell r="BM29" t="str">
            <v>B1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 t="str">
            <v>F9</v>
          </cell>
          <cell r="BT29">
            <v>18</v>
          </cell>
          <cell r="BU29">
            <v>14</v>
          </cell>
          <cell r="BV29">
            <v>33</v>
          </cell>
          <cell r="BW29">
            <v>65</v>
          </cell>
          <cell r="BX29">
            <v>65</v>
          </cell>
          <cell r="BY29" t="str">
            <v>B2</v>
          </cell>
          <cell r="BZ29">
            <v>20</v>
          </cell>
          <cell r="CA29">
            <v>20</v>
          </cell>
          <cell r="CB29">
            <v>50</v>
          </cell>
          <cell r="CC29">
            <v>90</v>
          </cell>
          <cell r="CD29">
            <v>90</v>
          </cell>
          <cell r="CE29" t="str">
            <v>A</v>
          </cell>
          <cell r="CF29">
            <v>18</v>
          </cell>
          <cell r="CG29">
            <v>10</v>
          </cell>
          <cell r="CH29">
            <v>41</v>
          </cell>
          <cell r="CI29">
            <v>69</v>
          </cell>
          <cell r="CJ29">
            <v>69</v>
          </cell>
          <cell r="CK29" t="str">
            <v>B2</v>
          </cell>
          <cell r="CL29">
            <v>20</v>
          </cell>
          <cell r="CM29">
            <v>10</v>
          </cell>
          <cell r="CN29">
            <v>32</v>
          </cell>
          <cell r="CO29">
            <v>62</v>
          </cell>
          <cell r="CP29">
            <v>62</v>
          </cell>
          <cell r="CQ29" t="str">
            <v>B2</v>
          </cell>
          <cell r="CR29">
            <v>9</v>
          </cell>
          <cell r="CS29">
            <v>20</v>
          </cell>
          <cell r="CT29">
            <v>37</v>
          </cell>
          <cell r="CU29">
            <v>66</v>
          </cell>
          <cell r="CV29">
            <v>66</v>
          </cell>
          <cell r="CW29" t="str">
            <v>B2</v>
          </cell>
          <cell r="CX29">
            <v>20</v>
          </cell>
          <cell r="CY29">
            <v>20</v>
          </cell>
          <cell r="CZ29">
            <v>55</v>
          </cell>
          <cell r="DA29">
            <v>95</v>
          </cell>
          <cell r="DB29">
            <v>95</v>
          </cell>
          <cell r="DC29" t="str">
            <v>A</v>
          </cell>
          <cell r="DD29">
            <v>20</v>
          </cell>
          <cell r="DE29">
            <v>17</v>
          </cell>
          <cell r="DF29">
            <v>30</v>
          </cell>
          <cell r="DG29">
            <v>67</v>
          </cell>
          <cell r="DH29">
            <v>67</v>
          </cell>
          <cell r="DI29" t="str">
            <v>B2</v>
          </cell>
          <cell r="DJ29">
            <v>1262</v>
          </cell>
          <cell r="DK29">
            <v>1262</v>
          </cell>
          <cell r="DL29">
            <v>0.74235294117647055</v>
          </cell>
          <cell r="DM29" t="str">
            <v>2nd</v>
          </cell>
          <cell r="DN29">
            <v>96</v>
          </cell>
          <cell r="DO29">
            <v>26</v>
          </cell>
          <cell r="DP29">
            <v>96</v>
          </cell>
          <cell r="DQ29" t="str">
            <v>1st</v>
          </cell>
          <cell r="DR29">
            <v>78</v>
          </cell>
          <cell r="DS29">
            <v>0</v>
          </cell>
          <cell r="DT29">
            <v>90</v>
          </cell>
          <cell r="DU29" t="str">
            <v>2nd</v>
          </cell>
          <cell r="DV29">
            <v>68</v>
          </cell>
          <cell r="DW29">
            <v>0</v>
          </cell>
          <cell r="DX29">
            <v>78</v>
          </cell>
          <cell r="DY29" t="str">
            <v>6th</v>
          </cell>
          <cell r="DZ29">
            <v>70</v>
          </cell>
          <cell r="EA29">
            <v>10</v>
          </cell>
          <cell r="EB29">
            <v>93</v>
          </cell>
          <cell r="EC29" t="str">
            <v>5th</v>
          </cell>
          <cell r="ED29">
            <v>65</v>
          </cell>
          <cell r="EE29">
            <v>0</v>
          </cell>
          <cell r="EF29">
            <v>78</v>
          </cell>
          <cell r="EG29" t="str">
            <v>11th</v>
          </cell>
          <cell r="EH29">
            <v>77</v>
          </cell>
          <cell r="EI29">
            <v>36</v>
          </cell>
          <cell r="EJ29">
            <v>85</v>
          </cell>
          <cell r="EK29" t="str">
            <v>6th</v>
          </cell>
          <cell r="EL29">
            <v>80</v>
          </cell>
          <cell r="EM29">
            <v>0</v>
          </cell>
          <cell r="EN29">
            <v>87</v>
          </cell>
          <cell r="EO29" t="str">
            <v>14th</v>
          </cell>
          <cell r="EP29">
            <v>94</v>
          </cell>
          <cell r="EQ29">
            <v>0</v>
          </cell>
          <cell r="ER29">
            <v>100</v>
          </cell>
          <cell r="ES29" t="str">
            <v>5th</v>
          </cell>
          <cell r="ET29">
            <v>45</v>
          </cell>
          <cell r="EU29">
            <v>5</v>
          </cell>
          <cell r="EV29">
            <v>70</v>
          </cell>
          <cell r="EW29" t="str">
            <v>14th</v>
          </cell>
          <cell r="EX29">
            <v>75</v>
          </cell>
          <cell r="EY29">
            <v>0</v>
          </cell>
          <cell r="EZ29">
            <v>86</v>
          </cell>
          <cell r="FA29" t="str">
            <v>10th</v>
          </cell>
          <cell r="FB29">
            <v>0</v>
          </cell>
          <cell r="FC29">
            <v>0</v>
          </cell>
          <cell r="FD29">
            <v>0</v>
          </cell>
          <cell r="FE29" t="str">
            <v>1st</v>
          </cell>
          <cell r="FF29">
            <v>65</v>
          </cell>
          <cell r="FG29">
            <v>19</v>
          </cell>
          <cell r="FH29">
            <v>81</v>
          </cell>
          <cell r="FI29" t="str">
            <v>6th</v>
          </cell>
          <cell r="FJ29">
            <v>90</v>
          </cell>
          <cell r="FK29">
            <v>0</v>
          </cell>
          <cell r="FL29">
            <v>95</v>
          </cell>
          <cell r="FM29" t="str">
            <v>6th</v>
          </cell>
          <cell r="FN29">
            <v>69</v>
          </cell>
          <cell r="FO29">
            <v>0</v>
          </cell>
          <cell r="FP29">
            <v>84</v>
          </cell>
          <cell r="FQ29" t="str">
            <v>15th</v>
          </cell>
          <cell r="FR29">
            <v>62</v>
          </cell>
          <cell r="FS29">
            <v>0</v>
          </cell>
          <cell r="FT29">
            <v>82</v>
          </cell>
          <cell r="FU29" t="str">
            <v>14th</v>
          </cell>
          <cell r="FV29">
            <v>66</v>
          </cell>
          <cell r="FW29">
            <v>0</v>
          </cell>
          <cell r="FX29">
            <v>85</v>
          </cell>
          <cell r="FY29" t="str">
            <v>16th</v>
          </cell>
          <cell r="FZ29">
            <v>95</v>
          </cell>
          <cell r="GA29">
            <v>0</v>
          </cell>
          <cell r="GB29">
            <v>95</v>
          </cell>
          <cell r="GC29" t="str">
            <v>1st</v>
          </cell>
          <cell r="GD29">
            <v>67</v>
          </cell>
          <cell r="GE29">
            <v>24</v>
          </cell>
          <cell r="GF29">
            <v>71</v>
          </cell>
          <cell r="GG29" t="str">
            <v>4th</v>
          </cell>
        </row>
        <row r="30">
          <cell r="A30" t="str">
            <v>BDS/22/036</v>
          </cell>
          <cell r="B30" t="str">
            <v xml:space="preserve"> CHIBUZOR  WISDOM</v>
          </cell>
          <cell r="C30" t="str">
            <v>MALE</v>
          </cell>
          <cell r="D30">
            <v>41072</v>
          </cell>
          <cell r="E30" t="str">
            <v xml:space="preserve">JET </v>
          </cell>
          <cell r="F30">
            <v>15</v>
          </cell>
          <cell r="G30">
            <v>15</v>
          </cell>
          <cell r="H30">
            <v>35</v>
          </cell>
          <cell r="I30">
            <v>65</v>
          </cell>
          <cell r="J30">
            <v>65</v>
          </cell>
          <cell r="K30" t="str">
            <v>B2</v>
          </cell>
          <cell r="L30">
            <v>20</v>
          </cell>
          <cell r="M30">
            <v>15</v>
          </cell>
          <cell r="N30">
            <v>26</v>
          </cell>
          <cell r="O30">
            <v>61</v>
          </cell>
          <cell r="P30">
            <v>61</v>
          </cell>
          <cell r="Q30" t="str">
            <v>B2</v>
          </cell>
          <cell r="R30">
            <v>20</v>
          </cell>
          <cell r="S30">
            <v>10</v>
          </cell>
          <cell r="T30">
            <v>21</v>
          </cell>
          <cell r="U30">
            <v>51</v>
          </cell>
          <cell r="V30">
            <v>51</v>
          </cell>
          <cell r="W30" t="str">
            <v>C4</v>
          </cell>
          <cell r="X30">
            <v>11</v>
          </cell>
          <cell r="Y30">
            <v>11</v>
          </cell>
          <cell r="Z30">
            <v>15</v>
          </cell>
          <cell r="AA30">
            <v>37</v>
          </cell>
          <cell r="AB30">
            <v>37</v>
          </cell>
          <cell r="AC30" t="str">
            <v>E8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str">
            <v>F9</v>
          </cell>
          <cell r="AJ30">
            <v>20</v>
          </cell>
          <cell r="AK30">
            <v>20</v>
          </cell>
          <cell r="AL30">
            <v>20</v>
          </cell>
          <cell r="AM30">
            <v>60</v>
          </cell>
          <cell r="AN30">
            <v>60</v>
          </cell>
          <cell r="AO30" t="str">
            <v>C4</v>
          </cell>
          <cell r="AP30">
            <v>17</v>
          </cell>
          <cell r="AQ30">
            <v>10</v>
          </cell>
          <cell r="AR30">
            <v>44</v>
          </cell>
          <cell r="AS30">
            <v>71</v>
          </cell>
          <cell r="AT30">
            <v>71</v>
          </cell>
          <cell r="AU30" t="str">
            <v>B1</v>
          </cell>
          <cell r="AV30">
            <v>15</v>
          </cell>
          <cell r="AW30">
            <v>10</v>
          </cell>
          <cell r="AX30">
            <v>35</v>
          </cell>
          <cell r="AY30">
            <v>60</v>
          </cell>
          <cell r="AZ30">
            <v>60</v>
          </cell>
          <cell r="BA30" t="str">
            <v>C4</v>
          </cell>
          <cell r="BB30">
            <v>10</v>
          </cell>
          <cell r="BC30">
            <v>8</v>
          </cell>
          <cell r="BD30">
            <v>19</v>
          </cell>
          <cell r="BE30">
            <v>37</v>
          </cell>
          <cell r="BF30">
            <v>37</v>
          </cell>
          <cell r="BG30" t="str">
            <v>E8</v>
          </cell>
          <cell r="BH30">
            <v>10</v>
          </cell>
          <cell r="BI30">
            <v>10</v>
          </cell>
          <cell r="BJ30">
            <v>28</v>
          </cell>
          <cell r="BK30">
            <v>48</v>
          </cell>
          <cell r="BL30">
            <v>48</v>
          </cell>
          <cell r="BM30" t="str">
            <v>C5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 t="str">
            <v>F9</v>
          </cell>
          <cell r="BT30">
            <v>16</v>
          </cell>
          <cell r="BU30">
            <v>9</v>
          </cell>
          <cell r="BV30">
            <v>26</v>
          </cell>
          <cell r="BW30">
            <v>51</v>
          </cell>
          <cell r="BX30">
            <v>51</v>
          </cell>
          <cell r="BY30" t="str">
            <v>C4</v>
          </cell>
          <cell r="BZ30">
            <v>15</v>
          </cell>
          <cell r="CA30">
            <v>20</v>
          </cell>
          <cell r="CB30">
            <v>50</v>
          </cell>
          <cell r="CC30">
            <v>85</v>
          </cell>
          <cell r="CD30">
            <v>85</v>
          </cell>
          <cell r="CE30" t="str">
            <v>A</v>
          </cell>
          <cell r="CF30">
            <v>10</v>
          </cell>
          <cell r="CG30">
            <v>10</v>
          </cell>
          <cell r="CH30">
            <v>34</v>
          </cell>
          <cell r="CI30">
            <v>54</v>
          </cell>
          <cell r="CJ30">
            <v>54</v>
          </cell>
          <cell r="CK30" t="str">
            <v>C4</v>
          </cell>
          <cell r="CL30">
            <v>20</v>
          </cell>
          <cell r="CM30">
            <v>7</v>
          </cell>
          <cell r="CN30">
            <v>13</v>
          </cell>
          <cell r="CO30">
            <v>40</v>
          </cell>
          <cell r="CP30">
            <v>40</v>
          </cell>
          <cell r="CQ30" t="str">
            <v>E8</v>
          </cell>
          <cell r="CR30">
            <v>10</v>
          </cell>
          <cell r="CS30">
            <v>20</v>
          </cell>
          <cell r="CT30">
            <v>22</v>
          </cell>
          <cell r="CU30">
            <v>52</v>
          </cell>
          <cell r="CV30">
            <v>52</v>
          </cell>
          <cell r="CW30" t="str">
            <v>C4</v>
          </cell>
          <cell r="CX30">
            <v>15</v>
          </cell>
          <cell r="CY30">
            <v>20</v>
          </cell>
          <cell r="CZ30">
            <v>50</v>
          </cell>
          <cell r="DA30">
            <v>85</v>
          </cell>
          <cell r="DB30">
            <v>85</v>
          </cell>
          <cell r="DC30" t="str">
            <v>A</v>
          </cell>
          <cell r="DD30">
            <v>12</v>
          </cell>
          <cell r="DE30">
            <v>17</v>
          </cell>
          <cell r="DF30">
            <v>18</v>
          </cell>
          <cell r="DG30">
            <v>47</v>
          </cell>
          <cell r="DH30">
            <v>47</v>
          </cell>
          <cell r="DI30" t="str">
            <v>C5</v>
          </cell>
          <cell r="DJ30">
            <v>904</v>
          </cell>
          <cell r="DK30">
            <v>903.99999999999989</v>
          </cell>
          <cell r="DL30">
            <v>0.53176470588235292</v>
          </cell>
          <cell r="DM30" t="str">
            <v>40th</v>
          </cell>
          <cell r="DN30">
            <v>65</v>
          </cell>
          <cell r="DO30">
            <v>26</v>
          </cell>
          <cell r="DP30">
            <v>96</v>
          </cell>
          <cell r="DQ30" t="str">
            <v>37th</v>
          </cell>
          <cell r="DR30">
            <v>61</v>
          </cell>
          <cell r="DS30">
            <v>0</v>
          </cell>
          <cell r="DT30">
            <v>90</v>
          </cell>
          <cell r="DU30" t="str">
            <v>22nd</v>
          </cell>
          <cell r="DV30">
            <v>51</v>
          </cell>
          <cell r="DW30">
            <v>0</v>
          </cell>
          <cell r="DX30">
            <v>78</v>
          </cell>
          <cell r="DY30" t="str">
            <v>29th</v>
          </cell>
          <cell r="DZ30">
            <v>37</v>
          </cell>
          <cell r="EA30">
            <v>10</v>
          </cell>
          <cell r="EB30">
            <v>93</v>
          </cell>
          <cell r="EC30" t="str">
            <v>38th</v>
          </cell>
          <cell r="ED30">
            <v>0</v>
          </cell>
          <cell r="EE30">
            <v>0</v>
          </cell>
          <cell r="EF30">
            <v>78</v>
          </cell>
          <cell r="EG30" t="str">
            <v>46th</v>
          </cell>
          <cell r="EH30">
            <v>60</v>
          </cell>
          <cell r="EI30">
            <v>36</v>
          </cell>
          <cell r="EJ30">
            <v>85</v>
          </cell>
          <cell r="EK30" t="str">
            <v>36th</v>
          </cell>
          <cell r="EL30">
            <v>71</v>
          </cell>
          <cell r="EM30">
            <v>0</v>
          </cell>
          <cell r="EN30">
            <v>87</v>
          </cell>
          <cell r="EO30" t="str">
            <v>33rd</v>
          </cell>
          <cell r="EP30">
            <v>60</v>
          </cell>
          <cell r="EQ30">
            <v>0</v>
          </cell>
          <cell r="ER30">
            <v>100</v>
          </cell>
          <cell r="ES30" t="str">
            <v>32nd</v>
          </cell>
          <cell r="ET30">
            <v>37</v>
          </cell>
          <cell r="EU30">
            <v>5</v>
          </cell>
          <cell r="EV30">
            <v>70</v>
          </cell>
          <cell r="EW30" t="str">
            <v>28th</v>
          </cell>
          <cell r="EX30">
            <v>48</v>
          </cell>
          <cell r="EY30">
            <v>0</v>
          </cell>
          <cell r="EZ30">
            <v>86</v>
          </cell>
          <cell r="FA30" t="str">
            <v>37th</v>
          </cell>
          <cell r="FB30">
            <v>0</v>
          </cell>
          <cell r="FC30">
            <v>0</v>
          </cell>
          <cell r="FD30">
            <v>0</v>
          </cell>
          <cell r="FE30" t="str">
            <v>1st</v>
          </cell>
          <cell r="FF30">
            <v>51</v>
          </cell>
          <cell r="FG30">
            <v>19</v>
          </cell>
          <cell r="FH30">
            <v>81</v>
          </cell>
          <cell r="FI30" t="str">
            <v>21st</v>
          </cell>
          <cell r="FJ30">
            <v>85</v>
          </cell>
          <cell r="FK30">
            <v>0</v>
          </cell>
          <cell r="FL30">
            <v>95</v>
          </cell>
          <cell r="FM30" t="str">
            <v>21st</v>
          </cell>
          <cell r="FN30">
            <v>54</v>
          </cell>
          <cell r="FO30">
            <v>0</v>
          </cell>
          <cell r="FP30">
            <v>84</v>
          </cell>
          <cell r="FQ30" t="str">
            <v>32nd</v>
          </cell>
          <cell r="FR30">
            <v>40</v>
          </cell>
          <cell r="FS30">
            <v>0</v>
          </cell>
          <cell r="FT30">
            <v>82</v>
          </cell>
          <cell r="FU30" t="str">
            <v>41st</v>
          </cell>
          <cell r="FV30">
            <v>52</v>
          </cell>
          <cell r="FW30">
            <v>0</v>
          </cell>
          <cell r="FX30">
            <v>85</v>
          </cell>
          <cell r="FY30" t="str">
            <v>26th</v>
          </cell>
          <cell r="FZ30">
            <v>85</v>
          </cell>
          <cell r="GA30">
            <v>0</v>
          </cell>
          <cell r="GB30">
            <v>95</v>
          </cell>
          <cell r="GC30" t="str">
            <v>31st</v>
          </cell>
          <cell r="GD30">
            <v>47</v>
          </cell>
          <cell r="GE30">
            <v>24</v>
          </cell>
          <cell r="GF30">
            <v>71</v>
          </cell>
          <cell r="GG30" t="str">
            <v>32nd</v>
          </cell>
        </row>
        <row r="31">
          <cell r="A31" t="str">
            <v>BDS/22/038</v>
          </cell>
          <cell r="B31" t="str">
            <v>EMMANUEL CHISOM MICHAEL</v>
          </cell>
          <cell r="C31" t="str">
            <v>MALE</v>
          </cell>
          <cell r="D31" t="str">
            <v>NILL</v>
          </cell>
          <cell r="E31" t="str">
            <v>JET</v>
          </cell>
          <cell r="F31">
            <v>20</v>
          </cell>
          <cell r="G31">
            <v>20</v>
          </cell>
          <cell r="H31">
            <v>0</v>
          </cell>
          <cell r="I31">
            <v>40</v>
          </cell>
          <cell r="J31">
            <v>40</v>
          </cell>
          <cell r="K31" t="str">
            <v>E8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 t="str">
            <v>F9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 t="str">
            <v>F9</v>
          </cell>
          <cell r="X31">
            <v>1</v>
          </cell>
          <cell r="Y31">
            <v>11</v>
          </cell>
          <cell r="Z31">
            <v>0</v>
          </cell>
          <cell r="AA31">
            <v>12</v>
          </cell>
          <cell r="AB31">
            <v>12</v>
          </cell>
          <cell r="AC31" t="str">
            <v>F9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>F9</v>
          </cell>
          <cell r="AJ31">
            <v>18</v>
          </cell>
          <cell r="AK31">
            <v>18</v>
          </cell>
          <cell r="AL31">
            <v>0</v>
          </cell>
          <cell r="AM31">
            <v>36</v>
          </cell>
          <cell r="AN31">
            <v>36</v>
          </cell>
          <cell r="AO31" t="str">
            <v>E8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 t="str">
            <v>F9</v>
          </cell>
          <cell r="AV31">
            <v>15</v>
          </cell>
          <cell r="AW31">
            <v>10</v>
          </cell>
          <cell r="AX31">
            <v>0</v>
          </cell>
          <cell r="AY31">
            <v>25</v>
          </cell>
          <cell r="AZ31">
            <v>25</v>
          </cell>
          <cell r="BA31" t="str">
            <v>F9</v>
          </cell>
          <cell r="BB31">
            <v>2</v>
          </cell>
          <cell r="BC31">
            <v>3</v>
          </cell>
          <cell r="BD31">
            <v>0</v>
          </cell>
          <cell r="BE31">
            <v>5</v>
          </cell>
          <cell r="BF31">
            <v>5</v>
          </cell>
          <cell r="BG31" t="str">
            <v>F9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 t="str">
            <v>F9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 t="str">
            <v>F9</v>
          </cell>
          <cell r="BT31">
            <v>5</v>
          </cell>
          <cell r="BU31">
            <v>14</v>
          </cell>
          <cell r="BV31">
            <v>0</v>
          </cell>
          <cell r="BW31">
            <v>19</v>
          </cell>
          <cell r="BX31">
            <v>19</v>
          </cell>
          <cell r="BY31" t="str">
            <v>F9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 t="str">
            <v>F9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 t="str">
            <v>F9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 t="str">
            <v>F9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 t="str">
            <v>F9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 t="str">
            <v>F9</v>
          </cell>
          <cell r="DD31">
            <v>10</v>
          </cell>
          <cell r="DE31">
            <v>17</v>
          </cell>
          <cell r="DF31">
            <v>30</v>
          </cell>
          <cell r="DG31">
            <v>57</v>
          </cell>
          <cell r="DH31">
            <v>56.999999999999993</v>
          </cell>
          <cell r="DI31" t="str">
            <v>C4</v>
          </cell>
          <cell r="DJ31">
            <v>194</v>
          </cell>
          <cell r="DK31">
            <v>194</v>
          </cell>
          <cell r="DL31">
            <v>0.11411764705882353</v>
          </cell>
          <cell r="DM31" t="str">
            <v>47th</v>
          </cell>
          <cell r="DN31">
            <v>40</v>
          </cell>
          <cell r="DO31">
            <v>26</v>
          </cell>
          <cell r="DP31">
            <v>96</v>
          </cell>
          <cell r="DQ31" t="str">
            <v>44th</v>
          </cell>
          <cell r="DR31">
            <v>0</v>
          </cell>
          <cell r="DS31">
            <v>0</v>
          </cell>
          <cell r="DT31">
            <v>90</v>
          </cell>
          <cell r="DU31" t="str">
            <v>47th</v>
          </cell>
          <cell r="DV31">
            <v>0</v>
          </cell>
          <cell r="DW31">
            <v>0</v>
          </cell>
          <cell r="DX31">
            <v>78</v>
          </cell>
          <cell r="DY31" t="str">
            <v>45th</v>
          </cell>
          <cell r="DZ31">
            <v>12</v>
          </cell>
          <cell r="EA31">
            <v>10</v>
          </cell>
          <cell r="EB31">
            <v>93</v>
          </cell>
          <cell r="EC31" t="str">
            <v>46th</v>
          </cell>
          <cell r="ED31">
            <v>0</v>
          </cell>
          <cell r="EE31">
            <v>0</v>
          </cell>
          <cell r="EF31">
            <v>78</v>
          </cell>
          <cell r="EG31" t="str">
            <v>46th</v>
          </cell>
          <cell r="EH31">
            <v>36</v>
          </cell>
          <cell r="EI31">
            <v>36</v>
          </cell>
          <cell r="EJ31">
            <v>85</v>
          </cell>
          <cell r="EK31" t="str">
            <v>47th</v>
          </cell>
          <cell r="EL31">
            <v>0</v>
          </cell>
          <cell r="EM31">
            <v>0</v>
          </cell>
          <cell r="EN31">
            <v>87</v>
          </cell>
          <cell r="EO31" t="str">
            <v>47th</v>
          </cell>
          <cell r="EP31">
            <v>25</v>
          </cell>
          <cell r="EQ31">
            <v>0</v>
          </cell>
          <cell r="ER31">
            <v>100</v>
          </cell>
          <cell r="ES31" t="str">
            <v>44th</v>
          </cell>
          <cell r="ET31">
            <v>5</v>
          </cell>
          <cell r="EU31">
            <v>5</v>
          </cell>
          <cell r="EV31">
            <v>70</v>
          </cell>
          <cell r="EW31" t="str">
            <v>47th</v>
          </cell>
          <cell r="EX31">
            <v>0</v>
          </cell>
          <cell r="EY31">
            <v>0</v>
          </cell>
          <cell r="EZ31">
            <v>86</v>
          </cell>
          <cell r="FA31" t="str">
            <v>47th</v>
          </cell>
          <cell r="FB31">
            <v>0</v>
          </cell>
          <cell r="FC31">
            <v>0</v>
          </cell>
          <cell r="FD31">
            <v>0</v>
          </cell>
          <cell r="FE31" t="str">
            <v>1st</v>
          </cell>
          <cell r="FF31">
            <v>19</v>
          </cell>
          <cell r="FG31">
            <v>19</v>
          </cell>
          <cell r="FH31">
            <v>81</v>
          </cell>
          <cell r="FI31" t="str">
            <v>47th</v>
          </cell>
          <cell r="FJ31">
            <v>0</v>
          </cell>
          <cell r="FK31">
            <v>0</v>
          </cell>
          <cell r="FL31">
            <v>95</v>
          </cell>
          <cell r="FM31" t="str">
            <v>47th</v>
          </cell>
          <cell r="FN31">
            <v>0</v>
          </cell>
          <cell r="FO31">
            <v>0</v>
          </cell>
          <cell r="FP31">
            <v>84</v>
          </cell>
          <cell r="FQ31" t="str">
            <v>47th</v>
          </cell>
          <cell r="FR31">
            <v>0</v>
          </cell>
          <cell r="FS31">
            <v>0</v>
          </cell>
          <cell r="FT31">
            <v>82</v>
          </cell>
          <cell r="FU31" t="str">
            <v>47th</v>
          </cell>
          <cell r="FV31">
            <v>0</v>
          </cell>
          <cell r="FW31">
            <v>0</v>
          </cell>
          <cell r="FX31">
            <v>85</v>
          </cell>
          <cell r="FY31" t="str">
            <v>47th</v>
          </cell>
          <cell r="FZ31">
            <v>0</v>
          </cell>
          <cell r="GA31">
            <v>0</v>
          </cell>
          <cell r="GB31">
            <v>95</v>
          </cell>
          <cell r="GC31" t="str">
            <v>47th</v>
          </cell>
          <cell r="GD31">
            <v>57</v>
          </cell>
          <cell r="GE31">
            <v>24</v>
          </cell>
          <cell r="GF31">
            <v>71</v>
          </cell>
          <cell r="GG31" t="str">
            <v>14th</v>
          </cell>
        </row>
        <row r="32">
          <cell r="A32" t="str">
            <v>BDS/22/043</v>
          </cell>
          <cell r="B32" t="str">
            <v>Chidiebere Joshua Ikechukwu</v>
          </cell>
          <cell r="C32" t="str">
            <v>MALE</v>
          </cell>
          <cell r="D32" t="str">
            <v>NILL</v>
          </cell>
          <cell r="E32">
            <v>0</v>
          </cell>
          <cell r="F32">
            <v>7</v>
          </cell>
          <cell r="G32">
            <v>7</v>
          </cell>
          <cell r="H32">
            <v>16</v>
          </cell>
          <cell r="I32">
            <v>30</v>
          </cell>
          <cell r="J32">
            <v>30</v>
          </cell>
          <cell r="K32" t="str">
            <v>F9</v>
          </cell>
          <cell r="L32">
            <v>20</v>
          </cell>
          <cell r="M32">
            <v>15</v>
          </cell>
          <cell r="N32">
            <v>5</v>
          </cell>
          <cell r="O32">
            <v>40</v>
          </cell>
          <cell r="P32">
            <v>40</v>
          </cell>
          <cell r="Q32" t="str">
            <v>E8</v>
          </cell>
          <cell r="R32">
            <v>0</v>
          </cell>
          <cell r="S32">
            <v>20</v>
          </cell>
          <cell r="T32">
            <v>14</v>
          </cell>
          <cell r="U32">
            <v>34</v>
          </cell>
          <cell r="V32">
            <v>34</v>
          </cell>
          <cell r="W32" t="str">
            <v>F9</v>
          </cell>
          <cell r="X32">
            <v>7</v>
          </cell>
          <cell r="Y32">
            <v>7</v>
          </cell>
          <cell r="Z32">
            <v>12</v>
          </cell>
          <cell r="AA32">
            <v>26</v>
          </cell>
          <cell r="AB32">
            <v>26</v>
          </cell>
          <cell r="AC32" t="str">
            <v>F9</v>
          </cell>
          <cell r="AD32">
            <v>10</v>
          </cell>
          <cell r="AE32">
            <v>5</v>
          </cell>
          <cell r="AF32">
            <v>10</v>
          </cell>
          <cell r="AG32">
            <v>25</v>
          </cell>
          <cell r="AH32">
            <v>25</v>
          </cell>
          <cell r="AI32" t="str">
            <v>F9</v>
          </cell>
          <cell r="AJ32">
            <v>20</v>
          </cell>
          <cell r="AK32">
            <v>20</v>
          </cell>
          <cell r="AL32">
            <v>0</v>
          </cell>
          <cell r="AM32">
            <v>40</v>
          </cell>
          <cell r="AN32">
            <v>40</v>
          </cell>
          <cell r="AO32" t="str">
            <v>E8</v>
          </cell>
          <cell r="AP32">
            <v>13</v>
          </cell>
          <cell r="AQ32">
            <v>10</v>
          </cell>
          <cell r="AR32">
            <v>10</v>
          </cell>
          <cell r="AS32">
            <v>33</v>
          </cell>
          <cell r="AT32">
            <v>33</v>
          </cell>
          <cell r="AU32" t="str">
            <v>F9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F9</v>
          </cell>
          <cell r="BB32">
            <v>2</v>
          </cell>
          <cell r="BC32">
            <v>3</v>
          </cell>
          <cell r="BD32">
            <v>12</v>
          </cell>
          <cell r="BE32">
            <v>17</v>
          </cell>
          <cell r="BF32">
            <v>17</v>
          </cell>
          <cell r="BG32" t="str">
            <v>F9</v>
          </cell>
          <cell r="BH32">
            <v>10</v>
          </cell>
          <cell r="BI32">
            <v>8</v>
          </cell>
          <cell r="BJ32">
            <v>14</v>
          </cell>
          <cell r="BK32">
            <v>32</v>
          </cell>
          <cell r="BL32">
            <v>32</v>
          </cell>
          <cell r="BM32" t="str">
            <v>F9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 t="str">
            <v>F9</v>
          </cell>
          <cell r="BT32">
            <v>5</v>
          </cell>
          <cell r="BU32">
            <v>7</v>
          </cell>
          <cell r="BV32">
            <v>12</v>
          </cell>
          <cell r="BW32">
            <v>24</v>
          </cell>
          <cell r="BX32">
            <v>24</v>
          </cell>
          <cell r="BY32" t="str">
            <v>F9</v>
          </cell>
          <cell r="BZ32">
            <v>20</v>
          </cell>
          <cell r="CA32">
            <v>20</v>
          </cell>
          <cell r="CB32">
            <v>55</v>
          </cell>
          <cell r="CC32">
            <v>95</v>
          </cell>
          <cell r="CD32">
            <v>95</v>
          </cell>
          <cell r="CE32" t="str">
            <v>A</v>
          </cell>
          <cell r="CF32">
            <v>10</v>
          </cell>
          <cell r="CG32">
            <v>8</v>
          </cell>
          <cell r="CH32">
            <v>24</v>
          </cell>
          <cell r="CI32">
            <v>42</v>
          </cell>
          <cell r="CJ32">
            <v>42</v>
          </cell>
          <cell r="CK32" t="str">
            <v>D</v>
          </cell>
          <cell r="CL32">
            <v>20</v>
          </cell>
          <cell r="CM32">
            <v>7</v>
          </cell>
          <cell r="CN32">
            <v>7</v>
          </cell>
          <cell r="CO32">
            <v>34</v>
          </cell>
          <cell r="CP32">
            <v>34</v>
          </cell>
          <cell r="CQ32" t="str">
            <v>F9</v>
          </cell>
          <cell r="CR32">
            <v>0</v>
          </cell>
          <cell r="CS32">
            <v>20</v>
          </cell>
          <cell r="CT32">
            <v>10</v>
          </cell>
          <cell r="CU32">
            <v>30</v>
          </cell>
          <cell r="CV32">
            <v>30</v>
          </cell>
          <cell r="CW32" t="str">
            <v>F9</v>
          </cell>
          <cell r="CX32">
            <v>15</v>
          </cell>
          <cell r="CY32">
            <v>20</v>
          </cell>
          <cell r="CZ32">
            <v>50</v>
          </cell>
          <cell r="DA32">
            <v>85</v>
          </cell>
          <cell r="DB32">
            <v>85</v>
          </cell>
          <cell r="DC32" t="str">
            <v>A</v>
          </cell>
          <cell r="DD32">
            <v>3</v>
          </cell>
          <cell r="DE32">
            <v>17</v>
          </cell>
          <cell r="DF32">
            <v>8</v>
          </cell>
          <cell r="DG32">
            <v>28</v>
          </cell>
          <cell r="DH32">
            <v>28.000000000000004</v>
          </cell>
          <cell r="DI32" t="str">
            <v>F9</v>
          </cell>
          <cell r="DJ32">
            <v>615</v>
          </cell>
          <cell r="DK32">
            <v>615</v>
          </cell>
          <cell r="DL32">
            <v>0.36176470588235299</v>
          </cell>
          <cell r="DM32" t="str">
            <v>46th</v>
          </cell>
          <cell r="DN32">
            <v>30</v>
          </cell>
          <cell r="DO32">
            <v>26</v>
          </cell>
          <cell r="DP32">
            <v>96</v>
          </cell>
          <cell r="DQ32" t="str">
            <v>46th</v>
          </cell>
          <cell r="DR32">
            <v>40</v>
          </cell>
          <cell r="DS32">
            <v>0</v>
          </cell>
          <cell r="DT32">
            <v>90</v>
          </cell>
          <cell r="DU32" t="str">
            <v>44th</v>
          </cell>
          <cell r="DV32">
            <v>34</v>
          </cell>
          <cell r="DW32">
            <v>0</v>
          </cell>
          <cell r="DX32">
            <v>78</v>
          </cell>
          <cell r="DY32" t="str">
            <v>42nd</v>
          </cell>
          <cell r="DZ32">
            <v>26</v>
          </cell>
          <cell r="EA32">
            <v>10</v>
          </cell>
          <cell r="EB32">
            <v>93</v>
          </cell>
          <cell r="EC32" t="str">
            <v>45th</v>
          </cell>
          <cell r="ED32">
            <v>25</v>
          </cell>
          <cell r="EE32">
            <v>0</v>
          </cell>
          <cell r="EF32">
            <v>78</v>
          </cell>
          <cell r="EG32" t="str">
            <v>45th</v>
          </cell>
          <cell r="EH32">
            <v>40</v>
          </cell>
          <cell r="EI32">
            <v>36</v>
          </cell>
          <cell r="EJ32">
            <v>85</v>
          </cell>
          <cell r="EK32" t="str">
            <v>45th</v>
          </cell>
          <cell r="EL32">
            <v>33</v>
          </cell>
          <cell r="EM32">
            <v>0</v>
          </cell>
          <cell r="EN32">
            <v>87</v>
          </cell>
          <cell r="EO32" t="str">
            <v>45th</v>
          </cell>
          <cell r="EP32">
            <v>0</v>
          </cell>
          <cell r="EQ32">
            <v>0</v>
          </cell>
          <cell r="ER32">
            <v>100</v>
          </cell>
          <cell r="ES32" t="str">
            <v>47th</v>
          </cell>
          <cell r="ET32">
            <v>17</v>
          </cell>
          <cell r="EU32">
            <v>5</v>
          </cell>
          <cell r="EV32">
            <v>70</v>
          </cell>
          <cell r="EW32" t="str">
            <v>46th</v>
          </cell>
          <cell r="EX32">
            <v>32</v>
          </cell>
          <cell r="EY32">
            <v>0</v>
          </cell>
          <cell r="EZ32">
            <v>86</v>
          </cell>
          <cell r="FA32" t="str">
            <v>45th</v>
          </cell>
          <cell r="FB32">
            <v>0</v>
          </cell>
          <cell r="FC32">
            <v>0</v>
          </cell>
          <cell r="FD32">
            <v>0</v>
          </cell>
          <cell r="FE32" t="str">
            <v>1st</v>
          </cell>
          <cell r="FF32">
            <v>24</v>
          </cell>
          <cell r="FG32">
            <v>19</v>
          </cell>
          <cell r="FH32">
            <v>81</v>
          </cell>
          <cell r="FI32" t="str">
            <v>44th</v>
          </cell>
          <cell r="FJ32">
            <v>95</v>
          </cell>
          <cell r="FK32">
            <v>0</v>
          </cell>
          <cell r="FL32">
            <v>95</v>
          </cell>
          <cell r="FM32" t="str">
            <v>1st</v>
          </cell>
          <cell r="FN32">
            <v>42</v>
          </cell>
          <cell r="FO32">
            <v>0</v>
          </cell>
          <cell r="FP32">
            <v>84</v>
          </cell>
          <cell r="FQ32" t="str">
            <v>42nd</v>
          </cell>
          <cell r="FR32">
            <v>34</v>
          </cell>
          <cell r="FS32">
            <v>0</v>
          </cell>
          <cell r="FT32">
            <v>82</v>
          </cell>
          <cell r="FU32" t="str">
            <v>44th</v>
          </cell>
          <cell r="FV32">
            <v>30</v>
          </cell>
          <cell r="FW32">
            <v>0</v>
          </cell>
          <cell r="FX32">
            <v>85</v>
          </cell>
          <cell r="FY32" t="str">
            <v>44th</v>
          </cell>
          <cell r="FZ32">
            <v>85</v>
          </cell>
          <cell r="GA32">
            <v>0</v>
          </cell>
          <cell r="GB32">
            <v>95</v>
          </cell>
          <cell r="GC32" t="str">
            <v>31st</v>
          </cell>
          <cell r="GD32">
            <v>28</v>
          </cell>
          <cell r="GE32">
            <v>24</v>
          </cell>
          <cell r="GF32">
            <v>71</v>
          </cell>
          <cell r="GG32" t="str">
            <v>46th</v>
          </cell>
        </row>
        <row r="33">
          <cell r="A33" t="str">
            <v>BDS/22/046</v>
          </cell>
          <cell r="B33" t="str">
            <v>Lawrence Chibuike Prince</v>
          </cell>
          <cell r="C33" t="str">
            <v>MALE</v>
          </cell>
          <cell r="D33" t="str">
            <v>NILL</v>
          </cell>
          <cell r="E33">
            <v>0</v>
          </cell>
          <cell r="F33">
            <v>18</v>
          </cell>
          <cell r="G33">
            <v>20</v>
          </cell>
          <cell r="H33">
            <v>41</v>
          </cell>
          <cell r="I33">
            <v>79</v>
          </cell>
          <cell r="J33">
            <v>79</v>
          </cell>
          <cell r="K33" t="str">
            <v>B1</v>
          </cell>
          <cell r="L33">
            <v>20</v>
          </cell>
          <cell r="M33">
            <v>15</v>
          </cell>
          <cell r="N33">
            <v>22</v>
          </cell>
          <cell r="O33">
            <v>57</v>
          </cell>
          <cell r="P33">
            <v>56.999999999999993</v>
          </cell>
          <cell r="Q33" t="str">
            <v>C4</v>
          </cell>
          <cell r="R33">
            <v>14</v>
          </cell>
          <cell r="S33">
            <v>10</v>
          </cell>
          <cell r="T33">
            <v>33</v>
          </cell>
          <cell r="U33">
            <v>57</v>
          </cell>
          <cell r="V33">
            <v>56.999999999999993</v>
          </cell>
          <cell r="W33" t="str">
            <v>C4</v>
          </cell>
          <cell r="X33">
            <v>10</v>
          </cell>
          <cell r="Y33">
            <v>10</v>
          </cell>
          <cell r="Z33">
            <v>15</v>
          </cell>
          <cell r="AA33">
            <v>35</v>
          </cell>
          <cell r="AB33">
            <v>35</v>
          </cell>
          <cell r="AC33" t="str">
            <v>F9</v>
          </cell>
          <cell r="AD33">
            <v>14</v>
          </cell>
          <cell r="AE33">
            <v>10</v>
          </cell>
          <cell r="AF33">
            <v>15</v>
          </cell>
          <cell r="AG33">
            <v>39</v>
          </cell>
          <cell r="AH33">
            <v>39</v>
          </cell>
          <cell r="AI33" t="str">
            <v>E8</v>
          </cell>
          <cell r="AJ33">
            <v>20</v>
          </cell>
          <cell r="AK33">
            <v>20</v>
          </cell>
          <cell r="AL33">
            <v>40</v>
          </cell>
          <cell r="AM33">
            <v>80</v>
          </cell>
          <cell r="AN33">
            <v>80</v>
          </cell>
          <cell r="AO33" t="str">
            <v>B1</v>
          </cell>
          <cell r="AP33">
            <v>18</v>
          </cell>
          <cell r="AQ33">
            <v>10</v>
          </cell>
          <cell r="AR33">
            <v>44</v>
          </cell>
          <cell r="AS33">
            <v>72</v>
          </cell>
          <cell r="AT33">
            <v>72</v>
          </cell>
          <cell r="AU33" t="str">
            <v>B1</v>
          </cell>
          <cell r="AV33">
            <v>15</v>
          </cell>
          <cell r="AW33">
            <v>20</v>
          </cell>
          <cell r="AX33">
            <v>38</v>
          </cell>
          <cell r="AY33">
            <v>73</v>
          </cell>
          <cell r="AZ33">
            <v>73</v>
          </cell>
          <cell r="BA33" t="str">
            <v>B1</v>
          </cell>
          <cell r="BB33">
            <v>5</v>
          </cell>
          <cell r="BC33">
            <v>3</v>
          </cell>
          <cell r="BD33">
            <v>19</v>
          </cell>
          <cell r="BE33">
            <v>27</v>
          </cell>
          <cell r="BF33">
            <v>27</v>
          </cell>
          <cell r="BG33" t="str">
            <v>F9</v>
          </cell>
          <cell r="BH33">
            <v>15</v>
          </cell>
          <cell r="BI33">
            <v>15</v>
          </cell>
          <cell r="BJ33">
            <v>39</v>
          </cell>
          <cell r="BK33">
            <v>69</v>
          </cell>
          <cell r="BL33">
            <v>69</v>
          </cell>
          <cell r="BM33" t="str">
            <v>B2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 t="str">
            <v>F9</v>
          </cell>
          <cell r="BT33">
            <v>5</v>
          </cell>
          <cell r="BU33">
            <v>11</v>
          </cell>
          <cell r="BV33">
            <v>16</v>
          </cell>
          <cell r="BW33">
            <v>32</v>
          </cell>
          <cell r="BX33">
            <v>32</v>
          </cell>
          <cell r="BY33" t="str">
            <v>F9</v>
          </cell>
          <cell r="BZ33">
            <v>15</v>
          </cell>
          <cell r="CA33">
            <v>20</v>
          </cell>
          <cell r="CB33">
            <v>50</v>
          </cell>
          <cell r="CC33">
            <v>85</v>
          </cell>
          <cell r="CD33">
            <v>85</v>
          </cell>
          <cell r="CE33" t="str">
            <v>A</v>
          </cell>
          <cell r="CF33">
            <v>10</v>
          </cell>
          <cell r="CG33">
            <v>18</v>
          </cell>
          <cell r="CH33">
            <v>43</v>
          </cell>
          <cell r="CI33">
            <v>71</v>
          </cell>
          <cell r="CJ33">
            <v>71</v>
          </cell>
          <cell r="CK33" t="str">
            <v>B1</v>
          </cell>
          <cell r="CL33">
            <v>20</v>
          </cell>
          <cell r="CM33">
            <v>7</v>
          </cell>
          <cell r="CN33">
            <v>14</v>
          </cell>
          <cell r="CO33">
            <v>41</v>
          </cell>
          <cell r="CP33">
            <v>41</v>
          </cell>
          <cell r="CQ33" t="str">
            <v>D</v>
          </cell>
          <cell r="CR33">
            <v>8</v>
          </cell>
          <cell r="CS33">
            <v>20</v>
          </cell>
          <cell r="CT33">
            <v>20</v>
          </cell>
          <cell r="CU33">
            <v>48</v>
          </cell>
          <cell r="CV33">
            <v>48</v>
          </cell>
          <cell r="CW33" t="str">
            <v>C5</v>
          </cell>
          <cell r="CX33">
            <v>20</v>
          </cell>
          <cell r="CY33">
            <v>20</v>
          </cell>
          <cell r="CZ33">
            <v>50</v>
          </cell>
          <cell r="DA33">
            <v>90</v>
          </cell>
          <cell r="DB33">
            <v>90</v>
          </cell>
          <cell r="DC33" t="str">
            <v>A</v>
          </cell>
          <cell r="DD33">
            <v>18</v>
          </cell>
          <cell r="DE33">
            <v>17</v>
          </cell>
          <cell r="DF33">
            <v>17</v>
          </cell>
          <cell r="DG33">
            <v>52</v>
          </cell>
          <cell r="DH33">
            <v>52</v>
          </cell>
          <cell r="DI33" t="str">
            <v>C4</v>
          </cell>
          <cell r="DJ33">
            <v>1007</v>
          </cell>
          <cell r="DK33">
            <v>1007</v>
          </cell>
          <cell r="DL33">
            <v>0.59235294117647053</v>
          </cell>
          <cell r="DM33" t="str">
            <v>32nd</v>
          </cell>
          <cell r="DN33">
            <v>79</v>
          </cell>
          <cell r="DO33">
            <v>26</v>
          </cell>
          <cell r="DP33">
            <v>96</v>
          </cell>
          <cell r="DQ33" t="str">
            <v>21st</v>
          </cell>
          <cell r="DR33">
            <v>57</v>
          </cell>
          <cell r="DS33">
            <v>0</v>
          </cell>
          <cell r="DT33">
            <v>90</v>
          </cell>
          <cell r="DU33" t="str">
            <v>29th</v>
          </cell>
          <cell r="DV33">
            <v>57</v>
          </cell>
          <cell r="DW33">
            <v>0</v>
          </cell>
          <cell r="DX33">
            <v>78</v>
          </cell>
          <cell r="DY33" t="str">
            <v>20th</v>
          </cell>
          <cell r="DZ33">
            <v>35</v>
          </cell>
          <cell r="EA33">
            <v>10</v>
          </cell>
          <cell r="EB33">
            <v>93</v>
          </cell>
          <cell r="EC33" t="str">
            <v>41st</v>
          </cell>
          <cell r="ED33">
            <v>39</v>
          </cell>
          <cell r="EE33">
            <v>0</v>
          </cell>
          <cell r="EF33">
            <v>78</v>
          </cell>
          <cell r="EG33" t="str">
            <v>37th</v>
          </cell>
          <cell r="EH33">
            <v>80</v>
          </cell>
          <cell r="EI33">
            <v>36</v>
          </cell>
          <cell r="EJ33">
            <v>85</v>
          </cell>
          <cell r="EK33" t="str">
            <v>5th</v>
          </cell>
          <cell r="EL33">
            <v>72</v>
          </cell>
          <cell r="EM33">
            <v>0</v>
          </cell>
          <cell r="EN33">
            <v>87</v>
          </cell>
          <cell r="EO33" t="str">
            <v>31st</v>
          </cell>
          <cell r="EP33">
            <v>73</v>
          </cell>
          <cell r="EQ33">
            <v>0</v>
          </cell>
          <cell r="ER33">
            <v>100</v>
          </cell>
          <cell r="ES33" t="str">
            <v>21st</v>
          </cell>
          <cell r="ET33">
            <v>27</v>
          </cell>
          <cell r="EU33">
            <v>5</v>
          </cell>
          <cell r="EV33">
            <v>70</v>
          </cell>
          <cell r="EW33" t="str">
            <v>39th</v>
          </cell>
          <cell r="EX33">
            <v>69</v>
          </cell>
          <cell r="EY33">
            <v>0</v>
          </cell>
          <cell r="EZ33">
            <v>86</v>
          </cell>
          <cell r="FA33" t="str">
            <v>16th</v>
          </cell>
          <cell r="FB33">
            <v>0</v>
          </cell>
          <cell r="FC33">
            <v>0</v>
          </cell>
          <cell r="FD33">
            <v>0</v>
          </cell>
          <cell r="FE33" t="str">
            <v>1st</v>
          </cell>
          <cell r="FF33">
            <v>32</v>
          </cell>
          <cell r="FG33">
            <v>19</v>
          </cell>
          <cell r="FH33">
            <v>81</v>
          </cell>
          <cell r="FI33" t="str">
            <v>38th</v>
          </cell>
          <cell r="FJ33">
            <v>85</v>
          </cell>
          <cell r="FK33">
            <v>0</v>
          </cell>
          <cell r="FL33">
            <v>95</v>
          </cell>
          <cell r="FM33" t="str">
            <v>21st</v>
          </cell>
          <cell r="FN33">
            <v>71</v>
          </cell>
          <cell r="FO33">
            <v>0</v>
          </cell>
          <cell r="FP33">
            <v>84</v>
          </cell>
          <cell r="FQ33" t="str">
            <v>13th</v>
          </cell>
          <cell r="FR33">
            <v>41</v>
          </cell>
          <cell r="FS33">
            <v>0</v>
          </cell>
          <cell r="FT33">
            <v>82</v>
          </cell>
          <cell r="FU33" t="str">
            <v>40th</v>
          </cell>
          <cell r="FV33">
            <v>48</v>
          </cell>
          <cell r="FW33">
            <v>0</v>
          </cell>
          <cell r="FX33">
            <v>85</v>
          </cell>
          <cell r="FY33" t="str">
            <v>34th</v>
          </cell>
          <cell r="FZ33">
            <v>90</v>
          </cell>
          <cell r="GA33">
            <v>0</v>
          </cell>
          <cell r="GB33">
            <v>95</v>
          </cell>
          <cell r="GC33" t="str">
            <v>7th</v>
          </cell>
          <cell r="GD33">
            <v>52</v>
          </cell>
          <cell r="GE33">
            <v>24</v>
          </cell>
          <cell r="GF33">
            <v>71</v>
          </cell>
          <cell r="GG33" t="str">
            <v>22nd</v>
          </cell>
        </row>
        <row r="34">
          <cell r="A34" t="str">
            <v>BDS/22/047</v>
          </cell>
          <cell r="B34" t="str">
            <v>Onyema FAVOUR ADAEZE</v>
          </cell>
          <cell r="C34" t="str">
            <v>FEMALE</v>
          </cell>
          <cell r="D34" t="str">
            <v>NILL</v>
          </cell>
          <cell r="E34">
            <v>0</v>
          </cell>
          <cell r="F34">
            <v>18</v>
          </cell>
          <cell r="G34">
            <v>10</v>
          </cell>
          <cell r="H34">
            <v>53</v>
          </cell>
          <cell r="I34">
            <v>81</v>
          </cell>
          <cell r="J34">
            <v>81</v>
          </cell>
          <cell r="K34" t="str">
            <v>A</v>
          </cell>
          <cell r="L34">
            <v>20</v>
          </cell>
          <cell r="M34">
            <v>15</v>
          </cell>
          <cell r="N34">
            <v>30</v>
          </cell>
          <cell r="O34">
            <v>65</v>
          </cell>
          <cell r="P34">
            <v>65</v>
          </cell>
          <cell r="Q34" t="str">
            <v>B2</v>
          </cell>
          <cell r="R34">
            <v>12</v>
          </cell>
          <cell r="S34">
            <v>20</v>
          </cell>
          <cell r="T34">
            <v>32</v>
          </cell>
          <cell r="U34">
            <v>64</v>
          </cell>
          <cell r="V34">
            <v>64</v>
          </cell>
          <cell r="W34" t="str">
            <v>B2</v>
          </cell>
          <cell r="X34">
            <v>16</v>
          </cell>
          <cell r="Y34">
            <v>16</v>
          </cell>
          <cell r="Z34">
            <v>49</v>
          </cell>
          <cell r="AA34">
            <v>81</v>
          </cell>
          <cell r="AB34">
            <v>81</v>
          </cell>
          <cell r="AC34" t="str">
            <v>A</v>
          </cell>
          <cell r="AD34">
            <v>10</v>
          </cell>
          <cell r="AE34">
            <v>10</v>
          </cell>
          <cell r="AF34">
            <v>42</v>
          </cell>
          <cell r="AG34">
            <v>62</v>
          </cell>
          <cell r="AH34">
            <v>62</v>
          </cell>
          <cell r="AI34" t="str">
            <v>B2</v>
          </cell>
          <cell r="AJ34">
            <v>20</v>
          </cell>
          <cell r="AK34">
            <v>20</v>
          </cell>
          <cell r="AL34">
            <v>45</v>
          </cell>
          <cell r="AM34">
            <v>85</v>
          </cell>
          <cell r="AN34">
            <v>85</v>
          </cell>
          <cell r="AO34" t="str">
            <v>A</v>
          </cell>
          <cell r="AP34">
            <v>14</v>
          </cell>
          <cell r="AQ34">
            <v>10</v>
          </cell>
          <cell r="AR34">
            <v>54</v>
          </cell>
          <cell r="AS34">
            <v>78</v>
          </cell>
          <cell r="AT34">
            <v>78</v>
          </cell>
          <cell r="AU34" t="str">
            <v>B1</v>
          </cell>
          <cell r="AV34">
            <v>20</v>
          </cell>
          <cell r="AW34">
            <v>20</v>
          </cell>
          <cell r="AX34">
            <v>32</v>
          </cell>
          <cell r="AY34">
            <v>72</v>
          </cell>
          <cell r="AZ34">
            <v>72</v>
          </cell>
          <cell r="BA34" t="str">
            <v>B1</v>
          </cell>
          <cell r="BB34">
            <v>18</v>
          </cell>
          <cell r="BC34">
            <v>4</v>
          </cell>
          <cell r="BD34">
            <v>41</v>
          </cell>
          <cell r="BE34">
            <v>63</v>
          </cell>
          <cell r="BF34">
            <v>63</v>
          </cell>
          <cell r="BG34" t="str">
            <v>B2</v>
          </cell>
          <cell r="BH34">
            <v>17</v>
          </cell>
          <cell r="BI34">
            <v>20</v>
          </cell>
          <cell r="BJ34">
            <v>47</v>
          </cell>
          <cell r="BK34">
            <v>84</v>
          </cell>
          <cell r="BL34">
            <v>84</v>
          </cell>
          <cell r="BM34" t="str">
            <v>A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 t="str">
            <v>F9</v>
          </cell>
          <cell r="BT34">
            <v>20</v>
          </cell>
          <cell r="BU34">
            <v>15</v>
          </cell>
          <cell r="BV34">
            <v>25</v>
          </cell>
          <cell r="BW34">
            <v>60</v>
          </cell>
          <cell r="BX34">
            <v>60</v>
          </cell>
          <cell r="BY34" t="str">
            <v>C4</v>
          </cell>
          <cell r="BZ34">
            <v>15</v>
          </cell>
          <cell r="CA34">
            <v>20</v>
          </cell>
          <cell r="CB34">
            <v>55</v>
          </cell>
          <cell r="CC34">
            <v>90</v>
          </cell>
          <cell r="CD34">
            <v>90</v>
          </cell>
          <cell r="CE34" t="str">
            <v>A</v>
          </cell>
          <cell r="CF34">
            <v>15</v>
          </cell>
          <cell r="CG34">
            <v>15</v>
          </cell>
          <cell r="CH34">
            <v>51</v>
          </cell>
          <cell r="CI34">
            <v>81</v>
          </cell>
          <cell r="CJ34">
            <v>81</v>
          </cell>
          <cell r="CK34" t="str">
            <v>A</v>
          </cell>
          <cell r="CL34">
            <v>20</v>
          </cell>
          <cell r="CM34">
            <v>11</v>
          </cell>
          <cell r="CN34">
            <v>27</v>
          </cell>
          <cell r="CO34">
            <v>58</v>
          </cell>
          <cell r="CP34">
            <v>57.999999999999993</v>
          </cell>
          <cell r="CQ34" t="str">
            <v>C4</v>
          </cell>
          <cell r="CR34">
            <v>12</v>
          </cell>
          <cell r="CS34">
            <v>20</v>
          </cell>
          <cell r="CT34">
            <v>35</v>
          </cell>
          <cell r="CU34">
            <v>67</v>
          </cell>
          <cell r="CV34">
            <v>67</v>
          </cell>
          <cell r="CW34" t="str">
            <v>B2</v>
          </cell>
          <cell r="CX34">
            <v>15</v>
          </cell>
          <cell r="CY34">
            <v>20</v>
          </cell>
          <cell r="CZ34">
            <v>50</v>
          </cell>
          <cell r="DA34">
            <v>85</v>
          </cell>
          <cell r="DB34">
            <v>85</v>
          </cell>
          <cell r="DC34" t="str">
            <v>A</v>
          </cell>
          <cell r="DD34">
            <v>19</v>
          </cell>
          <cell r="DE34">
            <v>17</v>
          </cell>
          <cell r="DF34">
            <v>19</v>
          </cell>
          <cell r="DG34">
            <v>55</v>
          </cell>
          <cell r="DH34">
            <v>55.000000000000007</v>
          </cell>
          <cell r="DI34" t="str">
            <v>C4</v>
          </cell>
          <cell r="DJ34">
            <v>1231</v>
          </cell>
          <cell r="DK34">
            <v>1231</v>
          </cell>
          <cell r="DL34">
            <v>0.72411764705882353</v>
          </cell>
          <cell r="DM34" t="str">
            <v>4th</v>
          </cell>
          <cell r="DN34">
            <v>81</v>
          </cell>
          <cell r="DO34">
            <v>26</v>
          </cell>
          <cell r="DP34">
            <v>96</v>
          </cell>
          <cell r="DQ34" t="str">
            <v>20th</v>
          </cell>
          <cell r="DR34">
            <v>65</v>
          </cell>
          <cell r="DS34">
            <v>0</v>
          </cell>
          <cell r="DT34">
            <v>90</v>
          </cell>
          <cell r="DU34" t="str">
            <v>18th</v>
          </cell>
          <cell r="DV34">
            <v>64</v>
          </cell>
          <cell r="DW34">
            <v>0</v>
          </cell>
          <cell r="DX34">
            <v>78</v>
          </cell>
          <cell r="DY34" t="str">
            <v>10th</v>
          </cell>
          <cell r="DZ34">
            <v>81</v>
          </cell>
          <cell r="EA34">
            <v>10</v>
          </cell>
          <cell r="EB34">
            <v>93</v>
          </cell>
          <cell r="EC34" t="str">
            <v>2nd</v>
          </cell>
          <cell r="ED34">
            <v>62</v>
          </cell>
          <cell r="EE34">
            <v>0</v>
          </cell>
          <cell r="EF34">
            <v>78</v>
          </cell>
          <cell r="EG34" t="str">
            <v>15th</v>
          </cell>
          <cell r="EH34">
            <v>85</v>
          </cell>
          <cell r="EI34">
            <v>36</v>
          </cell>
          <cell r="EJ34">
            <v>85</v>
          </cell>
          <cell r="EK34" t="str">
            <v>1st</v>
          </cell>
          <cell r="EL34">
            <v>78</v>
          </cell>
          <cell r="EM34">
            <v>0</v>
          </cell>
          <cell r="EN34">
            <v>87</v>
          </cell>
          <cell r="EO34" t="str">
            <v>18th</v>
          </cell>
          <cell r="EP34">
            <v>72</v>
          </cell>
          <cell r="EQ34">
            <v>0</v>
          </cell>
          <cell r="ER34">
            <v>100</v>
          </cell>
          <cell r="ES34" t="str">
            <v>22nd</v>
          </cell>
          <cell r="ET34">
            <v>63</v>
          </cell>
          <cell r="EU34">
            <v>5</v>
          </cell>
          <cell r="EV34">
            <v>70</v>
          </cell>
          <cell r="EW34" t="str">
            <v>3rd</v>
          </cell>
          <cell r="EX34">
            <v>84</v>
          </cell>
          <cell r="EY34">
            <v>0</v>
          </cell>
          <cell r="EZ34">
            <v>86</v>
          </cell>
          <cell r="FA34" t="str">
            <v>2nd</v>
          </cell>
          <cell r="FB34">
            <v>0</v>
          </cell>
          <cell r="FC34">
            <v>0</v>
          </cell>
          <cell r="FD34">
            <v>0</v>
          </cell>
          <cell r="FE34" t="str">
            <v>1st</v>
          </cell>
          <cell r="FF34">
            <v>60</v>
          </cell>
          <cell r="FG34">
            <v>19</v>
          </cell>
          <cell r="FH34">
            <v>81</v>
          </cell>
          <cell r="FI34" t="str">
            <v>9th</v>
          </cell>
          <cell r="FJ34">
            <v>90</v>
          </cell>
          <cell r="FK34">
            <v>0</v>
          </cell>
          <cell r="FL34">
            <v>95</v>
          </cell>
          <cell r="FM34" t="str">
            <v>6th</v>
          </cell>
          <cell r="FN34">
            <v>81</v>
          </cell>
          <cell r="FO34">
            <v>0</v>
          </cell>
          <cell r="FP34">
            <v>84</v>
          </cell>
          <cell r="FQ34" t="str">
            <v>2nd</v>
          </cell>
          <cell r="FR34">
            <v>58</v>
          </cell>
          <cell r="FS34">
            <v>0</v>
          </cell>
          <cell r="FT34">
            <v>82</v>
          </cell>
          <cell r="FU34" t="str">
            <v>17th</v>
          </cell>
          <cell r="FV34">
            <v>67</v>
          </cell>
          <cell r="FW34">
            <v>0</v>
          </cell>
          <cell r="FX34">
            <v>85</v>
          </cell>
          <cell r="FY34" t="str">
            <v>14th</v>
          </cell>
          <cell r="FZ34">
            <v>85</v>
          </cell>
          <cell r="GA34">
            <v>0</v>
          </cell>
          <cell r="GB34">
            <v>95</v>
          </cell>
          <cell r="GC34" t="str">
            <v>31st</v>
          </cell>
          <cell r="GD34">
            <v>55</v>
          </cell>
          <cell r="GE34">
            <v>24</v>
          </cell>
          <cell r="GF34">
            <v>71</v>
          </cell>
          <cell r="GG34" t="str">
            <v>18th</v>
          </cell>
        </row>
        <row r="35">
          <cell r="A35" t="str">
            <v>BDS/22/053</v>
          </cell>
          <cell r="B35" t="str">
            <v>JOSEPH CHIDERA</v>
          </cell>
          <cell r="C35" t="str">
            <v>FEMALE</v>
          </cell>
          <cell r="D35" t="str">
            <v>NILL</v>
          </cell>
          <cell r="E35">
            <v>0</v>
          </cell>
          <cell r="F35">
            <v>20</v>
          </cell>
          <cell r="G35">
            <v>20</v>
          </cell>
          <cell r="H35">
            <v>56</v>
          </cell>
          <cell r="I35">
            <v>96</v>
          </cell>
          <cell r="J35">
            <v>96</v>
          </cell>
          <cell r="K35" t="str">
            <v>A</v>
          </cell>
          <cell r="L35">
            <v>20</v>
          </cell>
          <cell r="M35">
            <v>15</v>
          </cell>
          <cell r="N35">
            <v>36</v>
          </cell>
          <cell r="O35">
            <v>71</v>
          </cell>
          <cell r="P35">
            <v>71</v>
          </cell>
          <cell r="Q35" t="str">
            <v>B1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F9</v>
          </cell>
          <cell r="X35">
            <v>18</v>
          </cell>
          <cell r="Y35">
            <v>18</v>
          </cell>
          <cell r="Z35">
            <v>28</v>
          </cell>
          <cell r="AA35">
            <v>64</v>
          </cell>
          <cell r="AB35">
            <v>64</v>
          </cell>
          <cell r="AC35" t="str">
            <v>B2</v>
          </cell>
          <cell r="AD35">
            <v>10</v>
          </cell>
          <cell r="AE35">
            <v>8</v>
          </cell>
          <cell r="AF35">
            <v>30</v>
          </cell>
          <cell r="AG35">
            <v>48</v>
          </cell>
          <cell r="AH35">
            <v>48</v>
          </cell>
          <cell r="AI35" t="str">
            <v>C5</v>
          </cell>
          <cell r="AJ35">
            <v>20</v>
          </cell>
          <cell r="AK35">
            <v>20</v>
          </cell>
          <cell r="AL35">
            <v>36</v>
          </cell>
          <cell r="AM35">
            <v>76</v>
          </cell>
          <cell r="AN35">
            <v>76</v>
          </cell>
          <cell r="AO35" t="str">
            <v>B1</v>
          </cell>
          <cell r="AP35">
            <v>20</v>
          </cell>
          <cell r="AQ35">
            <v>10</v>
          </cell>
          <cell r="AR35">
            <v>56</v>
          </cell>
          <cell r="AS35">
            <v>86</v>
          </cell>
          <cell r="AT35">
            <v>86</v>
          </cell>
          <cell r="AU35" t="str">
            <v>A</v>
          </cell>
          <cell r="AV35">
            <v>20</v>
          </cell>
          <cell r="AW35">
            <v>20</v>
          </cell>
          <cell r="AX35">
            <v>60</v>
          </cell>
          <cell r="AY35">
            <v>100</v>
          </cell>
          <cell r="AZ35">
            <v>100</v>
          </cell>
          <cell r="BA35" t="str">
            <v>A</v>
          </cell>
          <cell r="BB35">
            <v>18</v>
          </cell>
          <cell r="BC35">
            <v>10</v>
          </cell>
          <cell r="BD35">
            <v>41</v>
          </cell>
          <cell r="BE35">
            <v>69</v>
          </cell>
          <cell r="BF35">
            <v>69</v>
          </cell>
          <cell r="BG35" t="str">
            <v>B2</v>
          </cell>
          <cell r="BH35">
            <v>16</v>
          </cell>
          <cell r="BI35">
            <v>20</v>
          </cell>
          <cell r="BJ35">
            <v>48</v>
          </cell>
          <cell r="BK35">
            <v>84</v>
          </cell>
          <cell r="BL35">
            <v>84</v>
          </cell>
          <cell r="BM35" t="str">
            <v>A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 t="str">
            <v>F9</v>
          </cell>
          <cell r="BT35">
            <v>20</v>
          </cell>
          <cell r="BU35">
            <v>15</v>
          </cell>
          <cell r="BV35">
            <v>46</v>
          </cell>
          <cell r="BW35">
            <v>81</v>
          </cell>
          <cell r="BX35">
            <v>81</v>
          </cell>
          <cell r="BY35" t="str">
            <v>A</v>
          </cell>
          <cell r="BZ35">
            <v>20</v>
          </cell>
          <cell r="CA35">
            <v>20</v>
          </cell>
          <cell r="CB35">
            <v>50</v>
          </cell>
          <cell r="CC35">
            <v>90</v>
          </cell>
          <cell r="CD35">
            <v>90</v>
          </cell>
          <cell r="CE35" t="str">
            <v>A</v>
          </cell>
          <cell r="CF35">
            <v>3</v>
          </cell>
          <cell r="CG35">
            <v>2</v>
          </cell>
          <cell r="CH35">
            <v>47</v>
          </cell>
          <cell r="CI35">
            <v>52</v>
          </cell>
          <cell r="CJ35">
            <v>52</v>
          </cell>
          <cell r="CK35" t="str">
            <v>C4</v>
          </cell>
          <cell r="CL35">
            <v>20</v>
          </cell>
          <cell r="CM35">
            <v>20</v>
          </cell>
          <cell r="CN35">
            <v>42</v>
          </cell>
          <cell r="CO35">
            <v>82</v>
          </cell>
          <cell r="CP35">
            <v>82</v>
          </cell>
          <cell r="CQ35" t="str">
            <v>A</v>
          </cell>
          <cell r="CR35">
            <v>20</v>
          </cell>
          <cell r="CS35">
            <v>20</v>
          </cell>
          <cell r="CT35">
            <v>38</v>
          </cell>
          <cell r="CU35">
            <v>78</v>
          </cell>
          <cell r="CV35">
            <v>78</v>
          </cell>
          <cell r="CW35" t="str">
            <v>B1</v>
          </cell>
          <cell r="CX35">
            <v>20</v>
          </cell>
          <cell r="CY35">
            <v>20</v>
          </cell>
          <cell r="CZ35">
            <v>50</v>
          </cell>
          <cell r="DA35">
            <v>90</v>
          </cell>
          <cell r="DB35">
            <v>90</v>
          </cell>
          <cell r="DC35" t="str">
            <v>A</v>
          </cell>
          <cell r="DD35">
            <v>20</v>
          </cell>
          <cell r="DE35">
            <v>17</v>
          </cell>
          <cell r="DF35">
            <v>32</v>
          </cell>
          <cell r="DG35">
            <v>69</v>
          </cell>
          <cell r="DH35">
            <v>69</v>
          </cell>
          <cell r="DI35" t="str">
            <v>B2</v>
          </cell>
          <cell r="DJ35">
            <v>1236</v>
          </cell>
          <cell r="DK35">
            <v>1236</v>
          </cell>
          <cell r="DL35">
            <v>0.72705882352941176</v>
          </cell>
          <cell r="DM35" t="str">
            <v>3rd</v>
          </cell>
          <cell r="DN35">
            <v>96</v>
          </cell>
          <cell r="DO35">
            <v>26</v>
          </cell>
          <cell r="DP35">
            <v>96</v>
          </cell>
          <cell r="DQ35" t="str">
            <v>1st</v>
          </cell>
          <cell r="DR35">
            <v>71</v>
          </cell>
          <cell r="DS35">
            <v>0</v>
          </cell>
          <cell r="DT35">
            <v>90</v>
          </cell>
          <cell r="DU35" t="str">
            <v>7th</v>
          </cell>
          <cell r="DV35">
            <v>0</v>
          </cell>
          <cell r="DW35">
            <v>0</v>
          </cell>
          <cell r="DX35">
            <v>78</v>
          </cell>
          <cell r="DY35" t="str">
            <v>45th</v>
          </cell>
          <cell r="DZ35">
            <v>64</v>
          </cell>
          <cell r="EA35">
            <v>10</v>
          </cell>
          <cell r="EB35">
            <v>93</v>
          </cell>
          <cell r="EC35" t="str">
            <v>16th</v>
          </cell>
          <cell r="ED35">
            <v>48</v>
          </cell>
          <cell r="EE35">
            <v>0</v>
          </cell>
          <cell r="EF35">
            <v>78</v>
          </cell>
          <cell r="EG35" t="str">
            <v>30th</v>
          </cell>
          <cell r="EH35">
            <v>76</v>
          </cell>
          <cell r="EI35">
            <v>36</v>
          </cell>
          <cell r="EJ35">
            <v>85</v>
          </cell>
          <cell r="EK35" t="str">
            <v>9th</v>
          </cell>
          <cell r="EL35">
            <v>86</v>
          </cell>
          <cell r="EM35">
            <v>0</v>
          </cell>
          <cell r="EN35">
            <v>87</v>
          </cell>
          <cell r="EO35" t="str">
            <v>2nd</v>
          </cell>
          <cell r="EP35">
            <v>100</v>
          </cell>
          <cell r="EQ35">
            <v>0</v>
          </cell>
          <cell r="ER35">
            <v>100</v>
          </cell>
          <cell r="ES35" t="str">
            <v>1st</v>
          </cell>
          <cell r="ET35">
            <v>69</v>
          </cell>
          <cell r="EU35">
            <v>5</v>
          </cell>
          <cell r="EV35">
            <v>70</v>
          </cell>
          <cell r="EW35" t="str">
            <v>2nd</v>
          </cell>
          <cell r="EX35">
            <v>84</v>
          </cell>
          <cell r="EY35">
            <v>0</v>
          </cell>
          <cell r="EZ35">
            <v>86</v>
          </cell>
          <cell r="FA35" t="str">
            <v>2nd</v>
          </cell>
          <cell r="FB35">
            <v>0</v>
          </cell>
          <cell r="FC35">
            <v>0</v>
          </cell>
          <cell r="FD35">
            <v>0</v>
          </cell>
          <cell r="FE35" t="str">
            <v>1st</v>
          </cell>
          <cell r="FF35">
            <v>81</v>
          </cell>
          <cell r="FG35">
            <v>19</v>
          </cell>
          <cell r="FH35">
            <v>81</v>
          </cell>
          <cell r="FI35" t="str">
            <v>1st</v>
          </cell>
          <cell r="FJ35">
            <v>90</v>
          </cell>
          <cell r="FK35">
            <v>0</v>
          </cell>
          <cell r="FL35">
            <v>95</v>
          </cell>
          <cell r="FM35" t="str">
            <v>6th</v>
          </cell>
          <cell r="FN35">
            <v>52</v>
          </cell>
          <cell r="FO35">
            <v>0</v>
          </cell>
          <cell r="FP35">
            <v>84</v>
          </cell>
          <cell r="FQ35" t="str">
            <v>33rd</v>
          </cell>
          <cell r="FR35">
            <v>82</v>
          </cell>
          <cell r="FS35">
            <v>0</v>
          </cell>
          <cell r="FT35">
            <v>82</v>
          </cell>
          <cell r="FU35" t="str">
            <v>1st</v>
          </cell>
          <cell r="FV35">
            <v>78</v>
          </cell>
          <cell r="FW35">
            <v>0</v>
          </cell>
          <cell r="FX35">
            <v>85</v>
          </cell>
          <cell r="FY35" t="str">
            <v>3rd</v>
          </cell>
          <cell r="FZ35">
            <v>90</v>
          </cell>
          <cell r="GA35">
            <v>0</v>
          </cell>
          <cell r="GB35">
            <v>95</v>
          </cell>
          <cell r="GC35" t="str">
            <v>7th</v>
          </cell>
          <cell r="GD35">
            <v>69</v>
          </cell>
          <cell r="GE35">
            <v>24</v>
          </cell>
          <cell r="GF35">
            <v>71</v>
          </cell>
          <cell r="GG35" t="str">
            <v>3rd</v>
          </cell>
        </row>
        <row r="36">
          <cell r="A36" t="str">
            <v>BDS/22/054</v>
          </cell>
          <cell r="B36" t="str">
            <v>KINGSELY GOSPEL</v>
          </cell>
          <cell r="C36" t="str">
            <v>MALE</v>
          </cell>
          <cell r="D36" t="str">
            <v>NILL</v>
          </cell>
          <cell r="E36">
            <v>0</v>
          </cell>
          <cell r="F36">
            <v>15</v>
          </cell>
          <cell r="G36">
            <v>10</v>
          </cell>
          <cell r="H36">
            <v>19</v>
          </cell>
          <cell r="I36">
            <v>44</v>
          </cell>
          <cell r="J36">
            <v>44</v>
          </cell>
          <cell r="K36" t="str">
            <v>D</v>
          </cell>
          <cell r="L36">
            <v>20</v>
          </cell>
          <cell r="M36">
            <v>15</v>
          </cell>
          <cell r="N36">
            <v>7</v>
          </cell>
          <cell r="O36">
            <v>42</v>
          </cell>
          <cell r="P36">
            <v>42</v>
          </cell>
          <cell r="Q36" t="str">
            <v>D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 t="str">
            <v>F9</v>
          </cell>
          <cell r="X36">
            <v>2</v>
          </cell>
          <cell r="Y36">
            <v>2</v>
          </cell>
          <cell r="Z36">
            <v>6</v>
          </cell>
          <cell r="AA36">
            <v>10</v>
          </cell>
          <cell r="AB36">
            <v>10</v>
          </cell>
          <cell r="AC36" t="str">
            <v>F9</v>
          </cell>
          <cell r="AD36">
            <v>10</v>
          </cell>
          <cell r="AE36">
            <v>7</v>
          </cell>
          <cell r="AF36">
            <v>10</v>
          </cell>
          <cell r="AG36">
            <v>27</v>
          </cell>
          <cell r="AH36">
            <v>27</v>
          </cell>
          <cell r="AI36" t="str">
            <v>F9</v>
          </cell>
          <cell r="AJ36">
            <v>20</v>
          </cell>
          <cell r="AK36">
            <v>20</v>
          </cell>
          <cell r="AL36">
            <v>26</v>
          </cell>
          <cell r="AM36">
            <v>66</v>
          </cell>
          <cell r="AN36">
            <v>66</v>
          </cell>
          <cell r="AO36" t="str">
            <v>B2</v>
          </cell>
          <cell r="AP36">
            <v>15</v>
          </cell>
          <cell r="AQ36">
            <v>10</v>
          </cell>
          <cell r="AR36">
            <v>13</v>
          </cell>
          <cell r="AS36">
            <v>38</v>
          </cell>
          <cell r="AT36">
            <v>38</v>
          </cell>
          <cell r="AU36" t="str">
            <v>E8</v>
          </cell>
          <cell r="AV36">
            <v>5</v>
          </cell>
          <cell r="AW36">
            <v>5</v>
          </cell>
          <cell r="AX36">
            <v>10</v>
          </cell>
          <cell r="AY36">
            <v>20</v>
          </cell>
          <cell r="AZ36">
            <v>20</v>
          </cell>
          <cell r="BA36" t="str">
            <v>F9</v>
          </cell>
          <cell r="BB36">
            <v>5</v>
          </cell>
          <cell r="BC36">
            <v>4</v>
          </cell>
          <cell r="BD36">
            <v>10</v>
          </cell>
          <cell r="BE36">
            <v>19</v>
          </cell>
          <cell r="BF36">
            <v>19</v>
          </cell>
          <cell r="BG36" t="str">
            <v>F9</v>
          </cell>
          <cell r="BH36">
            <v>10</v>
          </cell>
          <cell r="BI36">
            <v>6</v>
          </cell>
          <cell r="BJ36">
            <v>26</v>
          </cell>
          <cell r="BK36">
            <v>42</v>
          </cell>
          <cell r="BL36">
            <v>42</v>
          </cell>
          <cell r="BM36" t="str">
            <v>D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 t="str">
            <v>F9</v>
          </cell>
          <cell r="BT36">
            <v>5</v>
          </cell>
          <cell r="BU36">
            <v>7</v>
          </cell>
          <cell r="BV36">
            <v>13</v>
          </cell>
          <cell r="BW36">
            <v>25</v>
          </cell>
          <cell r="BX36">
            <v>25</v>
          </cell>
          <cell r="BY36" t="str">
            <v>F9</v>
          </cell>
          <cell r="BZ36">
            <v>20</v>
          </cell>
          <cell r="CA36">
            <v>20</v>
          </cell>
          <cell r="CB36">
            <v>50</v>
          </cell>
          <cell r="CC36">
            <v>90</v>
          </cell>
          <cell r="CD36">
            <v>90</v>
          </cell>
          <cell r="CE36" t="str">
            <v>A</v>
          </cell>
          <cell r="CF36">
            <v>3</v>
          </cell>
          <cell r="CG36">
            <v>2</v>
          </cell>
          <cell r="CH36">
            <v>39</v>
          </cell>
          <cell r="CI36">
            <v>44</v>
          </cell>
          <cell r="CJ36">
            <v>44</v>
          </cell>
          <cell r="CK36" t="str">
            <v>D</v>
          </cell>
          <cell r="CL36">
            <v>20</v>
          </cell>
          <cell r="CM36">
            <v>8</v>
          </cell>
          <cell r="CN36">
            <v>4</v>
          </cell>
          <cell r="CO36">
            <v>32</v>
          </cell>
          <cell r="CP36">
            <v>32</v>
          </cell>
          <cell r="CQ36" t="str">
            <v>F9</v>
          </cell>
          <cell r="CR36">
            <v>2</v>
          </cell>
          <cell r="CS36">
            <v>20</v>
          </cell>
          <cell r="CT36">
            <v>8</v>
          </cell>
          <cell r="CU36">
            <v>30</v>
          </cell>
          <cell r="CV36">
            <v>30</v>
          </cell>
          <cell r="CW36" t="str">
            <v>F9</v>
          </cell>
          <cell r="CX36">
            <v>20</v>
          </cell>
          <cell r="CY36">
            <v>20</v>
          </cell>
          <cell r="CZ36">
            <v>50</v>
          </cell>
          <cell r="DA36">
            <v>90</v>
          </cell>
          <cell r="DB36">
            <v>90</v>
          </cell>
          <cell r="DC36" t="str">
            <v>A</v>
          </cell>
          <cell r="DD36">
            <v>1</v>
          </cell>
          <cell r="DE36">
            <v>17</v>
          </cell>
          <cell r="DF36">
            <v>6</v>
          </cell>
          <cell r="DG36">
            <v>24</v>
          </cell>
          <cell r="DH36">
            <v>24</v>
          </cell>
          <cell r="DI36" t="str">
            <v>F9</v>
          </cell>
          <cell r="DJ36">
            <v>643</v>
          </cell>
          <cell r="DK36">
            <v>643</v>
          </cell>
          <cell r="DL36">
            <v>0.378235294117647</v>
          </cell>
          <cell r="DM36" t="str">
            <v>45th</v>
          </cell>
          <cell r="DN36">
            <v>44</v>
          </cell>
          <cell r="DO36">
            <v>26</v>
          </cell>
          <cell r="DP36">
            <v>96</v>
          </cell>
          <cell r="DQ36" t="str">
            <v>43rd</v>
          </cell>
          <cell r="DR36">
            <v>42</v>
          </cell>
          <cell r="DS36">
            <v>0</v>
          </cell>
          <cell r="DT36">
            <v>90</v>
          </cell>
          <cell r="DU36" t="str">
            <v>42nd</v>
          </cell>
          <cell r="DV36">
            <v>0</v>
          </cell>
          <cell r="DW36">
            <v>0</v>
          </cell>
          <cell r="DX36">
            <v>78</v>
          </cell>
          <cell r="DY36" t="str">
            <v>45th</v>
          </cell>
          <cell r="DZ36">
            <v>10</v>
          </cell>
          <cell r="EA36">
            <v>10</v>
          </cell>
          <cell r="EB36">
            <v>93</v>
          </cell>
          <cell r="EC36" t="str">
            <v>47th</v>
          </cell>
          <cell r="ED36">
            <v>27</v>
          </cell>
          <cell r="EE36">
            <v>0</v>
          </cell>
          <cell r="EF36">
            <v>78</v>
          </cell>
          <cell r="EG36" t="str">
            <v>43rd</v>
          </cell>
          <cell r="EH36">
            <v>66</v>
          </cell>
          <cell r="EI36">
            <v>36</v>
          </cell>
          <cell r="EJ36">
            <v>85</v>
          </cell>
          <cell r="EK36" t="str">
            <v>27th</v>
          </cell>
          <cell r="EL36">
            <v>38</v>
          </cell>
          <cell r="EM36">
            <v>0</v>
          </cell>
          <cell r="EN36">
            <v>87</v>
          </cell>
          <cell r="EO36" t="str">
            <v>44th</v>
          </cell>
          <cell r="EP36">
            <v>20</v>
          </cell>
          <cell r="EQ36">
            <v>0</v>
          </cell>
          <cell r="ER36">
            <v>100</v>
          </cell>
          <cell r="ES36" t="str">
            <v>45th</v>
          </cell>
          <cell r="ET36">
            <v>19</v>
          </cell>
          <cell r="EU36">
            <v>5</v>
          </cell>
          <cell r="EV36">
            <v>70</v>
          </cell>
          <cell r="EW36" t="str">
            <v>43rd</v>
          </cell>
          <cell r="EX36">
            <v>42</v>
          </cell>
          <cell r="EY36">
            <v>0</v>
          </cell>
          <cell r="EZ36">
            <v>86</v>
          </cell>
          <cell r="FA36" t="str">
            <v>39th</v>
          </cell>
          <cell r="FB36">
            <v>0</v>
          </cell>
          <cell r="FC36">
            <v>0</v>
          </cell>
          <cell r="FD36">
            <v>0</v>
          </cell>
          <cell r="FE36" t="str">
            <v>1st</v>
          </cell>
          <cell r="FF36">
            <v>25</v>
          </cell>
          <cell r="FG36">
            <v>19</v>
          </cell>
          <cell r="FH36">
            <v>81</v>
          </cell>
          <cell r="FI36" t="str">
            <v>43rd</v>
          </cell>
          <cell r="FJ36">
            <v>90</v>
          </cell>
          <cell r="FK36">
            <v>0</v>
          </cell>
          <cell r="FL36">
            <v>95</v>
          </cell>
          <cell r="FM36" t="str">
            <v>6th</v>
          </cell>
          <cell r="FN36">
            <v>44</v>
          </cell>
          <cell r="FO36">
            <v>0</v>
          </cell>
          <cell r="FP36">
            <v>84</v>
          </cell>
          <cell r="FQ36" t="str">
            <v>41st</v>
          </cell>
          <cell r="FR36">
            <v>32</v>
          </cell>
          <cell r="FS36">
            <v>0</v>
          </cell>
          <cell r="FT36">
            <v>82</v>
          </cell>
          <cell r="FU36" t="str">
            <v>45th</v>
          </cell>
          <cell r="FV36">
            <v>30</v>
          </cell>
          <cell r="FW36">
            <v>0</v>
          </cell>
          <cell r="FX36">
            <v>85</v>
          </cell>
          <cell r="FY36" t="str">
            <v>44th</v>
          </cell>
          <cell r="FZ36">
            <v>90</v>
          </cell>
          <cell r="GA36">
            <v>0</v>
          </cell>
          <cell r="GB36">
            <v>95</v>
          </cell>
          <cell r="GC36" t="str">
            <v>7th</v>
          </cell>
          <cell r="GD36">
            <v>24</v>
          </cell>
          <cell r="GE36">
            <v>24</v>
          </cell>
          <cell r="GF36">
            <v>71</v>
          </cell>
          <cell r="GG36" t="str">
            <v>47th</v>
          </cell>
        </row>
        <row r="37">
          <cell r="A37" t="str">
            <v>BDS/22/059</v>
          </cell>
          <cell r="B37" t="str">
            <v>OBIOMA WISDOM</v>
          </cell>
          <cell r="C37" t="str">
            <v>MALE</v>
          </cell>
          <cell r="D37">
            <v>0</v>
          </cell>
          <cell r="E37">
            <v>0</v>
          </cell>
          <cell r="F37">
            <v>10</v>
          </cell>
          <cell r="G37">
            <v>5</v>
          </cell>
          <cell r="H37">
            <v>11</v>
          </cell>
          <cell r="I37">
            <v>26</v>
          </cell>
          <cell r="J37">
            <v>26</v>
          </cell>
          <cell r="K37" t="str">
            <v>F9</v>
          </cell>
          <cell r="L37">
            <v>20</v>
          </cell>
          <cell r="M37">
            <v>15</v>
          </cell>
          <cell r="N37">
            <v>9</v>
          </cell>
          <cell r="O37">
            <v>44</v>
          </cell>
          <cell r="P37">
            <v>44</v>
          </cell>
          <cell r="Q37" t="str">
            <v>D</v>
          </cell>
          <cell r="R37">
            <v>0</v>
          </cell>
          <cell r="S37">
            <v>0</v>
          </cell>
          <cell r="T37">
            <v>13</v>
          </cell>
          <cell r="U37">
            <v>13</v>
          </cell>
          <cell r="V37">
            <v>13</v>
          </cell>
          <cell r="W37" t="str">
            <v>F9</v>
          </cell>
          <cell r="X37">
            <v>7</v>
          </cell>
          <cell r="Y37">
            <v>7</v>
          </cell>
          <cell r="Z37">
            <v>16</v>
          </cell>
          <cell r="AA37">
            <v>30</v>
          </cell>
          <cell r="AB37">
            <v>30</v>
          </cell>
          <cell r="AC37" t="str">
            <v>F9</v>
          </cell>
          <cell r="AD37">
            <v>2</v>
          </cell>
          <cell r="AE37">
            <v>10</v>
          </cell>
          <cell r="AF37">
            <v>15</v>
          </cell>
          <cell r="AG37">
            <v>27</v>
          </cell>
          <cell r="AH37">
            <v>27</v>
          </cell>
          <cell r="AI37" t="str">
            <v>F9</v>
          </cell>
          <cell r="AJ37">
            <v>20</v>
          </cell>
          <cell r="AK37">
            <v>20</v>
          </cell>
          <cell r="AL37">
            <v>4</v>
          </cell>
          <cell r="AM37">
            <v>44</v>
          </cell>
          <cell r="AN37">
            <v>44</v>
          </cell>
          <cell r="AO37" t="str">
            <v>D</v>
          </cell>
          <cell r="AP37">
            <v>5</v>
          </cell>
          <cell r="AQ37">
            <v>10</v>
          </cell>
          <cell r="AR37">
            <v>28</v>
          </cell>
          <cell r="AS37">
            <v>43</v>
          </cell>
          <cell r="AT37">
            <v>43</v>
          </cell>
          <cell r="AU37" t="str">
            <v>D</v>
          </cell>
          <cell r="AV37">
            <v>10</v>
          </cell>
          <cell r="AW37">
            <v>5</v>
          </cell>
          <cell r="AX37">
            <v>16</v>
          </cell>
          <cell r="AY37">
            <v>31</v>
          </cell>
          <cell r="AZ37">
            <v>31</v>
          </cell>
          <cell r="BA37" t="str">
            <v>F9</v>
          </cell>
          <cell r="BB37">
            <v>5</v>
          </cell>
          <cell r="BC37">
            <v>4</v>
          </cell>
          <cell r="BD37">
            <v>9</v>
          </cell>
          <cell r="BE37">
            <v>18</v>
          </cell>
          <cell r="BF37">
            <v>18</v>
          </cell>
          <cell r="BG37" t="str">
            <v>F9</v>
          </cell>
          <cell r="BH37">
            <v>10</v>
          </cell>
          <cell r="BI37">
            <v>10</v>
          </cell>
          <cell r="BJ37">
            <v>15</v>
          </cell>
          <cell r="BK37">
            <v>35</v>
          </cell>
          <cell r="BL37">
            <v>35</v>
          </cell>
          <cell r="BM37" t="str">
            <v>F9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 t="str">
            <v>F9</v>
          </cell>
          <cell r="BT37">
            <v>5</v>
          </cell>
          <cell r="BU37">
            <v>4</v>
          </cell>
          <cell r="BV37">
            <v>14</v>
          </cell>
          <cell r="BW37">
            <v>23</v>
          </cell>
          <cell r="BX37">
            <v>23</v>
          </cell>
          <cell r="BY37" t="str">
            <v>F9</v>
          </cell>
          <cell r="BZ37">
            <v>15</v>
          </cell>
          <cell r="CA37">
            <v>20</v>
          </cell>
          <cell r="CB37">
            <v>50</v>
          </cell>
          <cell r="CC37">
            <v>85</v>
          </cell>
          <cell r="CD37">
            <v>85</v>
          </cell>
          <cell r="CE37" t="str">
            <v>A</v>
          </cell>
          <cell r="CF37">
            <v>2</v>
          </cell>
          <cell r="CG37">
            <v>3</v>
          </cell>
          <cell r="CH37">
            <v>21</v>
          </cell>
          <cell r="CI37">
            <v>26</v>
          </cell>
          <cell r="CJ37">
            <v>26</v>
          </cell>
          <cell r="CK37" t="str">
            <v>F9</v>
          </cell>
          <cell r="CL37">
            <v>20</v>
          </cell>
          <cell r="CM37">
            <v>7</v>
          </cell>
          <cell r="CN37">
            <v>9</v>
          </cell>
          <cell r="CO37">
            <v>36</v>
          </cell>
          <cell r="CP37">
            <v>36</v>
          </cell>
          <cell r="CQ37" t="str">
            <v>E8</v>
          </cell>
          <cell r="CR37">
            <v>2</v>
          </cell>
          <cell r="CS37">
            <v>20</v>
          </cell>
          <cell r="CT37">
            <v>15</v>
          </cell>
          <cell r="CU37">
            <v>37</v>
          </cell>
          <cell r="CV37">
            <v>37</v>
          </cell>
          <cell r="CW37" t="str">
            <v>E8</v>
          </cell>
          <cell r="CX37">
            <v>15</v>
          </cell>
          <cell r="CY37">
            <v>20</v>
          </cell>
          <cell r="CZ37">
            <v>55</v>
          </cell>
          <cell r="DA37">
            <v>90</v>
          </cell>
          <cell r="DB37">
            <v>90</v>
          </cell>
          <cell r="DC37" t="str">
            <v>A</v>
          </cell>
          <cell r="DD37">
            <v>14</v>
          </cell>
          <cell r="DE37">
            <v>17</v>
          </cell>
          <cell r="DF37">
            <v>6</v>
          </cell>
          <cell r="DG37">
            <v>37</v>
          </cell>
          <cell r="DH37">
            <v>37</v>
          </cell>
          <cell r="DI37" t="str">
            <v>E8</v>
          </cell>
          <cell r="DJ37">
            <v>645</v>
          </cell>
          <cell r="DK37">
            <v>645</v>
          </cell>
          <cell r="DL37">
            <v>0.37941176470588234</v>
          </cell>
          <cell r="DM37" t="str">
            <v>44th</v>
          </cell>
          <cell r="DN37">
            <v>26</v>
          </cell>
          <cell r="DO37">
            <v>26</v>
          </cell>
          <cell r="DP37">
            <v>96</v>
          </cell>
          <cell r="DQ37" t="str">
            <v>47th</v>
          </cell>
          <cell r="DR37">
            <v>44</v>
          </cell>
          <cell r="DS37">
            <v>0</v>
          </cell>
          <cell r="DT37">
            <v>90</v>
          </cell>
          <cell r="DU37" t="str">
            <v>39th</v>
          </cell>
          <cell r="DV37">
            <v>13</v>
          </cell>
          <cell r="DW37">
            <v>0</v>
          </cell>
          <cell r="DX37">
            <v>78</v>
          </cell>
          <cell r="DY37" t="str">
            <v>44th</v>
          </cell>
          <cell r="DZ37">
            <v>30</v>
          </cell>
          <cell r="EA37">
            <v>10</v>
          </cell>
          <cell r="EB37">
            <v>93</v>
          </cell>
          <cell r="EC37" t="str">
            <v>44th</v>
          </cell>
          <cell r="ED37">
            <v>27</v>
          </cell>
          <cell r="EE37">
            <v>0</v>
          </cell>
          <cell r="EF37">
            <v>78</v>
          </cell>
          <cell r="EG37" t="str">
            <v>43rd</v>
          </cell>
          <cell r="EH37">
            <v>44</v>
          </cell>
          <cell r="EI37">
            <v>36</v>
          </cell>
          <cell r="EJ37">
            <v>85</v>
          </cell>
          <cell r="EK37" t="str">
            <v>44th</v>
          </cell>
          <cell r="EL37">
            <v>43</v>
          </cell>
          <cell r="EM37">
            <v>0</v>
          </cell>
          <cell r="EN37">
            <v>87</v>
          </cell>
          <cell r="EO37" t="str">
            <v>42nd</v>
          </cell>
          <cell r="EP37">
            <v>31</v>
          </cell>
          <cell r="EQ37">
            <v>0</v>
          </cell>
          <cell r="ER37">
            <v>100</v>
          </cell>
          <cell r="ES37" t="str">
            <v>40th</v>
          </cell>
          <cell r="ET37">
            <v>18</v>
          </cell>
          <cell r="EU37">
            <v>5</v>
          </cell>
          <cell r="EV37">
            <v>70</v>
          </cell>
          <cell r="EW37" t="str">
            <v>45th</v>
          </cell>
          <cell r="EX37">
            <v>35</v>
          </cell>
          <cell r="EY37">
            <v>0</v>
          </cell>
          <cell r="EZ37">
            <v>86</v>
          </cell>
          <cell r="FA37" t="str">
            <v>44th</v>
          </cell>
          <cell r="FB37">
            <v>0</v>
          </cell>
          <cell r="FC37">
            <v>0</v>
          </cell>
          <cell r="FD37">
            <v>0</v>
          </cell>
          <cell r="FE37" t="str">
            <v>1st</v>
          </cell>
          <cell r="FF37">
            <v>23</v>
          </cell>
          <cell r="FG37">
            <v>19</v>
          </cell>
          <cell r="FH37">
            <v>81</v>
          </cell>
          <cell r="FI37" t="str">
            <v>45th</v>
          </cell>
          <cell r="FJ37">
            <v>85</v>
          </cell>
          <cell r="FK37">
            <v>0</v>
          </cell>
          <cell r="FL37">
            <v>95</v>
          </cell>
          <cell r="FM37" t="str">
            <v>21st</v>
          </cell>
          <cell r="FN37">
            <v>26</v>
          </cell>
          <cell r="FO37">
            <v>0</v>
          </cell>
          <cell r="FP37">
            <v>84</v>
          </cell>
          <cell r="FQ37" t="str">
            <v>46th</v>
          </cell>
          <cell r="FR37">
            <v>36</v>
          </cell>
          <cell r="FS37">
            <v>0</v>
          </cell>
          <cell r="FT37">
            <v>82</v>
          </cell>
          <cell r="FU37" t="str">
            <v>42nd</v>
          </cell>
          <cell r="FV37">
            <v>37</v>
          </cell>
          <cell r="FW37">
            <v>0</v>
          </cell>
          <cell r="FX37">
            <v>85</v>
          </cell>
          <cell r="FY37" t="str">
            <v>42nd</v>
          </cell>
          <cell r="FZ37">
            <v>90</v>
          </cell>
          <cell r="GA37">
            <v>0</v>
          </cell>
          <cell r="GB37">
            <v>95</v>
          </cell>
          <cell r="GC37" t="str">
            <v>7th</v>
          </cell>
          <cell r="GD37">
            <v>37</v>
          </cell>
          <cell r="GE37">
            <v>24</v>
          </cell>
          <cell r="GF37">
            <v>71</v>
          </cell>
          <cell r="GG37" t="str">
            <v>42nd</v>
          </cell>
        </row>
        <row r="38">
          <cell r="A38" t="str">
            <v>BDS/22/060</v>
          </cell>
          <cell r="B38" t="str">
            <v>UKONMADU GOODLUCK</v>
          </cell>
          <cell r="C38" t="str">
            <v>MALE</v>
          </cell>
          <cell r="D38">
            <v>0</v>
          </cell>
          <cell r="E38">
            <v>0</v>
          </cell>
          <cell r="F38">
            <v>10</v>
          </cell>
          <cell r="G38">
            <v>10</v>
          </cell>
          <cell r="H38">
            <v>32</v>
          </cell>
          <cell r="I38">
            <v>52</v>
          </cell>
          <cell r="J38">
            <v>52</v>
          </cell>
          <cell r="K38" t="str">
            <v>C4</v>
          </cell>
          <cell r="L38">
            <v>20</v>
          </cell>
          <cell r="M38">
            <v>15</v>
          </cell>
          <cell r="N38">
            <v>19</v>
          </cell>
          <cell r="O38">
            <v>54</v>
          </cell>
          <cell r="P38">
            <v>54</v>
          </cell>
          <cell r="Q38" t="str">
            <v>C4</v>
          </cell>
          <cell r="R38">
            <v>8</v>
          </cell>
          <cell r="S38">
            <v>20</v>
          </cell>
          <cell r="T38">
            <v>30</v>
          </cell>
          <cell r="U38">
            <v>58</v>
          </cell>
          <cell r="V38">
            <v>57.999999999999993</v>
          </cell>
          <cell r="W38" t="str">
            <v>C4</v>
          </cell>
          <cell r="X38">
            <v>11</v>
          </cell>
          <cell r="Y38">
            <v>11</v>
          </cell>
          <cell r="Z38">
            <v>23</v>
          </cell>
          <cell r="AA38">
            <v>45</v>
          </cell>
          <cell r="AB38">
            <v>45</v>
          </cell>
          <cell r="AC38" t="str">
            <v>D</v>
          </cell>
          <cell r="AD38">
            <v>10</v>
          </cell>
          <cell r="AE38">
            <v>8</v>
          </cell>
          <cell r="AF38">
            <v>15</v>
          </cell>
          <cell r="AG38">
            <v>33</v>
          </cell>
          <cell r="AH38">
            <v>33</v>
          </cell>
          <cell r="AI38" t="str">
            <v>F9</v>
          </cell>
          <cell r="AJ38">
            <v>18</v>
          </cell>
          <cell r="AK38">
            <v>18</v>
          </cell>
          <cell r="AL38">
            <v>13</v>
          </cell>
          <cell r="AM38">
            <v>49</v>
          </cell>
          <cell r="AN38">
            <v>49</v>
          </cell>
          <cell r="AO38" t="str">
            <v>C5</v>
          </cell>
          <cell r="AP38">
            <v>18</v>
          </cell>
          <cell r="AQ38">
            <v>10</v>
          </cell>
          <cell r="AR38">
            <v>49</v>
          </cell>
          <cell r="AS38">
            <v>77</v>
          </cell>
          <cell r="AT38">
            <v>77</v>
          </cell>
          <cell r="AU38" t="str">
            <v>B1</v>
          </cell>
          <cell r="AV38">
            <v>10</v>
          </cell>
          <cell r="AW38">
            <v>5</v>
          </cell>
          <cell r="AX38">
            <v>16</v>
          </cell>
          <cell r="AY38">
            <v>31</v>
          </cell>
          <cell r="AZ38">
            <v>31</v>
          </cell>
          <cell r="BA38" t="str">
            <v>F9</v>
          </cell>
          <cell r="BB38">
            <v>2</v>
          </cell>
          <cell r="BC38">
            <v>3</v>
          </cell>
          <cell r="BD38">
            <v>23</v>
          </cell>
          <cell r="BE38">
            <v>28</v>
          </cell>
          <cell r="BF38">
            <v>28.000000000000004</v>
          </cell>
          <cell r="BG38" t="str">
            <v>F9</v>
          </cell>
          <cell r="BH38">
            <v>10</v>
          </cell>
          <cell r="BI38">
            <v>8</v>
          </cell>
          <cell r="BJ38">
            <v>24</v>
          </cell>
          <cell r="BK38">
            <v>42</v>
          </cell>
          <cell r="BL38">
            <v>42</v>
          </cell>
          <cell r="BM38" t="str">
            <v>D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 t="str">
            <v>F9</v>
          </cell>
          <cell r="BT38">
            <v>5</v>
          </cell>
          <cell r="BU38">
            <v>10</v>
          </cell>
          <cell r="BV38">
            <v>23</v>
          </cell>
          <cell r="BW38">
            <v>38</v>
          </cell>
          <cell r="BX38">
            <v>38</v>
          </cell>
          <cell r="BY38" t="str">
            <v>E8</v>
          </cell>
          <cell r="BZ38">
            <v>15</v>
          </cell>
          <cell r="CA38">
            <v>20</v>
          </cell>
          <cell r="CB38">
            <v>50</v>
          </cell>
          <cell r="CC38">
            <v>85</v>
          </cell>
          <cell r="CD38">
            <v>85</v>
          </cell>
          <cell r="CE38" t="str">
            <v>A</v>
          </cell>
          <cell r="CF38">
            <v>3</v>
          </cell>
          <cell r="CG38">
            <v>2</v>
          </cell>
          <cell r="CH38">
            <v>35</v>
          </cell>
          <cell r="CI38">
            <v>40</v>
          </cell>
          <cell r="CJ38">
            <v>40</v>
          </cell>
          <cell r="CK38" t="str">
            <v>E8</v>
          </cell>
          <cell r="CL38">
            <v>20</v>
          </cell>
          <cell r="CM38">
            <v>7</v>
          </cell>
          <cell r="CN38">
            <v>18</v>
          </cell>
          <cell r="CO38">
            <v>45</v>
          </cell>
          <cell r="CP38">
            <v>45</v>
          </cell>
          <cell r="CQ38" t="str">
            <v>D</v>
          </cell>
          <cell r="CR38">
            <v>9</v>
          </cell>
          <cell r="CS38">
            <v>20</v>
          </cell>
          <cell r="CT38">
            <v>31</v>
          </cell>
          <cell r="CU38">
            <v>60</v>
          </cell>
          <cell r="CV38">
            <v>60</v>
          </cell>
          <cell r="CW38" t="str">
            <v>C4</v>
          </cell>
          <cell r="CX38">
            <v>15</v>
          </cell>
          <cell r="CY38">
            <v>20</v>
          </cell>
          <cell r="CZ38">
            <v>55</v>
          </cell>
          <cell r="DA38">
            <v>90</v>
          </cell>
          <cell r="DB38">
            <v>90</v>
          </cell>
          <cell r="DC38" t="str">
            <v>A</v>
          </cell>
          <cell r="DD38">
            <v>12</v>
          </cell>
          <cell r="DE38">
            <v>17</v>
          </cell>
          <cell r="DF38">
            <v>20</v>
          </cell>
          <cell r="DG38">
            <v>49</v>
          </cell>
          <cell r="DH38">
            <v>49</v>
          </cell>
          <cell r="DI38" t="str">
            <v>C5</v>
          </cell>
          <cell r="DJ38">
            <v>876</v>
          </cell>
          <cell r="DK38">
            <v>876</v>
          </cell>
          <cell r="DL38">
            <v>0.51529411764705879</v>
          </cell>
          <cell r="DM38" t="str">
            <v>41st</v>
          </cell>
          <cell r="DN38">
            <v>52</v>
          </cell>
          <cell r="DO38">
            <v>26</v>
          </cell>
          <cell r="DP38">
            <v>96</v>
          </cell>
          <cell r="DQ38" t="str">
            <v>40th</v>
          </cell>
          <cell r="DR38">
            <v>54</v>
          </cell>
          <cell r="DS38">
            <v>0</v>
          </cell>
          <cell r="DT38">
            <v>90</v>
          </cell>
          <cell r="DU38" t="str">
            <v>31st</v>
          </cell>
          <cell r="DV38">
            <v>58</v>
          </cell>
          <cell r="DW38">
            <v>0</v>
          </cell>
          <cell r="DX38">
            <v>78</v>
          </cell>
          <cell r="DY38" t="str">
            <v>19th</v>
          </cell>
          <cell r="DZ38">
            <v>45</v>
          </cell>
          <cell r="EA38">
            <v>10</v>
          </cell>
          <cell r="EB38">
            <v>93</v>
          </cell>
          <cell r="EC38" t="str">
            <v>32nd</v>
          </cell>
          <cell r="ED38">
            <v>33</v>
          </cell>
          <cell r="EE38">
            <v>0</v>
          </cell>
          <cell r="EF38">
            <v>78</v>
          </cell>
          <cell r="EG38" t="str">
            <v>41st</v>
          </cell>
          <cell r="EH38">
            <v>49</v>
          </cell>
          <cell r="EI38">
            <v>36</v>
          </cell>
          <cell r="EJ38">
            <v>85</v>
          </cell>
          <cell r="EK38" t="str">
            <v>42nd</v>
          </cell>
          <cell r="EL38">
            <v>77</v>
          </cell>
          <cell r="EM38">
            <v>0</v>
          </cell>
          <cell r="EN38">
            <v>87</v>
          </cell>
          <cell r="EO38" t="str">
            <v>24th</v>
          </cell>
          <cell r="EP38">
            <v>31</v>
          </cell>
          <cell r="EQ38">
            <v>0</v>
          </cell>
          <cell r="ER38">
            <v>100</v>
          </cell>
          <cell r="ES38" t="str">
            <v>40th</v>
          </cell>
          <cell r="ET38">
            <v>28</v>
          </cell>
          <cell r="EU38">
            <v>5</v>
          </cell>
          <cell r="EV38">
            <v>70</v>
          </cell>
          <cell r="EW38" t="str">
            <v>38th</v>
          </cell>
          <cell r="EX38">
            <v>42</v>
          </cell>
          <cell r="EY38">
            <v>0</v>
          </cell>
          <cell r="EZ38">
            <v>86</v>
          </cell>
          <cell r="FA38" t="str">
            <v>39th</v>
          </cell>
          <cell r="FB38">
            <v>0</v>
          </cell>
          <cell r="FC38">
            <v>0</v>
          </cell>
          <cell r="FD38">
            <v>0</v>
          </cell>
          <cell r="FE38" t="str">
            <v>1st</v>
          </cell>
          <cell r="FF38">
            <v>38</v>
          </cell>
          <cell r="FG38">
            <v>19</v>
          </cell>
          <cell r="FH38">
            <v>81</v>
          </cell>
          <cell r="FI38" t="str">
            <v>35th</v>
          </cell>
          <cell r="FJ38">
            <v>85</v>
          </cell>
          <cell r="FK38">
            <v>0</v>
          </cell>
          <cell r="FL38">
            <v>95</v>
          </cell>
          <cell r="FM38" t="str">
            <v>21st</v>
          </cell>
          <cell r="FN38">
            <v>40</v>
          </cell>
          <cell r="FO38">
            <v>0</v>
          </cell>
          <cell r="FP38">
            <v>84</v>
          </cell>
          <cell r="FQ38" t="str">
            <v>44th</v>
          </cell>
          <cell r="FR38">
            <v>45</v>
          </cell>
          <cell r="FS38">
            <v>0</v>
          </cell>
          <cell r="FT38">
            <v>82</v>
          </cell>
          <cell r="FU38" t="str">
            <v>37th</v>
          </cell>
          <cell r="FV38">
            <v>60</v>
          </cell>
          <cell r="FW38">
            <v>0</v>
          </cell>
          <cell r="FX38">
            <v>85</v>
          </cell>
          <cell r="FY38" t="str">
            <v>20th</v>
          </cell>
          <cell r="FZ38">
            <v>90</v>
          </cell>
          <cell r="GA38">
            <v>0</v>
          </cell>
          <cell r="GB38">
            <v>95</v>
          </cell>
          <cell r="GC38" t="str">
            <v>7th</v>
          </cell>
          <cell r="GD38">
            <v>49</v>
          </cell>
          <cell r="GE38">
            <v>24</v>
          </cell>
          <cell r="GF38">
            <v>71</v>
          </cell>
          <cell r="GG38" t="str">
            <v>28th</v>
          </cell>
        </row>
        <row r="39">
          <cell r="A39" t="str">
            <v>BDS/22/061</v>
          </cell>
          <cell r="B39" t="str">
            <v>CHIAZOR VIVIAN</v>
          </cell>
          <cell r="C39" t="str">
            <v>FEMALE</v>
          </cell>
          <cell r="D39">
            <v>0</v>
          </cell>
          <cell r="E39">
            <v>0</v>
          </cell>
          <cell r="F39">
            <v>20</v>
          </cell>
          <cell r="G39">
            <v>20</v>
          </cell>
          <cell r="H39">
            <v>51</v>
          </cell>
          <cell r="I39">
            <v>91</v>
          </cell>
          <cell r="J39">
            <v>91</v>
          </cell>
          <cell r="K39" t="str">
            <v>A</v>
          </cell>
          <cell r="L39">
            <v>19</v>
          </cell>
          <cell r="M39">
            <v>15</v>
          </cell>
          <cell r="N39">
            <v>36</v>
          </cell>
          <cell r="O39">
            <v>70</v>
          </cell>
          <cell r="P39">
            <v>70</v>
          </cell>
          <cell r="Q39" t="str">
            <v>B2</v>
          </cell>
          <cell r="R39">
            <v>14</v>
          </cell>
          <cell r="S39">
            <v>20</v>
          </cell>
          <cell r="T39">
            <v>44</v>
          </cell>
          <cell r="U39">
            <v>78</v>
          </cell>
          <cell r="V39">
            <v>78</v>
          </cell>
          <cell r="W39" t="str">
            <v>B1</v>
          </cell>
          <cell r="X39">
            <v>16</v>
          </cell>
          <cell r="Y39">
            <v>16</v>
          </cell>
          <cell r="Z39">
            <v>31</v>
          </cell>
          <cell r="AA39">
            <v>63</v>
          </cell>
          <cell r="AB39">
            <v>63</v>
          </cell>
          <cell r="AC39" t="str">
            <v>B2</v>
          </cell>
          <cell r="AD39">
            <v>10</v>
          </cell>
          <cell r="AE39">
            <v>18</v>
          </cell>
          <cell r="AF39">
            <v>50</v>
          </cell>
          <cell r="AG39">
            <v>78</v>
          </cell>
          <cell r="AH39">
            <v>78</v>
          </cell>
          <cell r="AI39" t="str">
            <v>B1</v>
          </cell>
          <cell r="AJ39">
            <v>20</v>
          </cell>
          <cell r="AK39">
            <v>20</v>
          </cell>
          <cell r="AL39">
            <v>29</v>
          </cell>
          <cell r="AM39">
            <v>69</v>
          </cell>
          <cell r="AN39">
            <v>69</v>
          </cell>
          <cell r="AO39" t="str">
            <v>B2</v>
          </cell>
          <cell r="AP39">
            <v>18</v>
          </cell>
          <cell r="AQ39">
            <v>10</v>
          </cell>
          <cell r="AR39">
            <v>52</v>
          </cell>
          <cell r="AS39">
            <v>80</v>
          </cell>
          <cell r="AT39">
            <v>80</v>
          </cell>
          <cell r="AU39" t="str">
            <v>B1</v>
          </cell>
          <cell r="AV39">
            <v>20</v>
          </cell>
          <cell r="AW39">
            <v>20</v>
          </cell>
          <cell r="AX39">
            <v>58</v>
          </cell>
          <cell r="AY39">
            <v>98</v>
          </cell>
          <cell r="AZ39">
            <v>98</v>
          </cell>
          <cell r="BA39" t="str">
            <v>A</v>
          </cell>
          <cell r="BB39">
            <v>18</v>
          </cell>
          <cell r="BC39">
            <v>10</v>
          </cell>
          <cell r="BD39">
            <v>42</v>
          </cell>
          <cell r="BE39">
            <v>70</v>
          </cell>
          <cell r="BF39">
            <v>70</v>
          </cell>
          <cell r="BG39" t="str">
            <v>B2</v>
          </cell>
          <cell r="BH39">
            <v>17</v>
          </cell>
          <cell r="BI39">
            <v>20</v>
          </cell>
          <cell r="BJ39">
            <v>47</v>
          </cell>
          <cell r="BK39">
            <v>84</v>
          </cell>
          <cell r="BL39">
            <v>84</v>
          </cell>
          <cell r="BM39" t="str">
            <v>A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 t="str">
            <v>F9</v>
          </cell>
          <cell r="BT39">
            <v>20</v>
          </cell>
          <cell r="BU39">
            <v>17</v>
          </cell>
          <cell r="BV39">
            <v>37</v>
          </cell>
          <cell r="BW39">
            <v>74</v>
          </cell>
          <cell r="BX39">
            <v>74</v>
          </cell>
          <cell r="BY39" t="str">
            <v>B1</v>
          </cell>
          <cell r="BZ39">
            <v>15</v>
          </cell>
          <cell r="CA39">
            <v>20</v>
          </cell>
          <cell r="CB39">
            <v>50</v>
          </cell>
          <cell r="CC39">
            <v>85</v>
          </cell>
          <cell r="CD39">
            <v>85</v>
          </cell>
          <cell r="CE39" t="str">
            <v>A</v>
          </cell>
          <cell r="CF39">
            <v>18</v>
          </cell>
          <cell r="CG39">
            <v>10</v>
          </cell>
          <cell r="CH39">
            <v>44</v>
          </cell>
          <cell r="CI39">
            <v>72</v>
          </cell>
          <cell r="CJ39">
            <v>72</v>
          </cell>
          <cell r="CK39" t="str">
            <v>B1</v>
          </cell>
          <cell r="CL39">
            <v>20</v>
          </cell>
          <cell r="CM39">
            <v>7</v>
          </cell>
          <cell r="CN39">
            <v>41</v>
          </cell>
          <cell r="CO39">
            <v>68</v>
          </cell>
          <cell r="CP39">
            <v>68</v>
          </cell>
          <cell r="CQ39" t="str">
            <v>B2</v>
          </cell>
          <cell r="CR39">
            <v>20</v>
          </cell>
          <cell r="CS39">
            <v>20</v>
          </cell>
          <cell r="CT39">
            <v>39</v>
          </cell>
          <cell r="CU39">
            <v>79</v>
          </cell>
          <cell r="CV39">
            <v>79</v>
          </cell>
          <cell r="CW39" t="str">
            <v>B1</v>
          </cell>
          <cell r="CX39">
            <v>15</v>
          </cell>
          <cell r="CY39">
            <v>20</v>
          </cell>
          <cell r="CZ39">
            <v>50</v>
          </cell>
          <cell r="DA39">
            <v>85</v>
          </cell>
          <cell r="DB39">
            <v>85</v>
          </cell>
          <cell r="DC39" t="str">
            <v>A</v>
          </cell>
          <cell r="DD39">
            <v>20</v>
          </cell>
          <cell r="DE39">
            <v>17</v>
          </cell>
          <cell r="DF39">
            <v>25</v>
          </cell>
          <cell r="DG39">
            <v>62</v>
          </cell>
          <cell r="DH39">
            <v>62</v>
          </cell>
          <cell r="DI39" t="str">
            <v>B2</v>
          </cell>
          <cell r="DJ39">
            <v>1306</v>
          </cell>
          <cell r="DK39">
            <v>1306</v>
          </cell>
          <cell r="DL39">
            <v>0.76823529411764713</v>
          </cell>
          <cell r="DM39" t="str">
            <v>1st</v>
          </cell>
          <cell r="DN39">
            <v>91</v>
          </cell>
          <cell r="DO39">
            <v>26</v>
          </cell>
          <cell r="DP39">
            <v>96</v>
          </cell>
          <cell r="DQ39" t="str">
            <v>7th</v>
          </cell>
          <cell r="DR39">
            <v>70</v>
          </cell>
          <cell r="DS39">
            <v>0</v>
          </cell>
          <cell r="DT39">
            <v>90</v>
          </cell>
          <cell r="DU39" t="str">
            <v>10th</v>
          </cell>
          <cell r="DV39">
            <v>78</v>
          </cell>
          <cell r="DW39">
            <v>0</v>
          </cell>
          <cell r="DX39">
            <v>78</v>
          </cell>
          <cell r="DY39" t="str">
            <v>1st</v>
          </cell>
          <cell r="DZ39">
            <v>63</v>
          </cell>
          <cell r="EA39">
            <v>10</v>
          </cell>
          <cell r="EB39">
            <v>93</v>
          </cell>
          <cell r="EC39" t="str">
            <v>19th</v>
          </cell>
          <cell r="ED39">
            <v>78</v>
          </cell>
          <cell r="EE39">
            <v>0</v>
          </cell>
          <cell r="EF39">
            <v>78</v>
          </cell>
          <cell r="EG39" t="str">
            <v>1st</v>
          </cell>
          <cell r="EH39">
            <v>69</v>
          </cell>
          <cell r="EI39">
            <v>36</v>
          </cell>
          <cell r="EJ39">
            <v>85</v>
          </cell>
          <cell r="EK39" t="str">
            <v>18th</v>
          </cell>
          <cell r="EL39">
            <v>80</v>
          </cell>
          <cell r="EM39">
            <v>0</v>
          </cell>
          <cell r="EN39">
            <v>87</v>
          </cell>
          <cell r="EO39" t="str">
            <v>14th</v>
          </cell>
          <cell r="EP39">
            <v>98</v>
          </cell>
          <cell r="EQ39">
            <v>0</v>
          </cell>
          <cell r="ER39">
            <v>100</v>
          </cell>
          <cell r="ES39" t="str">
            <v>2nd</v>
          </cell>
          <cell r="ET39">
            <v>70</v>
          </cell>
          <cell r="EU39">
            <v>5</v>
          </cell>
          <cell r="EV39">
            <v>70</v>
          </cell>
          <cell r="EW39" t="str">
            <v>1st</v>
          </cell>
          <cell r="EX39">
            <v>84</v>
          </cell>
          <cell r="EY39">
            <v>0</v>
          </cell>
          <cell r="EZ39">
            <v>86</v>
          </cell>
          <cell r="FA39" t="str">
            <v>2nd</v>
          </cell>
          <cell r="FB39">
            <v>0</v>
          </cell>
          <cell r="FC39">
            <v>0</v>
          </cell>
          <cell r="FD39">
            <v>0</v>
          </cell>
          <cell r="FE39" t="str">
            <v>1st</v>
          </cell>
          <cell r="FF39">
            <v>74</v>
          </cell>
          <cell r="FG39">
            <v>19</v>
          </cell>
          <cell r="FH39">
            <v>81</v>
          </cell>
          <cell r="FI39" t="str">
            <v>2nd</v>
          </cell>
          <cell r="FJ39">
            <v>85</v>
          </cell>
          <cell r="FK39">
            <v>0</v>
          </cell>
          <cell r="FL39">
            <v>95</v>
          </cell>
          <cell r="FM39" t="str">
            <v>21st</v>
          </cell>
          <cell r="FN39">
            <v>72</v>
          </cell>
          <cell r="FO39">
            <v>0</v>
          </cell>
          <cell r="FP39">
            <v>84</v>
          </cell>
          <cell r="FQ39" t="str">
            <v>9th</v>
          </cell>
          <cell r="FR39">
            <v>68</v>
          </cell>
          <cell r="FS39">
            <v>0</v>
          </cell>
          <cell r="FT39">
            <v>82</v>
          </cell>
          <cell r="FU39" t="str">
            <v>8th</v>
          </cell>
          <cell r="FV39">
            <v>79</v>
          </cell>
          <cell r="FW39">
            <v>0</v>
          </cell>
          <cell r="FX39">
            <v>85</v>
          </cell>
          <cell r="FY39" t="str">
            <v>2nd</v>
          </cell>
          <cell r="FZ39">
            <v>85</v>
          </cell>
          <cell r="GA39">
            <v>0</v>
          </cell>
          <cell r="GB39">
            <v>95</v>
          </cell>
          <cell r="GC39" t="str">
            <v>31st</v>
          </cell>
          <cell r="GD39">
            <v>62</v>
          </cell>
          <cell r="GE39">
            <v>24</v>
          </cell>
          <cell r="GF39">
            <v>71</v>
          </cell>
          <cell r="GG39" t="str">
            <v>9th</v>
          </cell>
        </row>
        <row r="40">
          <cell r="A40" t="str">
            <v>BDS/22/062</v>
          </cell>
          <cell r="B40" t="str">
            <v>UGORJI DEBORAH</v>
          </cell>
          <cell r="C40" t="str">
            <v>FEMALE</v>
          </cell>
          <cell r="D40">
            <v>0</v>
          </cell>
          <cell r="E40">
            <v>0</v>
          </cell>
          <cell r="F40">
            <v>15</v>
          </cell>
          <cell r="G40">
            <v>15</v>
          </cell>
          <cell r="H40">
            <v>52</v>
          </cell>
          <cell r="I40">
            <v>82</v>
          </cell>
          <cell r="J40">
            <v>82</v>
          </cell>
          <cell r="K40" t="str">
            <v>A</v>
          </cell>
          <cell r="L40">
            <v>20</v>
          </cell>
          <cell r="M40">
            <v>15</v>
          </cell>
          <cell r="N40">
            <v>55</v>
          </cell>
          <cell r="O40">
            <v>90</v>
          </cell>
          <cell r="P40">
            <v>90</v>
          </cell>
          <cell r="Q40" t="str">
            <v>A</v>
          </cell>
          <cell r="R40">
            <v>10</v>
          </cell>
          <cell r="S40">
            <v>20</v>
          </cell>
          <cell r="T40">
            <v>31</v>
          </cell>
          <cell r="U40">
            <v>61</v>
          </cell>
          <cell r="V40">
            <v>61</v>
          </cell>
          <cell r="W40" t="str">
            <v>B2</v>
          </cell>
          <cell r="X40">
            <v>18</v>
          </cell>
          <cell r="Y40">
            <v>18</v>
          </cell>
          <cell r="Z40">
            <v>29</v>
          </cell>
          <cell r="AA40">
            <v>65</v>
          </cell>
          <cell r="AB40">
            <v>65</v>
          </cell>
          <cell r="AC40" t="str">
            <v>B2</v>
          </cell>
          <cell r="AD40">
            <v>10</v>
          </cell>
          <cell r="AE40">
            <v>5</v>
          </cell>
          <cell r="AF40">
            <v>30</v>
          </cell>
          <cell r="AG40">
            <v>45</v>
          </cell>
          <cell r="AH40">
            <v>45</v>
          </cell>
          <cell r="AI40" t="str">
            <v>D</v>
          </cell>
          <cell r="AJ40">
            <v>18</v>
          </cell>
          <cell r="AK40">
            <v>18</v>
          </cell>
          <cell r="AL40">
            <v>32</v>
          </cell>
          <cell r="AM40">
            <v>68</v>
          </cell>
          <cell r="AN40">
            <v>68</v>
          </cell>
          <cell r="AO40" t="str">
            <v>B2</v>
          </cell>
          <cell r="AP40">
            <v>18</v>
          </cell>
          <cell r="AQ40">
            <v>10</v>
          </cell>
          <cell r="AR40">
            <v>56</v>
          </cell>
          <cell r="AS40">
            <v>84</v>
          </cell>
          <cell r="AT40">
            <v>84</v>
          </cell>
          <cell r="AU40" t="str">
            <v>A</v>
          </cell>
          <cell r="AV40">
            <v>20</v>
          </cell>
          <cell r="AW40">
            <v>20</v>
          </cell>
          <cell r="AX40">
            <v>31</v>
          </cell>
          <cell r="AY40">
            <v>71</v>
          </cell>
          <cell r="AZ40">
            <v>71</v>
          </cell>
          <cell r="BA40" t="str">
            <v>B1</v>
          </cell>
          <cell r="BB40">
            <v>10</v>
          </cell>
          <cell r="BC40">
            <v>10</v>
          </cell>
          <cell r="BD40">
            <v>20</v>
          </cell>
          <cell r="BE40">
            <v>40</v>
          </cell>
          <cell r="BF40">
            <v>40</v>
          </cell>
          <cell r="BG40" t="str">
            <v>E8</v>
          </cell>
          <cell r="BH40">
            <v>10</v>
          </cell>
          <cell r="BI40">
            <v>7</v>
          </cell>
          <cell r="BJ40">
            <v>43</v>
          </cell>
          <cell r="BK40">
            <v>60</v>
          </cell>
          <cell r="BL40">
            <v>60</v>
          </cell>
          <cell r="BM40" t="str">
            <v>C4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 t="str">
            <v>F9</v>
          </cell>
          <cell r="BT40">
            <v>18</v>
          </cell>
          <cell r="BU40">
            <v>14</v>
          </cell>
          <cell r="BV40">
            <v>25</v>
          </cell>
          <cell r="BW40">
            <v>57</v>
          </cell>
          <cell r="BX40">
            <v>56.999999999999993</v>
          </cell>
          <cell r="BY40" t="str">
            <v>C4</v>
          </cell>
          <cell r="BZ40">
            <v>15</v>
          </cell>
          <cell r="CA40">
            <v>20</v>
          </cell>
          <cell r="CB40">
            <v>50</v>
          </cell>
          <cell r="CC40">
            <v>85</v>
          </cell>
          <cell r="CD40">
            <v>85</v>
          </cell>
          <cell r="CE40" t="str">
            <v>A</v>
          </cell>
          <cell r="CF40">
            <v>10</v>
          </cell>
          <cell r="CG40">
            <v>8</v>
          </cell>
          <cell r="CH40">
            <v>48</v>
          </cell>
          <cell r="CI40">
            <v>66</v>
          </cell>
          <cell r="CJ40">
            <v>66</v>
          </cell>
          <cell r="CK40" t="str">
            <v>B2</v>
          </cell>
          <cell r="CL40">
            <v>20</v>
          </cell>
          <cell r="CM40">
            <v>15</v>
          </cell>
          <cell r="CN40">
            <v>38</v>
          </cell>
          <cell r="CO40">
            <v>73</v>
          </cell>
          <cell r="CP40">
            <v>73</v>
          </cell>
          <cell r="CQ40" t="str">
            <v>B1</v>
          </cell>
          <cell r="CR40">
            <v>13</v>
          </cell>
          <cell r="CS40">
            <v>20</v>
          </cell>
          <cell r="CT40">
            <v>27</v>
          </cell>
          <cell r="CU40">
            <v>60</v>
          </cell>
          <cell r="CV40">
            <v>60</v>
          </cell>
          <cell r="CW40" t="str">
            <v>C4</v>
          </cell>
          <cell r="CX40">
            <v>20</v>
          </cell>
          <cell r="CY40">
            <v>20</v>
          </cell>
          <cell r="CZ40">
            <v>50</v>
          </cell>
          <cell r="DA40">
            <v>90</v>
          </cell>
          <cell r="DB40">
            <v>90</v>
          </cell>
          <cell r="DC40" t="str">
            <v>A</v>
          </cell>
          <cell r="DD40">
            <v>18</v>
          </cell>
          <cell r="DE40">
            <v>17</v>
          </cell>
          <cell r="DF40">
            <v>20</v>
          </cell>
          <cell r="DG40">
            <v>55</v>
          </cell>
          <cell r="DH40">
            <v>55.000000000000007</v>
          </cell>
          <cell r="DI40" t="str">
            <v>C4</v>
          </cell>
          <cell r="DJ40">
            <v>1152</v>
          </cell>
          <cell r="DK40">
            <v>1152</v>
          </cell>
          <cell r="DL40">
            <v>0.67764705882352938</v>
          </cell>
          <cell r="DM40" t="str">
            <v>14th</v>
          </cell>
          <cell r="DN40">
            <v>82</v>
          </cell>
          <cell r="DO40">
            <v>26</v>
          </cell>
          <cell r="DP40">
            <v>96</v>
          </cell>
          <cell r="DQ40" t="str">
            <v>19th</v>
          </cell>
          <cell r="DR40">
            <v>90</v>
          </cell>
          <cell r="DS40">
            <v>0</v>
          </cell>
          <cell r="DT40">
            <v>90</v>
          </cell>
          <cell r="DU40" t="str">
            <v>1st</v>
          </cell>
          <cell r="DV40">
            <v>61</v>
          </cell>
          <cell r="DW40">
            <v>0</v>
          </cell>
          <cell r="DX40">
            <v>78</v>
          </cell>
          <cell r="DY40" t="str">
            <v>14th</v>
          </cell>
          <cell r="DZ40">
            <v>65</v>
          </cell>
          <cell r="EA40">
            <v>10</v>
          </cell>
          <cell r="EB40">
            <v>93</v>
          </cell>
          <cell r="EC40" t="str">
            <v>14th</v>
          </cell>
          <cell r="ED40">
            <v>45</v>
          </cell>
          <cell r="EE40">
            <v>0</v>
          </cell>
          <cell r="EF40">
            <v>78</v>
          </cell>
          <cell r="EG40" t="str">
            <v>32nd</v>
          </cell>
          <cell r="EH40">
            <v>68</v>
          </cell>
          <cell r="EI40">
            <v>36</v>
          </cell>
          <cell r="EJ40">
            <v>85</v>
          </cell>
          <cell r="EK40" t="str">
            <v>23rd</v>
          </cell>
          <cell r="EL40">
            <v>84</v>
          </cell>
          <cell r="EM40">
            <v>0</v>
          </cell>
          <cell r="EN40">
            <v>87</v>
          </cell>
          <cell r="EO40" t="str">
            <v>6th</v>
          </cell>
          <cell r="EP40">
            <v>71</v>
          </cell>
          <cell r="EQ40">
            <v>0</v>
          </cell>
          <cell r="ER40">
            <v>100</v>
          </cell>
          <cell r="ES40" t="str">
            <v>24th</v>
          </cell>
          <cell r="ET40">
            <v>40</v>
          </cell>
          <cell r="EU40">
            <v>5</v>
          </cell>
          <cell r="EV40">
            <v>70</v>
          </cell>
          <cell r="EW40" t="str">
            <v>24th</v>
          </cell>
          <cell r="EX40">
            <v>60</v>
          </cell>
          <cell r="EY40">
            <v>0</v>
          </cell>
          <cell r="EZ40">
            <v>86</v>
          </cell>
          <cell r="FA40" t="str">
            <v>26th</v>
          </cell>
          <cell r="FB40">
            <v>0</v>
          </cell>
          <cell r="FC40">
            <v>0</v>
          </cell>
          <cell r="FD40">
            <v>0</v>
          </cell>
          <cell r="FE40" t="str">
            <v>1st</v>
          </cell>
          <cell r="FF40">
            <v>57</v>
          </cell>
          <cell r="FG40">
            <v>19</v>
          </cell>
          <cell r="FH40">
            <v>81</v>
          </cell>
          <cell r="FI40" t="str">
            <v>14th</v>
          </cell>
          <cell r="FJ40">
            <v>85</v>
          </cell>
          <cell r="FK40">
            <v>0</v>
          </cell>
          <cell r="FL40">
            <v>95</v>
          </cell>
          <cell r="FM40" t="str">
            <v>21st</v>
          </cell>
          <cell r="FN40">
            <v>66</v>
          </cell>
          <cell r="FO40">
            <v>0</v>
          </cell>
          <cell r="FP40">
            <v>84</v>
          </cell>
          <cell r="FQ40" t="str">
            <v>20th</v>
          </cell>
          <cell r="FR40">
            <v>73</v>
          </cell>
          <cell r="FS40">
            <v>0</v>
          </cell>
          <cell r="FT40">
            <v>82</v>
          </cell>
          <cell r="FU40" t="str">
            <v>3rd</v>
          </cell>
          <cell r="FV40">
            <v>60</v>
          </cell>
          <cell r="FW40">
            <v>0</v>
          </cell>
          <cell r="FX40">
            <v>85</v>
          </cell>
          <cell r="FY40" t="str">
            <v>20th</v>
          </cell>
          <cell r="FZ40">
            <v>90</v>
          </cell>
          <cell r="GA40">
            <v>0</v>
          </cell>
          <cell r="GB40">
            <v>95</v>
          </cell>
          <cell r="GC40" t="str">
            <v>7th</v>
          </cell>
          <cell r="GD40">
            <v>55</v>
          </cell>
          <cell r="GE40">
            <v>24</v>
          </cell>
          <cell r="GF40">
            <v>71</v>
          </cell>
          <cell r="GG40" t="str">
            <v>18th</v>
          </cell>
        </row>
        <row r="41">
          <cell r="A41" t="str">
            <v>BDS/22/063</v>
          </cell>
          <cell r="B41" t="str">
            <v>EKEMEZIE KAMSI</v>
          </cell>
          <cell r="C41" t="str">
            <v>FEMALE</v>
          </cell>
          <cell r="D41">
            <v>0</v>
          </cell>
          <cell r="E41">
            <v>0</v>
          </cell>
          <cell r="F41">
            <v>13</v>
          </cell>
          <cell r="G41">
            <v>10</v>
          </cell>
          <cell r="H41">
            <v>46</v>
          </cell>
          <cell r="I41">
            <v>69</v>
          </cell>
          <cell r="J41">
            <v>69</v>
          </cell>
          <cell r="K41" t="str">
            <v>B2</v>
          </cell>
          <cell r="L41">
            <v>19</v>
          </cell>
          <cell r="M41">
            <v>15</v>
          </cell>
          <cell r="N41">
            <v>38</v>
          </cell>
          <cell r="O41">
            <v>72</v>
          </cell>
          <cell r="P41">
            <v>72</v>
          </cell>
          <cell r="Q41" t="str">
            <v>B1</v>
          </cell>
          <cell r="R41">
            <v>10</v>
          </cell>
          <cell r="S41">
            <v>20</v>
          </cell>
          <cell r="T41">
            <v>9</v>
          </cell>
          <cell r="U41">
            <v>39</v>
          </cell>
          <cell r="V41">
            <v>39</v>
          </cell>
          <cell r="W41" t="str">
            <v>E8</v>
          </cell>
          <cell r="X41">
            <v>10</v>
          </cell>
          <cell r="Y41">
            <v>10</v>
          </cell>
          <cell r="Z41">
            <v>22</v>
          </cell>
          <cell r="AA41">
            <v>42</v>
          </cell>
          <cell r="AB41">
            <v>42</v>
          </cell>
          <cell r="AC41" t="str">
            <v>D</v>
          </cell>
          <cell r="AD41">
            <v>15</v>
          </cell>
          <cell r="AE41">
            <v>15</v>
          </cell>
          <cell r="AF41">
            <v>21</v>
          </cell>
          <cell r="AG41">
            <v>51</v>
          </cell>
          <cell r="AH41">
            <v>51</v>
          </cell>
          <cell r="AI41" t="str">
            <v>C4</v>
          </cell>
          <cell r="AJ41">
            <v>20</v>
          </cell>
          <cell r="AK41">
            <v>20</v>
          </cell>
          <cell r="AL41">
            <v>16</v>
          </cell>
          <cell r="AM41">
            <v>56</v>
          </cell>
          <cell r="AN41">
            <v>56.000000000000007</v>
          </cell>
          <cell r="AO41" t="str">
            <v>C4</v>
          </cell>
          <cell r="AP41">
            <v>18</v>
          </cell>
          <cell r="AQ41">
            <v>10</v>
          </cell>
          <cell r="AR41">
            <v>37</v>
          </cell>
          <cell r="AS41">
            <v>65</v>
          </cell>
          <cell r="AT41">
            <v>65</v>
          </cell>
          <cell r="AU41" t="str">
            <v>B2</v>
          </cell>
          <cell r="AV41">
            <v>15</v>
          </cell>
          <cell r="AW41">
            <v>15</v>
          </cell>
          <cell r="AX41">
            <v>30</v>
          </cell>
          <cell r="AY41">
            <v>60</v>
          </cell>
          <cell r="AZ41">
            <v>60</v>
          </cell>
          <cell r="BA41" t="str">
            <v>C4</v>
          </cell>
          <cell r="BB41">
            <v>20</v>
          </cell>
          <cell r="BC41">
            <v>9</v>
          </cell>
          <cell r="BD41">
            <v>15</v>
          </cell>
          <cell r="BE41">
            <v>44</v>
          </cell>
          <cell r="BF41">
            <v>44</v>
          </cell>
          <cell r="BG41" t="str">
            <v>D</v>
          </cell>
          <cell r="BH41">
            <v>17</v>
          </cell>
          <cell r="BI41">
            <v>10</v>
          </cell>
          <cell r="BJ41">
            <v>36</v>
          </cell>
          <cell r="BK41">
            <v>63</v>
          </cell>
          <cell r="BL41">
            <v>63</v>
          </cell>
          <cell r="BM41" t="str">
            <v>B2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 t="str">
            <v>F9</v>
          </cell>
          <cell r="BT41">
            <v>18</v>
          </cell>
          <cell r="BU41">
            <v>14</v>
          </cell>
          <cell r="BV41">
            <v>27</v>
          </cell>
          <cell r="BW41">
            <v>59</v>
          </cell>
          <cell r="BX41">
            <v>59</v>
          </cell>
          <cell r="BY41" t="str">
            <v>C4</v>
          </cell>
          <cell r="BZ41">
            <v>15</v>
          </cell>
          <cell r="CA41">
            <v>20</v>
          </cell>
          <cell r="CB41">
            <v>50</v>
          </cell>
          <cell r="CC41">
            <v>85</v>
          </cell>
          <cell r="CD41">
            <v>85</v>
          </cell>
          <cell r="CE41" t="str">
            <v>A</v>
          </cell>
          <cell r="CF41">
            <v>10</v>
          </cell>
          <cell r="CG41">
            <v>7</v>
          </cell>
          <cell r="CH41">
            <v>35</v>
          </cell>
          <cell r="CI41">
            <v>52</v>
          </cell>
          <cell r="CJ41">
            <v>52</v>
          </cell>
          <cell r="CK41" t="str">
            <v>C4</v>
          </cell>
          <cell r="CL41">
            <v>20</v>
          </cell>
          <cell r="CM41">
            <v>15</v>
          </cell>
          <cell r="CN41">
            <v>23</v>
          </cell>
          <cell r="CO41">
            <v>58</v>
          </cell>
          <cell r="CP41">
            <v>57.999999999999993</v>
          </cell>
          <cell r="CQ41" t="str">
            <v>C4</v>
          </cell>
          <cell r="CR41">
            <v>17</v>
          </cell>
          <cell r="CS41">
            <v>20</v>
          </cell>
          <cell r="CT41">
            <v>32</v>
          </cell>
          <cell r="CU41">
            <v>69</v>
          </cell>
          <cell r="CV41">
            <v>69</v>
          </cell>
          <cell r="CW41" t="str">
            <v>B2</v>
          </cell>
          <cell r="CX41">
            <v>20</v>
          </cell>
          <cell r="CY41">
            <v>20</v>
          </cell>
          <cell r="CZ41">
            <v>50</v>
          </cell>
          <cell r="DA41">
            <v>90</v>
          </cell>
          <cell r="DB41">
            <v>90</v>
          </cell>
          <cell r="DC41" t="str">
            <v>A</v>
          </cell>
          <cell r="DD41">
            <v>7</v>
          </cell>
          <cell r="DE41">
            <v>7</v>
          </cell>
          <cell r="DF41">
            <v>20</v>
          </cell>
          <cell r="DG41">
            <v>34</v>
          </cell>
          <cell r="DH41">
            <v>34</v>
          </cell>
          <cell r="DI41" t="str">
            <v>F9</v>
          </cell>
          <cell r="DJ41">
            <v>1008</v>
          </cell>
          <cell r="DK41">
            <v>1008</v>
          </cell>
          <cell r="DL41">
            <v>0.5929411764705883</v>
          </cell>
          <cell r="DM41" t="str">
            <v>31st</v>
          </cell>
          <cell r="DN41">
            <v>69</v>
          </cell>
          <cell r="DO41">
            <v>26</v>
          </cell>
          <cell r="DP41">
            <v>96</v>
          </cell>
          <cell r="DQ41" t="str">
            <v>33rd</v>
          </cell>
          <cell r="DR41">
            <v>72</v>
          </cell>
          <cell r="DS41">
            <v>0</v>
          </cell>
          <cell r="DT41">
            <v>90</v>
          </cell>
          <cell r="DU41" t="str">
            <v>5th</v>
          </cell>
          <cell r="DV41">
            <v>39</v>
          </cell>
          <cell r="DW41">
            <v>0</v>
          </cell>
          <cell r="DX41">
            <v>78</v>
          </cell>
          <cell r="DY41" t="str">
            <v>40th</v>
          </cell>
          <cell r="DZ41">
            <v>42</v>
          </cell>
          <cell r="EA41">
            <v>10</v>
          </cell>
          <cell r="EB41">
            <v>93</v>
          </cell>
          <cell r="EC41" t="str">
            <v>35th</v>
          </cell>
          <cell r="ED41">
            <v>51</v>
          </cell>
          <cell r="EE41">
            <v>0</v>
          </cell>
          <cell r="EF41">
            <v>78</v>
          </cell>
          <cell r="EG41" t="str">
            <v>22nd</v>
          </cell>
          <cell r="EH41">
            <v>56</v>
          </cell>
          <cell r="EI41">
            <v>36</v>
          </cell>
          <cell r="EJ41">
            <v>85</v>
          </cell>
          <cell r="EK41" t="str">
            <v>39th</v>
          </cell>
          <cell r="EL41">
            <v>65</v>
          </cell>
          <cell r="EM41">
            <v>0</v>
          </cell>
          <cell r="EN41">
            <v>87</v>
          </cell>
          <cell r="EO41" t="str">
            <v>37th</v>
          </cell>
          <cell r="EP41">
            <v>60</v>
          </cell>
          <cell r="EQ41">
            <v>0</v>
          </cell>
          <cell r="ER41">
            <v>100</v>
          </cell>
          <cell r="ES41" t="str">
            <v>32nd</v>
          </cell>
          <cell r="ET41">
            <v>44</v>
          </cell>
          <cell r="EU41">
            <v>5</v>
          </cell>
          <cell r="EV41">
            <v>70</v>
          </cell>
          <cell r="EW41" t="str">
            <v>15th</v>
          </cell>
          <cell r="EX41">
            <v>63</v>
          </cell>
          <cell r="EY41">
            <v>0</v>
          </cell>
          <cell r="EZ41">
            <v>86</v>
          </cell>
          <cell r="FA41" t="str">
            <v>25th</v>
          </cell>
          <cell r="FB41">
            <v>0</v>
          </cell>
          <cell r="FC41">
            <v>0</v>
          </cell>
          <cell r="FD41">
            <v>0</v>
          </cell>
          <cell r="FE41" t="str">
            <v>1st</v>
          </cell>
          <cell r="FF41">
            <v>59</v>
          </cell>
          <cell r="FG41">
            <v>19</v>
          </cell>
          <cell r="FH41">
            <v>81</v>
          </cell>
          <cell r="FI41" t="str">
            <v>11th</v>
          </cell>
          <cell r="FJ41">
            <v>85</v>
          </cell>
          <cell r="FK41">
            <v>0</v>
          </cell>
          <cell r="FL41">
            <v>95</v>
          </cell>
          <cell r="FM41" t="str">
            <v>21st</v>
          </cell>
          <cell r="FN41">
            <v>52</v>
          </cell>
          <cell r="FO41">
            <v>0</v>
          </cell>
          <cell r="FP41">
            <v>84</v>
          </cell>
          <cell r="FQ41" t="str">
            <v>33rd</v>
          </cell>
          <cell r="FR41">
            <v>58</v>
          </cell>
          <cell r="FS41">
            <v>0</v>
          </cell>
          <cell r="FT41">
            <v>82</v>
          </cell>
          <cell r="FU41" t="str">
            <v>17th</v>
          </cell>
          <cell r="FV41">
            <v>69</v>
          </cell>
          <cell r="FW41">
            <v>0</v>
          </cell>
          <cell r="FX41">
            <v>85</v>
          </cell>
          <cell r="FY41" t="str">
            <v>12th</v>
          </cell>
          <cell r="FZ41">
            <v>90</v>
          </cell>
          <cell r="GA41">
            <v>0</v>
          </cell>
          <cell r="GB41">
            <v>95</v>
          </cell>
          <cell r="GC41" t="str">
            <v>7th</v>
          </cell>
          <cell r="GD41">
            <v>34</v>
          </cell>
          <cell r="GE41">
            <v>24</v>
          </cell>
          <cell r="GF41">
            <v>71</v>
          </cell>
          <cell r="GG41" t="str">
            <v>44th</v>
          </cell>
        </row>
        <row r="42">
          <cell r="A42" t="str">
            <v>BDS/22/064</v>
          </cell>
          <cell r="B42" t="str">
            <v>AKANDU CHISOM ADA</v>
          </cell>
          <cell r="C42" t="str">
            <v>FEMALE</v>
          </cell>
          <cell r="D42">
            <v>0</v>
          </cell>
          <cell r="E42">
            <v>0</v>
          </cell>
          <cell r="F42">
            <v>16</v>
          </cell>
          <cell r="G42">
            <v>20</v>
          </cell>
          <cell r="H42">
            <v>47</v>
          </cell>
          <cell r="I42">
            <v>83</v>
          </cell>
          <cell r="J42">
            <v>83</v>
          </cell>
          <cell r="K42" t="str">
            <v>A</v>
          </cell>
          <cell r="L42">
            <v>20</v>
          </cell>
          <cell r="M42">
            <v>15</v>
          </cell>
          <cell r="N42">
            <v>8</v>
          </cell>
          <cell r="O42">
            <v>43</v>
          </cell>
          <cell r="P42">
            <v>43</v>
          </cell>
          <cell r="Q42" t="str">
            <v>D</v>
          </cell>
          <cell r="R42">
            <v>10</v>
          </cell>
          <cell r="S42">
            <v>20</v>
          </cell>
          <cell r="T42">
            <v>19</v>
          </cell>
          <cell r="U42">
            <v>49</v>
          </cell>
          <cell r="V42">
            <v>49</v>
          </cell>
          <cell r="W42" t="str">
            <v>C5</v>
          </cell>
          <cell r="X42">
            <v>12</v>
          </cell>
          <cell r="Y42">
            <v>12</v>
          </cell>
          <cell r="Z42">
            <v>14</v>
          </cell>
          <cell r="AA42">
            <v>38</v>
          </cell>
          <cell r="AB42">
            <v>38</v>
          </cell>
          <cell r="AC42" t="str">
            <v>E8</v>
          </cell>
          <cell r="AD42">
            <v>10</v>
          </cell>
          <cell r="AE42">
            <v>8</v>
          </cell>
          <cell r="AF42">
            <v>18</v>
          </cell>
          <cell r="AG42">
            <v>36</v>
          </cell>
          <cell r="AH42">
            <v>36</v>
          </cell>
          <cell r="AI42" t="str">
            <v>E8</v>
          </cell>
          <cell r="AJ42">
            <v>18</v>
          </cell>
          <cell r="AK42">
            <v>18</v>
          </cell>
          <cell r="AL42">
            <v>9</v>
          </cell>
          <cell r="AM42">
            <v>45</v>
          </cell>
          <cell r="AN42">
            <v>45</v>
          </cell>
          <cell r="AO42" t="str">
            <v>D</v>
          </cell>
          <cell r="AP42">
            <v>15</v>
          </cell>
          <cell r="AQ42">
            <v>10</v>
          </cell>
          <cell r="AR42">
            <v>48</v>
          </cell>
          <cell r="AS42">
            <v>73</v>
          </cell>
          <cell r="AT42">
            <v>73</v>
          </cell>
          <cell r="AU42" t="str">
            <v>B1</v>
          </cell>
          <cell r="AV42">
            <v>10</v>
          </cell>
          <cell r="AW42">
            <v>5</v>
          </cell>
          <cell r="AX42">
            <v>14</v>
          </cell>
          <cell r="AY42">
            <v>29</v>
          </cell>
          <cell r="AZ42">
            <v>28.999999999999996</v>
          </cell>
          <cell r="BA42" t="str">
            <v>F9</v>
          </cell>
          <cell r="BB42">
            <v>10</v>
          </cell>
          <cell r="BC42">
            <v>8</v>
          </cell>
          <cell r="BD42">
            <v>13</v>
          </cell>
          <cell r="BE42">
            <v>31</v>
          </cell>
          <cell r="BF42">
            <v>31</v>
          </cell>
          <cell r="BG42" t="str">
            <v>F9</v>
          </cell>
          <cell r="BH42">
            <v>10</v>
          </cell>
          <cell r="BI42">
            <v>5</v>
          </cell>
          <cell r="BJ42">
            <v>44</v>
          </cell>
          <cell r="BK42">
            <v>59</v>
          </cell>
          <cell r="BL42">
            <v>59</v>
          </cell>
          <cell r="BM42" t="str">
            <v>C4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 t="str">
            <v>F9</v>
          </cell>
          <cell r="BT42">
            <v>18</v>
          </cell>
          <cell r="BU42">
            <v>8</v>
          </cell>
          <cell r="BV42">
            <v>25</v>
          </cell>
          <cell r="BW42">
            <v>51</v>
          </cell>
          <cell r="BX42">
            <v>51</v>
          </cell>
          <cell r="BY42" t="str">
            <v>C4</v>
          </cell>
          <cell r="BZ42">
            <v>20</v>
          </cell>
          <cell r="CA42">
            <v>20</v>
          </cell>
          <cell r="CB42">
            <v>50</v>
          </cell>
          <cell r="CC42">
            <v>90</v>
          </cell>
          <cell r="CD42">
            <v>90</v>
          </cell>
          <cell r="CE42" t="str">
            <v>A</v>
          </cell>
          <cell r="CF42">
            <v>10</v>
          </cell>
          <cell r="CG42">
            <v>10</v>
          </cell>
          <cell r="CH42">
            <v>44</v>
          </cell>
          <cell r="CI42">
            <v>64</v>
          </cell>
          <cell r="CJ42">
            <v>64</v>
          </cell>
          <cell r="CK42" t="str">
            <v>B2</v>
          </cell>
          <cell r="CL42">
            <v>20</v>
          </cell>
          <cell r="CM42">
            <v>10</v>
          </cell>
          <cell r="CN42">
            <v>28</v>
          </cell>
          <cell r="CO42">
            <v>58</v>
          </cell>
          <cell r="CP42">
            <v>57.999999999999993</v>
          </cell>
          <cell r="CQ42" t="str">
            <v>C4</v>
          </cell>
          <cell r="CR42">
            <v>4</v>
          </cell>
          <cell r="CS42">
            <v>20</v>
          </cell>
          <cell r="CT42">
            <v>22</v>
          </cell>
          <cell r="CU42">
            <v>46</v>
          </cell>
          <cell r="CV42">
            <v>46</v>
          </cell>
          <cell r="CW42" t="str">
            <v>C5</v>
          </cell>
          <cell r="CX42">
            <v>15</v>
          </cell>
          <cell r="CY42">
            <v>20</v>
          </cell>
          <cell r="CZ42">
            <v>50</v>
          </cell>
          <cell r="DA42">
            <v>85</v>
          </cell>
          <cell r="DB42">
            <v>85</v>
          </cell>
          <cell r="DC42" t="str">
            <v>A</v>
          </cell>
          <cell r="DD42">
            <v>13</v>
          </cell>
          <cell r="DE42">
            <v>17</v>
          </cell>
          <cell r="DF42">
            <v>20</v>
          </cell>
          <cell r="DG42">
            <v>50</v>
          </cell>
          <cell r="DH42">
            <v>50</v>
          </cell>
          <cell r="DI42" t="str">
            <v>C5</v>
          </cell>
          <cell r="DJ42">
            <v>930</v>
          </cell>
          <cell r="DK42">
            <v>930.00000000000011</v>
          </cell>
          <cell r="DL42">
            <v>0.54705882352941171</v>
          </cell>
          <cell r="DM42" t="str">
            <v>37th</v>
          </cell>
          <cell r="DN42">
            <v>83</v>
          </cell>
          <cell r="DO42">
            <v>26</v>
          </cell>
          <cell r="DP42">
            <v>96</v>
          </cell>
          <cell r="DQ42" t="str">
            <v>17th</v>
          </cell>
          <cell r="DR42">
            <v>43</v>
          </cell>
          <cell r="DS42">
            <v>0</v>
          </cell>
          <cell r="DT42">
            <v>90</v>
          </cell>
          <cell r="DU42" t="str">
            <v>41st</v>
          </cell>
          <cell r="DV42">
            <v>49</v>
          </cell>
          <cell r="DW42">
            <v>0</v>
          </cell>
          <cell r="DX42">
            <v>78</v>
          </cell>
          <cell r="DY42" t="str">
            <v>33rd</v>
          </cell>
          <cell r="DZ42">
            <v>38</v>
          </cell>
          <cell r="EA42">
            <v>10</v>
          </cell>
          <cell r="EB42">
            <v>93</v>
          </cell>
          <cell r="EC42" t="str">
            <v>37th</v>
          </cell>
          <cell r="ED42">
            <v>36</v>
          </cell>
          <cell r="EE42">
            <v>0</v>
          </cell>
          <cell r="EF42">
            <v>78</v>
          </cell>
          <cell r="EG42" t="str">
            <v>40th</v>
          </cell>
          <cell r="EH42">
            <v>45</v>
          </cell>
          <cell r="EI42">
            <v>36</v>
          </cell>
          <cell r="EJ42">
            <v>85</v>
          </cell>
          <cell r="EK42" t="str">
            <v>43rd</v>
          </cell>
          <cell r="EL42">
            <v>73</v>
          </cell>
          <cell r="EM42">
            <v>0</v>
          </cell>
          <cell r="EN42">
            <v>87</v>
          </cell>
          <cell r="EO42" t="str">
            <v>26th</v>
          </cell>
          <cell r="EP42">
            <v>29</v>
          </cell>
          <cell r="EQ42">
            <v>0</v>
          </cell>
          <cell r="ER42">
            <v>100</v>
          </cell>
          <cell r="ES42" t="str">
            <v>43rd</v>
          </cell>
          <cell r="ET42">
            <v>31</v>
          </cell>
          <cell r="EU42">
            <v>5</v>
          </cell>
          <cell r="EV42">
            <v>70</v>
          </cell>
          <cell r="EW42" t="str">
            <v>35th</v>
          </cell>
          <cell r="EX42">
            <v>59</v>
          </cell>
          <cell r="EY42">
            <v>0</v>
          </cell>
          <cell r="EZ42">
            <v>86</v>
          </cell>
          <cell r="FA42" t="str">
            <v>29th</v>
          </cell>
          <cell r="FB42">
            <v>0</v>
          </cell>
          <cell r="FC42">
            <v>0</v>
          </cell>
          <cell r="FD42">
            <v>0</v>
          </cell>
          <cell r="FE42" t="str">
            <v>1st</v>
          </cell>
          <cell r="FF42">
            <v>51</v>
          </cell>
          <cell r="FG42">
            <v>19</v>
          </cell>
          <cell r="FH42">
            <v>81</v>
          </cell>
          <cell r="FI42" t="str">
            <v>21st</v>
          </cell>
          <cell r="FJ42">
            <v>90</v>
          </cell>
          <cell r="FK42">
            <v>0</v>
          </cell>
          <cell r="FL42">
            <v>95</v>
          </cell>
          <cell r="FM42" t="str">
            <v>6th</v>
          </cell>
          <cell r="FN42">
            <v>64</v>
          </cell>
          <cell r="FO42">
            <v>0</v>
          </cell>
          <cell r="FP42">
            <v>84</v>
          </cell>
          <cell r="FQ42" t="str">
            <v>22nd</v>
          </cell>
          <cell r="FR42">
            <v>58</v>
          </cell>
          <cell r="FS42">
            <v>0</v>
          </cell>
          <cell r="FT42">
            <v>82</v>
          </cell>
          <cell r="FU42" t="str">
            <v>17th</v>
          </cell>
          <cell r="FV42">
            <v>46</v>
          </cell>
          <cell r="FW42">
            <v>0</v>
          </cell>
          <cell r="FX42">
            <v>85</v>
          </cell>
          <cell r="FY42" t="str">
            <v>36th</v>
          </cell>
          <cell r="FZ42">
            <v>85</v>
          </cell>
          <cell r="GA42">
            <v>0</v>
          </cell>
          <cell r="GB42">
            <v>95</v>
          </cell>
          <cell r="GC42" t="str">
            <v>31st</v>
          </cell>
          <cell r="GD42">
            <v>50</v>
          </cell>
          <cell r="GE42">
            <v>24</v>
          </cell>
          <cell r="GF42">
            <v>71</v>
          </cell>
          <cell r="GG42" t="str">
            <v>26th</v>
          </cell>
        </row>
        <row r="43">
          <cell r="A43" t="str">
            <v>BDS/22/065</v>
          </cell>
          <cell r="B43" t="str">
            <v>AHAMEFULA KING JUDE</v>
          </cell>
          <cell r="C43">
            <v>0</v>
          </cell>
          <cell r="D43">
            <v>0</v>
          </cell>
          <cell r="E43">
            <v>0</v>
          </cell>
          <cell r="F43">
            <v>15</v>
          </cell>
          <cell r="G43">
            <v>20</v>
          </cell>
          <cell r="H43">
            <v>54</v>
          </cell>
          <cell r="I43">
            <v>89</v>
          </cell>
          <cell r="J43">
            <v>89</v>
          </cell>
          <cell r="K43" t="str">
            <v>A</v>
          </cell>
          <cell r="L43">
            <v>20</v>
          </cell>
          <cell r="M43">
            <v>15</v>
          </cell>
          <cell r="N43">
            <v>19</v>
          </cell>
          <cell r="O43">
            <v>54</v>
          </cell>
          <cell r="P43">
            <v>54</v>
          </cell>
          <cell r="Q43" t="str">
            <v>C4</v>
          </cell>
          <cell r="R43">
            <v>8</v>
          </cell>
          <cell r="S43">
            <v>20</v>
          </cell>
          <cell r="T43">
            <v>22</v>
          </cell>
          <cell r="U43">
            <v>50</v>
          </cell>
          <cell r="V43">
            <v>50</v>
          </cell>
          <cell r="W43" t="str">
            <v>C5</v>
          </cell>
          <cell r="X43">
            <v>16</v>
          </cell>
          <cell r="Y43">
            <v>16</v>
          </cell>
          <cell r="Z43">
            <v>37</v>
          </cell>
          <cell r="AA43">
            <v>69</v>
          </cell>
          <cell r="AB43">
            <v>69</v>
          </cell>
          <cell r="AC43" t="str">
            <v>B2</v>
          </cell>
          <cell r="AD43">
            <v>10</v>
          </cell>
          <cell r="AE43">
            <v>10</v>
          </cell>
          <cell r="AF43">
            <v>30</v>
          </cell>
          <cell r="AG43">
            <v>50</v>
          </cell>
          <cell r="AH43">
            <v>50</v>
          </cell>
          <cell r="AI43" t="str">
            <v>C5</v>
          </cell>
          <cell r="AJ43">
            <v>18</v>
          </cell>
          <cell r="AK43">
            <v>18</v>
          </cell>
          <cell r="AL43">
            <v>47</v>
          </cell>
          <cell r="AM43">
            <v>83</v>
          </cell>
          <cell r="AN43">
            <v>83</v>
          </cell>
          <cell r="AO43" t="str">
            <v>A</v>
          </cell>
          <cell r="AP43">
            <v>20</v>
          </cell>
          <cell r="AQ43">
            <v>10</v>
          </cell>
          <cell r="AR43">
            <v>57</v>
          </cell>
          <cell r="AS43">
            <v>87</v>
          </cell>
          <cell r="AT43">
            <v>87</v>
          </cell>
          <cell r="AU43" t="str">
            <v>A</v>
          </cell>
          <cell r="AV43">
            <v>15</v>
          </cell>
          <cell r="AW43">
            <v>20</v>
          </cell>
          <cell r="AX43">
            <v>40</v>
          </cell>
          <cell r="AY43">
            <v>75</v>
          </cell>
          <cell r="AZ43">
            <v>75</v>
          </cell>
          <cell r="BA43" t="str">
            <v>B1</v>
          </cell>
          <cell r="BB43">
            <v>5</v>
          </cell>
          <cell r="BC43">
            <v>7</v>
          </cell>
          <cell r="BD43">
            <v>30</v>
          </cell>
          <cell r="BE43">
            <v>42</v>
          </cell>
          <cell r="BF43">
            <v>42</v>
          </cell>
          <cell r="BG43" t="str">
            <v>D</v>
          </cell>
          <cell r="BH43">
            <v>16</v>
          </cell>
          <cell r="BI43">
            <v>10</v>
          </cell>
          <cell r="BJ43">
            <v>52</v>
          </cell>
          <cell r="BK43">
            <v>78</v>
          </cell>
          <cell r="BL43">
            <v>78</v>
          </cell>
          <cell r="BM43" t="str">
            <v>B1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 t="str">
            <v>F9</v>
          </cell>
          <cell r="BT43">
            <v>5</v>
          </cell>
          <cell r="BU43">
            <v>14</v>
          </cell>
          <cell r="BV43">
            <v>31</v>
          </cell>
          <cell r="BW43">
            <v>50</v>
          </cell>
          <cell r="BX43">
            <v>50</v>
          </cell>
          <cell r="BY43" t="str">
            <v>C5</v>
          </cell>
          <cell r="BZ43">
            <v>20</v>
          </cell>
          <cell r="CA43">
            <v>20</v>
          </cell>
          <cell r="CB43">
            <v>50</v>
          </cell>
          <cell r="CC43">
            <v>90</v>
          </cell>
          <cell r="CD43">
            <v>90</v>
          </cell>
          <cell r="CE43" t="str">
            <v>A</v>
          </cell>
          <cell r="CF43">
            <v>18</v>
          </cell>
          <cell r="CG43">
            <v>10</v>
          </cell>
          <cell r="CH43">
            <v>49</v>
          </cell>
          <cell r="CI43">
            <v>77</v>
          </cell>
          <cell r="CJ43">
            <v>77</v>
          </cell>
          <cell r="CK43" t="str">
            <v>B1</v>
          </cell>
          <cell r="CL43">
            <v>20</v>
          </cell>
          <cell r="CM43">
            <v>17</v>
          </cell>
          <cell r="CN43">
            <v>40</v>
          </cell>
          <cell r="CO43">
            <v>77</v>
          </cell>
          <cell r="CP43">
            <v>77</v>
          </cell>
          <cell r="CQ43" t="str">
            <v>B1</v>
          </cell>
          <cell r="CR43">
            <v>12</v>
          </cell>
          <cell r="CS43">
            <v>20</v>
          </cell>
          <cell r="CT43">
            <v>41</v>
          </cell>
          <cell r="CU43">
            <v>73</v>
          </cell>
          <cell r="CV43">
            <v>73</v>
          </cell>
          <cell r="CW43" t="str">
            <v>B1</v>
          </cell>
          <cell r="CX43">
            <v>15</v>
          </cell>
          <cell r="CY43">
            <v>20</v>
          </cell>
          <cell r="CZ43">
            <v>55</v>
          </cell>
          <cell r="DA43">
            <v>90</v>
          </cell>
          <cell r="DB43">
            <v>90</v>
          </cell>
          <cell r="DC43" t="str">
            <v>A</v>
          </cell>
          <cell r="DD43">
            <v>11</v>
          </cell>
          <cell r="DE43">
            <v>17</v>
          </cell>
          <cell r="DF43">
            <v>22</v>
          </cell>
          <cell r="DG43">
            <v>50</v>
          </cell>
          <cell r="DH43">
            <v>50</v>
          </cell>
          <cell r="DI43" t="str">
            <v>C5</v>
          </cell>
          <cell r="DJ43">
            <v>1184</v>
          </cell>
          <cell r="DK43">
            <v>1184</v>
          </cell>
          <cell r="DL43">
            <v>0.69647058823529406</v>
          </cell>
          <cell r="DM43" t="str">
            <v>12th</v>
          </cell>
          <cell r="DN43">
            <v>89</v>
          </cell>
          <cell r="DO43">
            <v>26</v>
          </cell>
          <cell r="DP43">
            <v>96</v>
          </cell>
          <cell r="DQ43" t="str">
            <v>9th</v>
          </cell>
          <cell r="DR43">
            <v>54</v>
          </cell>
          <cell r="DS43">
            <v>0</v>
          </cell>
          <cell r="DT43">
            <v>90</v>
          </cell>
          <cell r="DU43" t="str">
            <v>31st</v>
          </cell>
          <cell r="DV43">
            <v>50</v>
          </cell>
          <cell r="DW43">
            <v>0</v>
          </cell>
          <cell r="DX43">
            <v>78</v>
          </cell>
          <cell r="DY43" t="str">
            <v>31st</v>
          </cell>
          <cell r="DZ43">
            <v>69</v>
          </cell>
          <cell r="EA43">
            <v>10</v>
          </cell>
          <cell r="EB43">
            <v>93</v>
          </cell>
          <cell r="EC43" t="str">
            <v>8th</v>
          </cell>
          <cell r="ED43">
            <v>50</v>
          </cell>
          <cell r="EE43">
            <v>0</v>
          </cell>
          <cell r="EF43">
            <v>78</v>
          </cell>
          <cell r="EG43" t="str">
            <v>24th</v>
          </cell>
          <cell r="EH43">
            <v>83</v>
          </cell>
          <cell r="EI43">
            <v>36</v>
          </cell>
          <cell r="EJ43">
            <v>85</v>
          </cell>
          <cell r="EK43" t="str">
            <v>2nd</v>
          </cell>
          <cell r="EL43">
            <v>87</v>
          </cell>
          <cell r="EM43">
            <v>0</v>
          </cell>
          <cell r="EN43">
            <v>87</v>
          </cell>
          <cell r="EO43" t="str">
            <v>1st</v>
          </cell>
          <cell r="EP43">
            <v>75</v>
          </cell>
          <cell r="EQ43">
            <v>0</v>
          </cell>
          <cell r="ER43">
            <v>100</v>
          </cell>
          <cell r="ES43" t="str">
            <v>19th</v>
          </cell>
          <cell r="ET43">
            <v>42</v>
          </cell>
          <cell r="EU43">
            <v>5</v>
          </cell>
          <cell r="EV43">
            <v>70</v>
          </cell>
          <cell r="EW43" t="str">
            <v>21st</v>
          </cell>
          <cell r="EX43">
            <v>78</v>
          </cell>
          <cell r="EY43">
            <v>0</v>
          </cell>
          <cell r="EZ43">
            <v>86</v>
          </cell>
          <cell r="FA43" t="str">
            <v>5th</v>
          </cell>
          <cell r="FB43">
            <v>0</v>
          </cell>
          <cell r="FC43">
            <v>0</v>
          </cell>
          <cell r="FD43">
            <v>0</v>
          </cell>
          <cell r="FE43" t="str">
            <v>1st</v>
          </cell>
          <cell r="FF43">
            <v>50</v>
          </cell>
          <cell r="FG43">
            <v>19</v>
          </cell>
          <cell r="FH43">
            <v>81</v>
          </cell>
          <cell r="FI43" t="str">
            <v>23rd</v>
          </cell>
          <cell r="FJ43">
            <v>90</v>
          </cell>
          <cell r="FK43">
            <v>0</v>
          </cell>
          <cell r="FL43">
            <v>95</v>
          </cell>
          <cell r="FM43" t="str">
            <v>6th</v>
          </cell>
          <cell r="FN43">
            <v>77</v>
          </cell>
          <cell r="FO43">
            <v>0</v>
          </cell>
          <cell r="FP43">
            <v>84</v>
          </cell>
          <cell r="FQ43" t="str">
            <v>5th</v>
          </cell>
          <cell r="FR43">
            <v>77</v>
          </cell>
          <cell r="FS43">
            <v>0</v>
          </cell>
          <cell r="FT43">
            <v>82</v>
          </cell>
          <cell r="FU43" t="str">
            <v>2nd</v>
          </cell>
          <cell r="FV43">
            <v>73</v>
          </cell>
          <cell r="FW43">
            <v>0</v>
          </cell>
          <cell r="FX43">
            <v>85</v>
          </cell>
          <cell r="FY43" t="str">
            <v>6th</v>
          </cell>
          <cell r="FZ43">
            <v>90</v>
          </cell>
          <cell r="GA43">
            <v>0</v>
          </cell>
          <cell r="GB43">
            <v>95</v>
          </cell>
          <cell r="GC43" t="str">
            <v>7th</v>
          </cell>
          <cell r="GD43">
            <v>50</v>
          </cell>
          <cell r="GE43">
            <v>24</v>
          </cell>
          <cell r="GF43">
            <v>71</v>
          </cell>
          <cell r="GG43" t="str">
            <v>26th</v>
          </cell>
        </row>
        <row r="44">
          <cell r="A44" t="str">
            <v>BDS/22/066</v>
          </cell>
          <cell r="B44" t="str">
            <v>ANOCHIE BLESSING</v>
          </cell>
          <cell r="C44">
            <v>0</v>
          </cell>
          <cell r="D44">
            <v>0</v>
          </cell>
          <cell r="E44">
            <v>0</v>
          </cell>
          <cell r="F44">
            <v>20</v>
          </cell>
          <cell r="G44">
            <v>20</v>
          </cell>
          <cell r="H44">
            <v>48</v>
          </cell>
          <cell r="I44">
            <v>88</v>
          </cell>
          <cell r="J44">
            <v>88</v>
          </cell>
          <cell r="K44" t="str">
            <v>A</v>
          </cell>
          <cell r="L44">
            <v>20</v>
          </cell>
          <cell r="M44">
            <v>15</v>
          </cell>
          <cell r="N44">
            <v>26</v>
          </cell>
          <cell r="O44">
            <v>61</v>
          </cell>
          <cell r="P44">
            <v>61</v>
          </cell>
          <cell r="Q44" t="str">
            <v>B2</v>
          </cell>
          <cell r="R44">
            <v>12</v>
          </cell>
          <cell r="S44">
            <v>20</v>
          </cell>
          <cell r="T44">
            <v>35</v>
          </cell>
          <cell r="U44">
            <v>67</v>
          </cell>
          <cell r="V44">
            <v>67</v>
          </cell>
          <cell r="W44" t="str">
            <v>B2</v>
          </cell>
          <cell r="X44">
            <v>15</v>
          </cell>
          <cell r="Y44">
            <v>15</v>
          </cell>
          <cell r="Z44">
            <v>34</v>
          </cell>
          <cell r="AA44">
            <v>64</v>
          </cell>
          <cell r="AB44">
            <v>64</v>
          </cell>
          <cell r="AC44" t="str">
            <v>B2</v>
          </cell>
          <cell r="AD44">
            <v>10</v>
          </cell>
          <cell r="AE44">
            <v>16</v>
          </cell>
          <cell r="AF44">
            <v>37</v>
          </cell>
          <cell r="AG44">
            <v>63</v>
          </cell>
          <cell r="AH44">
            <v>63</v>
          </cell>
          <cell r="AI44" t="str">
            <v>B2</v>
          </cell>
          <cell r="AJ44">
            <v>18</v>
          </cell>
          <cell r="AK44">
            <v>18</v>
          </cell>
          <cell r="AL44">
            <v>33</v>
          </cell>
          <cell r="AM44">
            <v>69</v>
          </cell>
          <cell r="AN44">
            <v>69</v>
          </cell>
          <cell r="AO44" t="str">
            <v>B2</v>
          </cell>
          <cell r="AP44">
            <v>20</v>
          </cell>
          <cell r="AQ44">
            <v>10</v>
          </cell>
          <cell r="AR44">
            <v>50</v>
          </cell>
          <cell r="AS44">
            <v>80</v>
          </cell>
          <cell r="AT44">
            <v>80</v>
          </cell>
          <cell r="AU44" t="str">
            <v>B1</v>
          </cell>
          <cell r="AV44">
            <v>16</v>
          </cell>
          <cell r="AW44">
            <v>10</v>
          </cell>
          <cell r="AX44">
            <v>54</v>
          </cell>
          <cell r="AY44">
            <v>80</v>
          </cell>
          <cell r="AZ44">
            <v>80</v>
          </cell>
          <cell r="BA44" t="str">
            <v>B1</v>
          </cell>
          <cell r="BB44">
            <v>10</v>
          </cell>
          <cell r="BC44">
            <v>8</v>
          </cell>
          <cell r="BD44">
            <v>25</v>
          </cell>
          <cell r="BE44">
            <v>43</v>
          </cell>
          <cell r="BF44">
            <v>43</v>
          </cell>
          <cell r="BG44" t="str">
            <v>D</v>
          </cell>
          <cell r="BH44">
            <v>18</v>
          </cell>
          <cell r="BI44">
            <v>10</v>
          </cell>
          <cell r="BJ44">
            <v>40</v>
          </cell>
          <cell r="BK44">
            <v>68</v>
          </cell>
          <cell r="BL44">
            <v>68</v>
          </cell>
          <cell r="BM44" t="str">
            <v>B2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 t="str">
            <v>F9</v>
          </cell>
          <cell r="BT44">
            <v>20</v>
          </cell>
          <cell r="BU44">
            <v>14</v>
          </cell>
          <cell r="BV44">
            <v>23</v>
          </cell>
          <cell r="BW44">
            <v>57</v>
          </cell>
          <cell r="BX44">
            <v>56.999999999999993</v>
          </cell>
          <cell r="BY44" t="str">
            <v>C4</v>
          </cell>
          <cell r="BZ44">
            <v>20</v>
          </cell>
          <cell r="CA44">
            <v>20</v>
          </cell>
          <cell r="CB44">
            <v>50</v>
          </cell>
          <cell r="CC44">
            <v>90</v>
          </cell>
          <cell r="CD44">
            <v>90</v>
          </cell>
          <cell r="CE44" t="str">
            <v>A</v>
          </cell>
          <cell r="CF44">
            <v>18</v>
          </cell>
          <cell r="CG44">
            <v>20</v>
          </cell>
          <cell r="CH44">
            <v>46</v>
          </cell>
          <cell r="CI44">
            <v>84</v>
          </cell>
          <cell r="CJ44">
            <v>84</v>
          </cell>
          <cell r="CK44" t="str">
            <v>A</v>
          </cell>
          <cell r="CL44">
            <v>20</v>
          </cell>
          <cell r="CM44">
            <v>8</v>
          </cell>
          <cell r="CN44">
            <v>42</v>
          </cell>
          <cell r="CO44">
            <v>70</v>
          </cell>
          <cell r="CP44">
            <v>70</v>
          </cell>
          <cell r="CQ44" t="str">
            <v>B2</v>
          </cell>
          <cell r="CR44">
            <v>0</v>
          </cell>
          <cell r="CS44">
            <v>20</v>
          </cell>
          <cell r="CT44">
            <v>33</v>
          </cell>
          <cell r="CU44">
            <v>53</v>
          </cell>
          <cell r="CV44">
            <v>53</v>
          </cell>
          <cell r="CW44" t="str">
            <v>C4</v>
          </cell>
          <cell r="CX44">
            <v>15</v>
          </cell>
          <cell r="CY44">
            <v>20</v>
          </cell>
          <cell r="CZ44">
            <v>50</v>
          </cell>
          <cell r="DA44">
            <v>85</v>
          </cell>
          <cell r="DB44">
            <v>85</v>
          </cell>
          <cell r="DC44" t="str">
            <v>A</v>
          </cell>
          <cell r="DD44">
            <v>13</v>
          </cell>
          <cell r="DE44">
            <v>17</v>
          </cell>
          <cell r="DF44">
            <v>21</v>
          </cell>
          <cell r="DG44">
            <v>51</v>
          </cell>
          <cell r="DH44">
            <v>51</v>
          </cell>
          <cell r="DI44" t="str">
            <v>C4</v>
          </cell>
          <cell r="DJ44">
            <v>1173</v>
          </cell>
          <cell r="DK44">
            <v>1173</v>
          </cell>
          <cell r="DL44">
            <v>0.69</v>
          </cell>
          <cell r="DM44" t="str">
            <v>13th</v>
          </cell>
          <cell r="DN44">
            <v>88</v>
          </cell>
          <cell r="DO44">
            <v>26</v>
          </cell>
          <cell r="DP44">
            <v>96</v>
          </cell>
          <cell r="DQ44" t="str">
            <v>10th</v>
          </cell>
          <cell r="DR44">
            <v>61</v>
          </cell>
          <cell r="DS44">
            <v>0</v>
          </cell>
          <cell r="DT44">
            <v>90</v>
          </cell>
          <cell r="DU44" t="str">
            <v>22nd</v>
          </cell>
          <cell r="DV44">
            <v>67</v>
          </cell>
          <cell r="DW44">
            <v>0</v>
          </cell>
          <cell r="DX44">
            <v>78</v>
          </cell>
          <cell r="DY44" t="str">
            <v>7th</v>
          </cell>
          <cell r="DZ44">
            <v>64</v>
          </cell>
          <cell r="EA44">
            <v>10</v>
          </cell>
          <cell r="EB44">
            <v>93</v>
          </cell>
          <cell r="EC44" t="str">
            <v>16th</v>
          </cell>
          <cell r="ED44">
            <v>63</v>
          </cell>
          <cell r="EE44">
            <v>0</v>
          </cell>
          <cell r="EF44">
            <v>78</v>
          </cell>
          <cell r="EG44" t="str">
            <v>13th</v>
          </cell>
          <cell r="EH44">
            <v>69</v>
          </cell>
          <cell r="EI44">
            <v>36</v>
          </cell>
          <cell r="EJ44">
            <v>85</v>
          </cell>
          <cell r="EK44" t="str">
            <v>18th</v>
          </cell>
          <cell r="EL44">
            <v>80</v>
          </cell>
          <cell r="EM44">
            <v>0</v>
          </cell>
          <cell r="EN44">
            <v>87</v>
          </cell>
          <cell r="EO44" t="str">
            <v>14th</v>
          </cell>
          <cell r="EP44">
            <v>80</v>
          </cell>
          <cell r="EQ44">
            <v>0</v>
          </cell>
          <cell r="ER44">
            <v>100</v>
          </cell>
          <cell r="ES44" t="str">
            <v>16th</v>
          </cell>
          <cell r="ET44">
            <v>43</v>
          </cell>
          <cell r="EU44">
            <v>5</v>
          </cell>
          <cell r="EV44">
            <v>70</v>
          </cell>
          <cell r="EW44" t="str">
            <v>18th</v>
          </cell>
          <cell r="EX44">
            <v>68</v>
          </cell>
          <cell r="EY44">
            <v>0</v>
          </cell>
          <cell r="EZ44">
            <v>86</v>
          </cell>
          <cell r="FA44" t="str">
            <v>17th</v>
          </cell>
          <cell r="FB44">
            <v>0</v>
          </cell>
          <cell r="FC44">
            <v>0</v>
          </cell>
          <cell r="FD44">
            <v>0</v>
          </cell>
          <cell r="FE44" t="str">
            <v>1st</v>
          </cell>
          <cell r="FF44">
            <v>57</v>
          </cell>
          <cell r="FG44">
            <v>19</v>
          </cell>
          <cell r="FH44">
            <v>81</v>
          </cell>
          <cell r="FI44" t="str">
            <v>14th</v>
          </cell>
          <cell r="FJ44">
            <v>90</v>
          </cell>
          <cell r="FK44">
            <v>0</v>
          </cell>
          <cell r="FL44">
            <v>95</v>
          </cell>
          <cell r="FM44" t="str">
            <v>6th</v>
          </cell>
          <cell r="FN44">
            <v>84</v>
          </cell>
          <cell r="FO44">
            <v>0</v>
          </cell>
          <cell r="FP44">
            <v>84</v>
          </cell>
          <cell r="FQ44" t="str">
            <v>1st</v>
          </cell>
          <cell r="FR44">
            <v>70</v>
          </cell>
          <cell r="FS44">
            <v>0</v>
          </cell>
          <cell r="FT44">
            <v>82</v>
          </cell>
          <cell r="FU44" t="str">
            <v>5th</v>
          </cell>
          <cell r="FV44">
            <v>53</v>
          </cell>
          <cell r="FW44">
            <v>0</v>
          </cell>
          <cell r="FX44">
            <v>85</v>
          </cell>
          <cell r="FY44" t="str">
            <v>24th</v>
          </cell>
          <cell r="FZ44">
            <v>85</v>
          </cell>
          <cell r="GA44">
            <v>0</v>
          </cell>
          <cell r="GB44">
            <v>95</v>
          </cell>
          <cell r="GC44" t="str">
            <v>31st</v>
          </cell>
          <cell r="GD44">
            <v>51</v>
          </cell>
          <cell r="GE44">
            <v>24</v>
          </cell>
          <cell r="GF44">
            <v>71</v>
          </cell>
          <cell r="GG44" t="str">
            <v>24th</v>
          </cell>
        </row>
        <row r="45">
          <cell r="A45" t="str">
            <v>BDS/22/067</v>
          </cell>
          <cell r="B45" t="str">
            <v>CHIGOZIRIM ANNOINTING</v>
          </cell>
          <cell r="C45">
            <v>0</v>
          </cell>
          <cell r="D45">
            <v>0</v>
          </cell>
          <cell r="E45">
            <v>0</v>
          </cell>
          <cell r="F45">
            <v>14</v>
          </cell>
          <cell r="G45">
            <v>20</v>
          </cell>
          <cell r="H45">
            <v>40</v>
          </cell>
          <cell r="I45">
            <v>74</v>
          </cell>
          <cell r="J45">
            <v>74</v>
          </cell>
          <cell r="K45" t="str">
            <v>B1</v>
          </cell>
          <cell r="L45">
            <v>20</v>
          </cell>
          <cell r="M45">
            <v>15</v>
          </cell>
          <cell r="N45">
            <v>34</v>
          </cell>
          <cell r="O45">
            <v>69</v>
          </cell>
          <cell r="P45">
            <v>69</v>
          </cell>
          <cell r="Q45" t="str">
            <v>B2</v>
          </cell>
          <cell r="R45">
            <v>8</v>
          </cell>
          <cell r="S45">
            <v>20</v>
          </cell>
          <cell r="T45">
            <v>24</v>
          </cell>
          <cell r="U45">
            <v>52</v>
          </cell>
          <cell r="V45">
            <v>52</v>
          </cell>
          <cell r="W45" t="str">
            <v>C4</v>
          </cell>
          <cell r="X45">
            <v>14</v>
          </cell>
          <cell r="Y45">
            <v>14</v>
          </cell>
          <cell r="Z45">
            <v>30</v>
          </cell>
          <cell r="AA45">
            <v>58</v>
          </cell>
          <cell r="AB45">
            <v>57.999999999999993</v>
          </cell>
          <cell r="AC45" t="str">
            <v>C4</v>
          </cell>
          <cell r="AD45">
            <v>10</v>
          </cell>
          <cell r="AE45">
            <v>10</v>
          </cell>
          <cell r="AF45">
            <v>32</v>
          </cell>
          <cell r="AG45">
            <v>52</v>
          </cell>
          <cell r="AH45">
            <v>52</v>
          </cell>
          <cell r="AI45" t="str">
            <v>C4</v>
          </cell>
          <cell r="AJ45">
            <v>18</v>
          </cell>
          <cell r="AK45">
            <v>18</v>
          </cell>
          <cell r="AL45">
            <v>22</v>
          </cell>
          <cell r="AM45">
            <v>58</v>
          </cell>
          <cell r="AN45">
            <v>57.999999999999993</v>
          </cell>
          <cell r="AO45" t="str">
            <v>C4</v>
          </cell>
          <cell r="AP45">
            <v>0</v>
          </cell>
          <cell r="AQ45">
            <v>10</v>
          </cell>
          <cell r="AR45">
            <v>39</v>
          </cell>
          <cell r="AS45">
            <v>49</v>
          </cell>
          <cell r="AT45">
            <v>49</v>
          </cell>
          <cell r="AU45" t="str">
            <v>C5</v>
          </cell>
          <cell r="AV45">
            <v>15</v>
          </cell>
          <cell r="AW45">
            <v>15</v>
          </cell>
          <cell r="AX45">
            <v>9</v>
          </cell>
          <cell r="AY45">
            <v>39</v>
          </cell>
          <cell r="AZ45">
            <v>39</v>
          </cell>
          <cell r="BA45" t="str">
            <v>E8</v>
          </cell>
          <cell r="BB45">
            <v>5</v>
          </cell>
          <cell r="BC45">
            <v>8</v>
          </cell>
          <cell r="BD45">
            <v>22</v>
          </cell>
          <cell r="BE45">
            <v>35</v>
          </cell>
          <cell r="BF45">
            <v>35</v>
          </cell>
          <cell r="BG45" t="str">
            <v>F9</v>
          </cell>
          <cell r="BH45">
            <v>15</v>
          </cell>
          <cell r="BI45">
            <v>20</v>
          </cell>
          <cell r="BJ45">
            <v>38</v>
          </cell>
          <cell r="BK45">
            <v>73</v>
          </cell>
          <cell r="BL45">
            <v>73</v>
          </cell>
          <cell r="BM45" t="str">
            <v>B1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 t="str">
            <v>F9</v>
          </cell>
          <cell r="BT45">
            <v>2</v>
          </cell>
          <cell r="BU45">
            <v>3</v>
          </cell>
          <cell r="BV45">
            <v>24</v>
          </cell>
          <cell r="BW45">
            <v>29</v>
          </cell>
          <cell r="BX45">
            <v>28.999999999999996</v>
          </cell>
          <cell r="BY45" t="str">
            <v>F9</v>
          </cell>
          <cell r="BZ45">
            <v>15</v>
          </cell>
          <cell r="CA45">
            <v>20</v>
          </cell>
          <cell r="CB45">
            <v>50</v>
          </cell>
          <cell r="CC45">
            <v>85</v>
          </cell>
          <cell r="CD45">
            <v>85</v>
          </cell>
          <cell r="CE45" t="str">
            <v>A</v>
          </cell>
          <cell r="CF45">
            <v>10</v>
          </cell>
          <cell r="CG45">
            <v>7</v>
          </cell>
          <cell r="CH45">
            <v>33</v>
          </cell>
          <cell r="CI45">
            <v>50</v>
          </cell>
          <cell r="CJ45">
            <v>50</v>
          </cell>
          <cell r="CK45" t="str">
            <v>C5</v>
          </cell>
          <cell r="CL45">
            <v>20</v>
          </cell>
          <cell r="CM45">
            <v>8</v>
          </cell>
          <cell r="CN45">
            <v>25</v>
          </cell>
          <cell r="CO45">
            <v>53</v>
          </cell>
          <cell r="CP45">
            <v>53</v>
          </cell>
          <cell r="CQ45" t="str">
            <v>C4</v>
          </cell>
          <cell r="CR45">
            <v>0</v>
          </cell>
          <cell r="CS45">
            <v>20</v>
          </cell>
          <cell r="CT45">
            <v>25</v>
          </cell>
          <cell r="CU45">
            <v>45</v>
          </cell>
          <cell r="CV45">
            <v>45</v>
          </cell>
          <cell r="CW45" t="str">
            <v>D</v>
          </cell>
          <cell r="CX45">
            <v>20</v>
          </cell>
          <cell r="CY45">
            <v>10</v>
          </cell>
          <cell r="CZ45">
            <v>50</v>
          </cell>
          <cell r="DA45">
            <v>80</v>
          </cell>
          <cell r="DB45">
            <v>80</v>
          </cell>
          <cell r="DC45" t="str">
            <v>B1</v>
          </cell>
          <cell r="DD45">
            <v>8</v>
          </cell>
          <cell r="DE45">
            <v>17</v>
          </cell>
          <cell r="DF45">
            <v>19</v>
          </cell>
          <cell r="DG45">
            <v>44</v>
          </cell>
          <cell r="DH45">
            <v>44</v>
          </cell>
          <cell r="DI45" t="str">
            <v>D</v>
          </cell>
          <cell r="DJ45">
            <v>945</v>
          </cell>
          <cell r="DK45">
            <v>944.99999999999989</v>
          </cell>
          <cell r="DL45">
            <v>0.55588235294117649</v>
          </cell>
          <cell r="DM45" t="str">
            <v>36th</v>
          </cell>
          <cell r="DN45">
            <v>74</v>
          </cell>
          <cell r="DO45">
            <v>26</v>
          </cell>
          <cell r="DP45">
            <v>96</v>
          </cell>
          <cell r="DQ45" t="str">
            <v>27th</v>
          </cell>
          <cell r="DR45">
            <v>69</v>
          </cell>
          <cell r="DS45">
            <v>0</v>
          </cell>
          <cell r="DT45">
            <v>90</v>
          </cell>
          <cell r="DU45" t="str">
            <v>12th</v>
          </cell>
          <cell r="DV45">
            <v>52</v>
          </cell>
          <cell r="DW45">
            <v>0</v>
          </cell>
          <cell r="DX45">
            <v>78</v>
          </cell>
          <cell r="DY45" t="str">
            <v>27th</v>
          </cell>
          <cell r="DZ45">
            <v>58</v>
          </cell>
          <cell r="EA45">
            <v>10</v>
          </cell>
          <cell r="EB45">
            <v>93</v>
          </cell>
          <cell r="EC45" t="str">
            <v>23rd</v>
          </cell>
          <cell r="ED45">
            <v>52</v>
          </cell>
          <cell r="EE45">
            <v>0</v>
          </cell>
          <cell r="EF45">
            <v>78</v>
          </cell>
          <cell r="EG45" t="str">
            <v>20th</v>
          </cell>
          <cell r="EH45">
            <v>58</v>
          </cell>
          <cell r="EI45">
            <v>36</v>
          </cell>
          <cell r="EJ45">
            <v>85</v>
          </cell>
          <cell r="EK45" t="str">
            <v>37th</v>
          </cell>
          <cell r="EL45">
            <v>49</v>
          </cell>
          <cell r="EM45">
            <v>0</v>
          </cell>
          <cell r="EN45">
            <v>87</v>
          </cell>
          <cell r="EO45" t="str">
            <v>41st</v>
          </cell>
          <cell r="EP45">
            <v>39</v>
          </cell>
          <cell r="EQ45">
            <v>0</v>
          </cell>
          <cell r="ER45">
            <v>100</v>
          </cell>
          <cell r="ES45" t="str">
            <v>38th</v>
          </cell>
          <cell r="ET45">
            <v>35</v>
          </cell>
          <cell r="EU45">
            <v>5</v>
          </cell>
          <cell r="EV45">
            <v>70</v>
          </cell>
          <cell r="EW45" t="str">
            <v>30th</v>
          </cell>
          <cell r="EX45">
            <v>73</v>
          </cell>
          <cell r="EY45">
            <v>0</v>
          </cell>
          <cell r="EZ45">
            <v>86</v>
          </cell>
          <cell r="FA45" t="str">
            <v>12th</v>
          </cell>
          <cell r="FB45">
            <v>0</v>
          </cell>
          <cell r="FC45">
            <v>0</v>
          </cell>
          <cell r="FD45">
            <v>0</v>
          </cell>
          <cell r="FE45" t="str">
            <v>1st</v>
          </cell>
          <cell r="FF45">
            <v>29</v>
          </cell>
          <cell r="FG45">
            <v>19</v>
          </cell>
          <cell r="FH45">
            <v>81</v>
          </cell>
          <cell r="FI45" t="str">
            <v>41st</v>
          </cell>
          <cell r="FJ45">
            <v>85</v>
          </cell>
          <cell r="FK45">
            <v>0</v>
          </cell>
          <cell r="FL45">
            <v>95</v>
          </cell>
          <cell r="FM45" t="str">
            <v>21st</v>
          </cell>
          <cell r="FN45">
            <v>50</v>
          </cell>
          <cell r="FO45">
            <v>0</v>
          </cell>
          <cell r="FP45">
            <v>84</v>
          </cell>
          <cell r="FQ45" t="str">
            <v>37th</v>
          </cell>
          <cell r="FR45">
            <v>53</v>
          </cell>
          <cell r="FS45">
            <v>0</v>
          </cell>
          <cell r="FT45">
            <v>82</v>
          </cell>
          <cell r="FU45" t="str">
            <v>29th</v>
          </cell>
          <cell r="FV45">
            <v>45</v>
          </cell>
          <cell r="FW45">
            <v>0</v>
          </cell>
          <cell r="FX45">
            <v>85</v>
          </cell>
          <cell r="FY45" t="str">
            <v>39th</v>
          </cell>
          <cell r="FZ45">
            <v>80</v>
          </cell>
          <cell r="GA45">
            <v>0</v>
          </cell>
          <cell r="GB45">
            <v>95</v>
          </cell>
          <cell r="GC45" t="str">
            <v>44th</v>
          </cell>
          <cell r="GD45">
            <v>44</v>
          </cell>
          <cell r="GE45">
            <v>24</v>
          </cell>
          <cell r="GF45">
            <v>71</v>
          </cell>
          <cell r="GG45" t="str">
            <v>38th</v>
          </cell>
        </row>
        <row r="46">
          <cell r="A46" t="str">
            <v>BDS/22/068</v>
          </cell>
          <cell r="B46" t="str">
            <v>EZI DIVINE</v>
          </cell>
          <cell r="C46">
            <v>0</v>
          </cell>
          <cell r="D46">
            <v>0</v>
          </cell>
          <cell r="E46">
            <v>0</v>
          </cell>
          <cell r="F46">
            <v>15</v>
          </cell>
          <cell r="G46">
            <v>15</v>
          </cell>
          <cell r="H46">
            <v>47</v>
          </cell>
          <cell r="I46">
            <v>77</v>
          </cell>
          <cell r="J46">
            <v>77</v>
          </cell>
          <cell r="K46" t="str">
            <v>B1</v>
          </cell>
          <cell r="L46">
            <v>20</v>
          </cell>
          <cell r="M46">
            <v>15</v>
          </cell>
          <cell r="N46">
            <v>27</v>
          </cell>
          <cell r="O46">
            <v>62</v>
          </cell>
          <cell r="P46">
            <v>62</v>
          </cell>
          <cell r="Q46" t="str">
            <v>B2</v>
          </cell>
          <cell r="R46">
            <v>12</v>
          </cell>
          <cell r="S46">
            <v>20</v>
          </cell>
          <cell r="T46">
            <v>30</v>
          </cell>
          <cell r="U46">
            <v>62</v>
          </cell>
          <cell r="V46">
            <v>62</v>
          </cell>
          <cell r="W46" t="str">
            <v>B2</v>
          </cell>
          <cell r="X46">
            <v>18</v>
          </cell>
          <cell r="Y46">
            <v>18</v>
          </cell>
          <cell r="Z46">
            <v>28</v>
          </cell>
          <cell r="AA46">
            <v>64</v>
          </cell>
          <cell r="AB46">
            <v>64</v>
          </cell>
          <cell r="AC46" t="str">
            <v>B2</v>
          </cell>
          <cell r="AD46">
            <v>10</v>
          </cell>
          <cell r="AE46">
            <v>10</v>
          </cell>
          <cell r="AF46">
            <v>30</v>
          </cell>
          <cell r="AG46">
            <v>50</v>
          </cell>
          <cell r="AH46">
            <v>50</v>
          </cell>
          <cell r="AI46" t="str">
            <v>C5</v>
          </cell>
          <cell r="AJ46">
            <v>18</v>
          </cell>
          <cell r="AK46">
            <v>18</v>
          </cell>
          <cell r="AL46">
            <v>28</v>
          </cell>
          <cell r="AM46">
            <v>64</v>
          </cell>
          <cell r="AN46">
            <v>64</v>
          </cell>
          <cell r="AO46" t="str">
            <v>B2</v>
          </cell>
          <cell r="AP46">
            <v>0</v>
          </cell>
          <cell r="AQ46">
            <v>10</v>
          </cell>
          <cell r="AR46">
            <v>56</v>
          </cell>
          <cell r="AS46">
            <v>66</v>
          </cell>
          <cell r="AT46">
            <v>66</v>
          </cell>
          <cell r="AU46" t="str">
            <v>B2</v>
          </cell>
          <cell r="AV46">
            <v>20</v>
          </cell>
          <cell r="AW46">
            <v>20</v>
          </cell>
          <cell r="AX46">
            <v>42</v>
          </cell>
          <cell r="AY46">
            <v>82</v>
          </cell>
          <cell r="AZ46">
            <v>82</v>
          </cell>
          <cell r="BA46" t="str">
            <v>A</v>
          </cell>
          <cell r="BB46">
            <v>16</v>
          </cell>
          <cell r="BC46">
            <v>7</v>
          </cell>
          <cell r="BD46">
            <v>21</v>
          </cell>
          <cell r="BE46">
            <v>44</v>
          </cell>
          <cell r="BF46">
            <v>44</v>
          </cell>
          <cell r="BG46" t="str">
            <v>D</v>
          </cell>
          <cell r="BH46">
            <v>7</v>
          </cell>
          <cell r="BI46">
            <v>7</v>
          </cell>
          <cell r="BJ46">
            <v>42</v>
          </cell>
          <cell r="BK46">
            <v>56</v>
          </cell>
          <cell r="BL46">
            <v>56.000000000000007</v>
          </cell>
          <cell r="BM46" t="str">
            <v>C4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 t="str">
            <v>F9</v>
          </cell>
          <cell r="BT46">
            <v>14</v>
          </cell>
          <cell r="BU46">
            <v>14</v>
          </cell>
          <cell r="BV46">
            <v>30</v>
          </cell>
          <cell r="BW46">
            <v>58</v>
          </cell>
          <cell r="BX46">
            <v>57.999999999999993</v>
          </cell>
          <cell r="BY46" t="str">
            <v>C4</v>
          </cell>
          <cell r="BZ46">
            <v>15</v>
          </cell>
          <cell r="CA46">
            <v>20</v>
          </cell>
          <cell r="CB46">
            <v>50</v>
          </cell>
          <cell r="CC46">
            <v>85</v>
          </cell>
          <cell r="CD46">
            <v>85</v>
          </cell>
          <cell r="CE46" t="str">
            <v>A</v>
          </cell>
          <cell r="CF46">
            <v>10</v>
          </cell>
          <cell r="CG46">
            <v>8</v>
          </cell>
          <cell r="CH46">
            <v>42</v>
          </cell>
          <cell r="CI46">
            <v>60</v>
          </cell>
          <cell r="CJ46">
            <v>60</v>
          </cell>
          <cell r="CK46" t="str">
            <v>C4</v>
          </cell>
          <cell r="CL46">
            <v>20</v>
          </cell>
          <cell r="CM46">
            <v>8</v>
          </cell>
          <cell r="CN46">
            <v>26</v>
          </cell>
          <cell r="CO46">
            <v>54</v>
          </cell>
          <cell r="CP46">
            <v>54</v>
          </cell>
          <cell r="CQ46" t="str">
            <v>C4</v>
          </cell>
          <cell r="CR46">
            <v>0</v>
          </cell>
          <cell r="CS46">
            <v>20</v>
          </cell>
          <cell r="CT46">
            <v>33</v>
          </cell>
          <cell r="CU46">
            <v>53</v>
          </cell>
          <cell r="CV46">
            <v>53</v>
          </cell>
          <cell r="CW46" t="str">
            <v>C4</v>
          </cell>
          <cell r="CX46">
            <v>15</v>
          </cell>
          <cell r="CY46">
            <v>15</v>
          </cell>
          <cell r="CZ46">
            <v>50</v>
          </cell>
          <cell r="DA46">
            <v>80</v>
          </cell>
          <cell r="DB46">
            <v>80</v>
          </cell>
          <cell r="DC46" t="str">
            <v>B1</v>
          </cell>
          <cell r="DD46">
            <v>19</v>
          </cell>
          <cell r="DE46">
            <v>17</v>
          </cell>
          <cell r="DF46">
            <v>0</v>
          </cell>
          <cell r="DG46">
            <v>36</v>
          </cell>
          <cell r="DH46">
            <v>36</v>
          </cell>
          <cell r="DI46" t="str">
            <v>E8</v>
          </cell>
          <cell r="DJ46">
            <v>1053</v>
          </cell>
          <cell r="DK46">
            <v>1053</v>
          </cell>
          <cell r="DL46">
            <v>0.61941176470588233</v>
          </cell>
          <cell r="DM46" t="str">
            <v>25th</v>
          </cell>
          <cell r="DN46">
            <v>77</v>
          </cell>
          <cell r="DO46">
            <v>26</v>
          </cell>
          <cell r="DP46">
            <v>96</v>
          </cell>
          <cell r="DQ46" t="str">
            <v>23rd</v>
          </cell>
          <cell r="DR46">
            <v>62</v>
          </cell>
          <cell r="DS46">
            <v>0</v>
          </cell>
          <cell r="DT46">
            <v>90</v>
          </cell>
          <cell r="DU46" t="str">
            <v>21st</v>
          </cell>
          <cell r="DV46">
            <v>62</v>
          </cell>
          <cell r="DW46">
            <v>0</v>
          </cell>
          <cell r="DX46">
            <v>78</v>
          </cell>
          <cell r="DY46" t="str">
            <v>13th</v>
          </cell>
          <cell r="DZ46">
            <v>64</v>
          </cell>
          <cell r="EA46">
            <v>10</v>
          </cell>
          <cell r="EB46">
            <v>93</v>
          </cell>
          <cell r="EC46" t="str">
            <v>16th</v>
          </cell>
          <cell r="ED46">
            <v>50</v>
          </cell>
          <cell r="EE46">
            <v>0</v>
          </cell>
          <cell r="EF46">
            <v>78</v>
          </cell>
          <cell r="EG46" t="str">
            <v>24th</v>
          </cell>
          <cell r="EH46">
            <v>64</v>
          </cell>
          <cell r="EI46">
            <v>36</v>
          </cell>
          <cell r="EJ46">
            <v>85</v>
          </cell>
          <cell r="EK46" t="str">
            <v>30th</v>
          </cell>
          <cell r="EL46">
            <v>66</v>
          </cell>
          <cell r="EM46">
            <v>0</v>
          </cell>
          <cell r="EN46">
            <v>87</v>
          </cell>
          <cell r="EO46" t="str">
            <v>36th</v>
          </cell>
          <cell r="EP46">
            <v>82</v>
          </cell>
          <cell r="EQ46">
            <v>0</v>
          </cell>
          <cell r="ER46">
            <v>100</v>
          </cell>
          <cell r="ES46" t="str">
            <v>12th</v>
          </cell>
          <cell r="ET46">
            <v>44</v>
          </cell>
          <cell r="EU46">
            <v>5</v>
          </cell>
          <cell r="EV46">
            <v>70</v>
          </cell>
          <cell r="EW46" t="str">
            <v>15th</v>
          </cell>
          <cell r="EX46">
            <v>56</v>
          </cell>
          <cell r="EY46">
            <v>0</v>
          </cell>
          <cell r="EZ46">
            <v>86</v>
          </cell>
          <cell r="FA46" t="str">
            <v>32nd</v>
          </cell>
          <cell r="FB46">
            <v>0</v>
          </cell>
          <cell r="FC46">
            <v>0</v>
          </cell>
          <cell r="FD46">
            <v>0</v>
          </cell>
          <cell r="FE46" t="str">
            <v>1st</v>
          </cell>
          <cell r="FF46">
            <v>58</v>
          </cell>
          <cell r="FG46">
            <v>19</v>
          </cell>
          <cell r="FH46">
            <v>81</v>
          </cell>
          <cell r="FI46" t="str">
            <v>13th</v>
          </cell>
          <cell r="FJ46">
            <v>85</v>
          </cell>
          <cell r="FK46">
            <v>0</v>
          </cell>
          <cell r="FL46">
            <v>95</v>
          </cell>
          <cell r="FM46" t="str">
            <v>21st</v>
          </cell>
          <cell r="FN46">
            <v>60</v>
          </cell>
          <cell r="FO46">
            <v>0</v>
          </cell>
          <cell r="FP46">
            <v>84</v>
          </cell>
          <cell r="FQ46" t="str">
            <v>28th</v>
          </cell>
          <cell r="FR46">
            <v>54</v>
          </cell>
          <cell r="FS46">
            <v>0</v>
          </cell>
          <cell r="FT46">
            <v>82</v>
          </cell>
          <cell r="FU46" t="str">
            <v>27th</v>
          </cell>
          <cell r="FV46">
            <v>53</v>
          </cell>
          <cell r="FW46">
            <v>0</v>
          </cell>
          <cell r="FX46">
            <v>85</v>
          </cell>
          <cell r="FY46" t="str">
            <v>24th</v>
          </cell>
          <cell r="FZ46">
            <v>80</v>
          </cell>
          <cell r="GA46">
            <v>0</v>
          </cell>
          <cell r="GB46">
            <v>95</v>
          </cell>
          <cell r="GC46" t="str">
            <v>44th</v>
          </cell>
          <cell r="GD46">
            <v>36</v>
          </cell>
          <cell r="GE46">
            <v>24</v>
          </cell>
          <cell r="GF46">
            <v>71</v>
          </cell>
          <cell r="GG46" t="str">
            <v>43rd</v>
          </cell>
        </row>
        <row r="47">
          <cell r="A47" t="str">
            <v>BDS/22/069</v>
          </cell>
          <cell r="B47" t="str">
            <v>EZUMA FAVOUR</v>
          </cell>
          <cell r="C47">
            <v>0</v>
          </cell>
          <cell r="D47">
            <v>0</v>
          </cell>
          <cell r="E47">
            <v>0</v>
          </cell>
          <cell r="F47">
            <v>12</v>
          </cell>
          <cell r="G47">
            <v>10</v>
          </cell>
          <cell r="H47">
            <v>47</v>
          </cell>
          <cell r="I47">
            <v>69</v>
          </cell>
          <cell r="J47">
            <v>69</v>
          </cell>
          <cell r="K47" t="str">
            <v>B2</v>
          </cell>
          <cell r="L47">
            <v>20</v>
          </cell>
          <cell r="M47">
            <v>15</v>
          </cell>
          <cell r="N47">
            <v>32</v>
          </cell>
          <cell r="O47">
            <v>67</v>
          </cell>
          <cell r="P47">
            <v>67</v>
          </cell>
          <cell r="Q47" t="str">
            <v>B2</v>
          </cell>
          <cell r="R47">
            <v>6</v>
          </cell>
          <cell r="S47">
            <v>20</v>
          </cell>
          <cell r="T47">
            <v>15</v>
          </cell>
          <cell r="U47">
            <v>41</v>
          </cell>
          <cell r="V47">
            <v>41</v>
          </cell>
          <cell r="W47" t="str">
            <v>D</v>
          </cell>
          <cell r="X47">
            <v>16</v>
          </cell>
          <cell r="Y47">
            <v>16</v>
          </cell>
          <cell r="Z47">
            <v>42</v>
          </cell>
          <cell r="AA47">
            <v>74</v>
          </cell>
          <cell r="AB47">
            <v>74</v>
          </cell>
          <cell r="AC47" t="str">
            <v>B1</v>
          </cell>
          <cell r="AD47">
            <v>15</v>
          </cell>
          <cell r="AE47">
            <v>15</v>
          </cell>
          <cell r="AF47">
            <v>37</v>
          </cell>
          <cell r="AG47">
            <v>67</v>
          </cell>
          <cell r="AH47">
            <v>67</v>
          </cell>
          <cell r="AI47" t="str">
            <v>B2</v>
          </cell>
          <cell r="AJ47">
            <v>18</v>
          </cell>
          <cell r="AK47">
            <v>18</v>
          </cell>
          <cell r="AL47">
            <v>20</v>
          </cell>
          <cell r="AM47">
            <v>56</v>
          </cell>
          <cell r="AN47">
            <v>56.000000000000007</v>
          </cell>
          <cell r="AO47" t="str">
            <v>C4</v>
          </cell>
          <cell r="AP47">
            <v>18</v>
          </cell>
          <cell r="AQ47">
            <v>10</v>
          </cell>
          <cell r="AR47">
            <v>56</v>
          </cell>
          <cell r="AS47">
            <v>84</v>
          </cell>
          <cell r="AT47">
            <v>84</v>
          </cell>
          <cell r="AU47" t="str">
            <v>A</v>
          </cell>
          <cell r="AV47">
            <v>11</v>
          </cell>
          <cell r="AW47">
            <v>20</v>
          </cell>
          <cell r="AX47">
            <v>47</v>
          </cell>
          <cell r="AY47">
            <v>78</v>
          </cell>
          <cell r="AZ47">
            <v>78</v>
          </cell>
          <cell r="BA47" t="str">
            <v>B1</v>
          </cell>
          <cell r="BB47">
            <v>5</v>
          </cell>
          <cell r="BC47">
            <v>10</v>
          </cell>
          <cell r="BD47">
            <v>18</v>
          </cell>
          <cell r="BE47">
            <v>33</v>
          </cell>
          <cell r="BF47">
            <v>33</v>
          </cell>
          <cell r="BG47" t="str">
            <v>F9</v>
          </cell>
          <cell r="BH47">
            <v>17</v>
          </cell>
          <cell r="BI47">
            <v>10</v>
          </cell>
          <cell r="BJ47">
            <v>43</v>
          </cell>
          <cell r="BK47">
            <v>70</v>
          </cell>
          <cell r="BL47">
            <v>70</v>
          </cell>
          <cell r="BM47" t="str">
            <v>B2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 t="str">
            <v>F9</v>
          </cell>
          <cell r="BT47">
            <v>5</v>
          </cell>
          <cell r="BU47">
            <v>13</v>
          </cell>
          <cell r="BV47">
            <v>30</v>
          </cell>
          <cell r="BW47">
            <v>48</v>
          </cell>
          <cell r="BX47">
            <v>48</v>
          </cell>
          <cell r="BY47" t="str">
            <v>C5</v>
          </cell>
          <cell r="BZ47">
            <v>15</v>
          </cell>
          <cell r="CA47">
            <v>20</v>
          </cell>
          <cell r="CB47">
            <v>50</v>
          </cell>
          <cell r="CC47">
            <v>85</v>
          </cell>
          <cell r="CD47">
            <v>85</v>
          </cell>
          <cell r="CE47" t="str">
            <v>A</v>
          </cell>
          <cell r="CF47">
            <v>10</v>
          </cell>
          <cell r="CG47">
            <v>10</v>
          </cell>
          <cell r="CH47">
            <v>47</v>
          </cell>
          <cell r="CI47">
            <v>67</v>
          </cell>
          <cell r="CJ47">
            <v>67</v>
          </cell>
          <cell r="CK47" t="str">
            <v>B2</v>
          </cell>
          <cell r="CL47">
            <v>20</v>
          </cell>
          <cell r="CM47">
            <v>11</v>
          </cell>
          <cell r="CN47">
            <v>22</v>
          </cell>
          <cell r="CO47">
            <v>53</v>
          </cell>
          <cell r="CP47">
            <v>53</v>
          </cell>
          <cell r="CQ47" t="str">
            <v>C4</v>
          </cell>
          <cell r="CR47">
            <v>0</v>
          </cell>
          <cell r="CS47">
            <v>20</v>
          </cell>
          <cell r="CT47">
            <v>28</v>
          </cell>
          <cell r="CU47">
            <v>48</v>
          </cell>
          <cell r="CV47">
            <v>48</v>
          </cell>
          <cell r="CW47" t="str">
            <v>C5</v>
          </cell>
          <cell r="CX47">
            <v>15</v>
          </cell>
          <cell r="CY47">
            <v>20</v>
          </cell>
          <cell r="CZ47">
            <v>50</v>
          </cell>
          <cell r="DA47">
            <v>85</v>
          </cell>
          <cell r="DB47">
            <v>85</v>
          </cell>
          <cell r="DC47" t="str">
            <v>A</v>
          </cell>
          <cell r="DD47">
            <v>19</v>
          </cell>
          <cell r="DE47">
            <v>17</v>
          </cell>
          <cell r="DF47">
            <v>21</v>
          </cell>
          <cell r="DG47">
            <v>57</v>
          </cell>
          <cell r="DH47">
            <v>56.999999999999993</v>
          </cell>
          <cell r="DI47" t="str">
            <v>C4</v>
          </cell>
          <cell r="DJ47">
            <v>1082</v>
          </cell>
          <cell r="DK47">
            <v>1082</v>
          </cell>
          <cell r="DL47">
            <v>0.63647058823529412</v>
          </cell>
          <cell r="DM47" t="str">
            <v>22nd</v>
          </cell>
          <cell r="DN47">
            <v>69</v>
          </cell>
          <cell r="DO47">
            <v>26</v>
          </cell>
          <cell r="DP47">
            <v>96</v>
          </cell>
          <cell r="DQ47" t="str">
            <v>33rd</v>
          </cell>
          <cell r="DR47">
            <v>67</v>
          </cell>
          <cell r="DS47">
            <v>0</v>
          </cell>
          <cell r="DT47">
            <v>90</v>
          </cell>
          <cell r="DU47" t="str">
            <v>16th</v>
          </cell>
          <cell r="DV47">
            <v>41</v>
          </cell>
          <cell r="DW47">
            <v>0</v>
          </cell>
          <cell r="DX47">
            <v>78</v>
          </cell>
          <cell r="DY47" t="str">
            <v>39th</v>
          </cell>
          <cell r="DZ47">
            <v>74</v>
          </cell>
          <cell r="EA47">
            <v>10</v>
          </cell>
          <cell r="EB47">
            <v>93</v>
          </cell>
          <cell r="EC47" t="str">
            <v>3rd</v>
          </cell>
          <cell r="ED47">
            <v>67</v>
          </cell>
          <cell r="EE47">
            <v>0</v>
          </cell>
          <cell r="EF47">
            <v>78</v>
          </cell>
          <cell r="EG47" t="str">
            <v>9th</v>
          </cell>
          <cell r="EH47">
            <v>56</v>
          </cell>
          <cell r="EI47">
            <v>36</v>
          </cell>
          <cell r="EJ47">
            <v>85</v>
          </cell>
          <cell r="EK47" t="str">
            <v>39th</v>
          </cell>
          <cell r="EL47">
            <v>84</v>
          </cell>
          <cell r="EM47">
            <v>0</v>
          </cell>
          <cell r="EN47">
            <v>87</v>
          </cell>
          <cell r="EO47" t="str">
            <v>6th</v>
          </cell>
          <cell r="EP47">
            <v>78</v>
          </cell>
          <cell r="EQ47">
            <v>0</v>
          </cell>
          <cell r="ER47">
            <v>100</v>
          </cell>
          <cell r="ES47" t="str">
            <v>18th</v>
          </cell>
          <cell r="ET47">
            <v>33</v>
          </cell>
          <cell r="EU47">
            <v>5</v>
          </cell>
          <cell r="EV47">
            <v>70</v>
          </cell>
          <cell r="EW47" t="str">
            <v>32nd</v>
          </cell>
          <cell r="EX47">
            <v>70</v>
          </cell>
          <cell r="EY47">
            <v>0</v>
          </cell>
          <cell r="EZ47">
            <v>86</v>
          </cell>
          <cell r="FA47" t="str">
            <v>15th</v>
          </cell>
          <cell r="FB47">
            <v>0</v>
          </cell>
          <cell r="FC47">
            <v>0</v>
          </cell>
          <cell r="FD47">
            <v>0</v>
          </cell>
          <cell r="FE47" t="str">
            <v>1st</v>
          </cell>
          <cell r="FF47">
            <v>48</v>
          </cell>
          <cell r="FG47">
            <v>19</v>
          </cell>
          <cell r="FH47">
            <v>81</v>
          </cell>
          <cell r="FI47" t="str">
            <v>24th</v>
          </cell>
          <cell r="FJ47">
            <v>85</v>
          </cell>
          <cell r="FK47">
            <v>0</v>
          </cell>
          <cell r="FL47">
            <v>95</v>
          </cell>
          <cell r="FM47" t="str">
            <v>21st</v>
          </cell>
          <cell r="FN47">
            <v>67</v>
          </cell>
          <cell r="FO47">
            <v>0</v>
          </cell>
          <cell r="FP47">
            <v>84</v>
          </cell>
          <cell r="FQ47" t="str">
            <v>19th</v>
          </cell>
          <cell r="FR47">
            <v>53</v>
          </cell>
          <cell r="FS47">
            <v>0</v>
          </cell>
          <cell r="FT47">
            <v>82</v>
          </cell>
          <cell r="FU47" t="str">
            <v>29th</v>
          </cell>
          <cell r="FV47">
            <v>48</v>
          </cell>
          <cell r="FW47">
            <v>0</v>
          </cell>
          <cell r="FX47">
            <v>85</v>
          </cell>
          <cell r="FY47" t="str">
            <v>34th</v>
          </cell>
          <cell r="FZ47">
            <v>85</v>
          </cell>
          <cell r="GA47">
            <v>0</v>
          </cell>
          <cell r="GB47">
            <v>95</v>
          </cell>
          <cell r="GC47" t="str">
            <v>31st</v>
          </cell>
          <cell r="GD47">
            <v>57</v>
          </cell>
          <cell r="GE47">
            <v>24</v>
          </cell>
          <cell r="GF47">
            <v>71</v>
          </cell>
          <cell r="GG47" t="str">
            <v>14th</v>
          </cell>
        </row>
        <row r="48">
          <cell r="A48" t="str">
            <v>BDS/22/070</v>
          </cell>
          <cell r="B48" t="str">
            <v>GABRIEL MUNACHIMSO</v>
          </cell>
          <cell r="C48">
            <v>0</v>
          </cell>
          <cell r="D48">
            <v>0</v>
          </cell>
          <cell r="E48">
            <v>0</v>
          </cell>
          <cell r="F48">
            <v>13</v>
          </cell>
          <cell r="G48">
            <v>20</v>
          </cell>
          <cell r="H48">
            <v>42</v>
          </cell>
          <cell r="I48">
            <v>75</v>
          </cell>
          <cell r="J48">
            <v>75</v>
          </cell>
          <cell r="K48" t="str">
            <v>B1</v>
          </cell>
          <cell r="L48">
            <v>20</v>
          </cell>
          <cell r="M48">
            <v>15</v>
          </cell>
          <cell r="N48">
            <v>10</v>
          </cell>
          <cell r="O48">
            <v>45</v>
          </cell>
          <cell r="P48">
            <v>45</v>
          </cell>
          <cell r="Q48" t="str">
            <v>D</v>
          </cell>
          <cell r="R48">
            <v>10</v>
          </cell>
          <cell r="S48">
            <v>20</v>
          </cell>
          <cell r="T48">
            <v>34</v>
          </cell>
          <cell r="U48">
            <v>64</v>
          </cell>
          <cell r="V48">
            <v>64</v>
          </cell>
          <cell r="W48" t="str">
            <v>B2</v>
          </cell>
          <cell r="X48">
            <v>7</v>
          </cell>
          <cell r="Y48">
            <v>7</v>
          </cell>
          <cell r="Z48">
            <v>23</v>
          </cell>
          <cell r="AA48">
            <v>37</v>
          </cell>
          <cell r="AB48">
            <v>37</v>
          </cell>
          <cell r="AC48" t="str">
            <v>E8</v>
          </cell>
          <cell r="AD48">
            <v>18</v>
          </cell>
          <cell r="AE48">
            <v>10</v>
          </cell>
          <cell r="AF48">
            <v>21</v>
          </cell>
          <cell r="AG48">
            <v>49</v>
          </cell>
          <cell r="AH48">
            <v>49</v>
          </cell>
          <cell r="AI48" t="str">
            <v>C5</v>
          </cell>
          <cell r="AJ48">
            <v>20</v>
          </cell>
          <cell r="AK48">
            <v>20</v>
          </cell>
          <cell r="AL48">
            <v>28</v>
          </cell>
          <cell r="AM48">
            <v>68</v>
          </cell>
          <cell r="AN48">
            <v>68</v>
          </cell>
          <cell r="AO48" t="str">
            <v>B2</v>
          </cell>
          <cell r="AP48">
            <v>17</v>
          </cell>
          <cell r="AQ48">
            <v>10</v>
          </cell>
          <cell r="AR48">
            <v>38</v>
          </cell>
          <cell r="AS48">
            <v>65</v>
          </cell>
          <cell r="AT48">
            <v>65</v>
          </cell>
          <cell r="AU48" t="str">
            <v>B2</v>
          </cell>
          <cell r="AV48">
            <v>10</v>
          </cell>
          <cell r="AW48">
            <v>10</v>
          </cell>
          <cell r="AX48">
            <v>52</v>
          </cell>
          <cell r="AY48">
            <v>72</v>
          </cell>
          <cell r="AZ48">
            <v>72</v>
          </cell>
          <cell r="BA48" t="str">
            <v>B1</v>
          </cell>
          <cell r="BB48">
            <v>18</v>
          </cell>
          <cell r="BC48">
            <v>5</v>
          </cell>
          <cell r="BD48">
            <v>20</v>
          </cell>
          <cell r="BE48">
            <v>43</v>
          </cell>
          <cell r="BF48">
            <v>43</v>
          </cell>
          <cell r="BG48" t="str">
            <v>D</v>
          </cell>
          <cell r="BH48">
            <v>10</v>
          </cell>
          <cell r="BI48">
            <v>5</v>
          </cell>
          <cell r="BJ48">
            <v>28</v>
          </cell>
          <cell r="BK48">
            <v>43</v>
          </cell>
          <cell r="BL48">
            <v>43</v>
          </cell>
          <cell r="BM48" t="str">
            <v>D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 t="str">
            <v>F9</v>
          </cell>
          <cell r="BT48">
            <v>18</v>
          </cell>
          <cell r="BU48">
            <v>15</v>
          </cell>
          <cell r="BV48">
            <v>27</v>
          </cell>
          <cell r="BW48">
            <v>60</v>
          </cell>
          <cell r="BX48">
            <v>60</v>
          </cell>
          <cell r="BY48" t="str">
            <v>C4</v>
          </cell>
          <cell r="BZ48">
            <v>15</v>
          </cell>
          <cell r="CA48">
            <v>20</v>
          </cell>
          <cell r="CB48">
            <v>50</v>
          </cell>
          <cell r="CC48">
            <v>85</v>
          </cell>
          <cell r="CD48">
            <v>85</v>
          </cell>
          <cell r="CE48" t="str">
            <v>A</v>
          </cell>
          <cell r="CF48">
            <v>20</v>
          </cell>
          <cell r="CG48">
            <v>17</v>
          </cell>
          <cell r="CH48">
            <v>40</v>
          </cell>
          <cell r="CI48">
            <v>77</v>
          </cell>
          <cell r="CJ48">
            <v>77</v>
          </cell>
          <cell r="CK48" t="str">
            <v>B1</v>
          </cell>
          <cell r="CL48">
            <v>20</v>
          </cell>
          <cell r="CM48">
            <v>5</v>
          </cell>
          <cell r="CN48">
            <v>22</v>
          </cell>
          <cell r="CO48">
            <v>47</v>
          </cell>
          <cell r="CP48">
            <v>47</v>
          </cell>
          <cell r="CQ48" t="str">
            <v>C5</v>
          </cell>
          <cell r="CR48">
            <v>10</v>
          </cell>
          <cell r="CS48">
            <v>20</v>
          </cell>
          <cell r="CT48">
            <v>19</v>
          </cell>
          <cell r="CU48">
            <v>49</v>
          </cell>
          <cell r="CV48">
            <v>49</v>
          </cell>
          <cell r="CW48" t="str">
            <v>C5</v>
          </cell>
          <cell r="CX48">
            <v>15</v>
          </cell>
          <cell r="CY48">
            <v>20</v>
          </cell>
          <cell r="CZ48">
            <v>50</v>
          </cell>
          <cell r="DA48">
            <v>85</v>
          </cell>
          <cell r="DB48">
            <v>85</v>
          </cell>
          <cell r="DC48" t="str">
            <v>A</v>
          </cell>
          <cell r="DD48">
            <v>16</v>
          </cell>
          <cell r="DE48">
            <v>17</v>
          </cell>
          <cell r="DF48">
            <v>32</v>
          </cell>
          <cell r="DG48">
            <v>65</v>
          </cell>
          <cell r="DH48">
            <v>65</v>
          </cell>
          <cell r="DI48" t="str">
            <v>B2</v>
          </cell>
          <cell r="DJ48">
            <v>1029</v>
          </cell>
          <cell r="DK48">
            <v>1029</v>
          </cell>
          <cell r="DL48">
            <v>0.60529411764705887</v>
          </cell>
          <cell r="DM48" t="str">
            <v>27th</v>
          </cell>
          <cell r="DN48">
            <v>75</v>
          </cell>
          <cell r="DO48">
            <v>26</v>
          </cell>
          <cell r="DP48">
            <v>96</v>
          </cell>
          <cell r="DQ48" t="str">
            <v>25th</v>
          </cell>
          <cell r="DR48">
            <v>45</v>
          </cell>
          <cell r="DS48">
            <v>0</v>
          </cell>
          <cell r="DT48">
            <v>90</v>
          </cell>
          <cell r="DU48" t="str">
            <v>37th</v>
          </cell>
          <cell r="DV48">
            <v>64</v>
          </cell>
          <cell r="DW48">
            <v>0</v>
          </cell>
          <cell r="DX48">
            <v>78</v>
          </cell>
          <cell r="DY48" t="str">
            <v>10th</v>
          </cell>
          <cell r="DZ48">
            <v>37</v>
          </cell>
          <cell r="EA48">
            <v>10</v>
          </cell>
          <cell r="EB48">
            <v>93</v>
          </cell>
          <cell r="EC48" t="str">
            <v>38th</v>
          </cell>
          <cell r="ED48">
            <v>49</v>
          </cell>
          <cell r="EE48">
            <v>0</v>
          </cell>
          <cell r="EF48">
            <v>78</v>
          </cell>
          <cell r="EG48" t="str">
            <v>26th</v>
          </cell>
          <cell r="EH48">
            <v>68</v>
          </cell>
          <cell r="EI48">
            <v>36</v>
          </cell>
          <cell r="EJ48">
            <v>85</v>
          </cell>
          <cell r="EK48" t="str">
            <v>23rd</v>
          </cell>
          <cell r="EL48">
            <v>65</v>
          </cell>
          <cell r="EM48">
            <v>0</v>
          </cell>
          <cell r="EN48">
            <v>87</v>
          </cell>
          <cell r="EO48" t="str">
            <v>37th</v>
          </cell>
          <cell r="EP48">
            <v>72</v>
          </cell>
          <cell r="EQ48">
            <v>0</v>
          </cell>
          <cell r="ER48">
            <v>100</v>
          </cell>
          <cell r="ES48" t="str">
            <v>22nd</v>
          </cell>
          <cell r="ET48">
            <v>43</v>
          </cell>
          <cell r="EU48">
            <v>5</v>
          </cell>
          <cell r="EV48">
            <v>70</v>
          </cell>
          <cell r="EW48" t="str">
            <v>18th</v>
          </cell>
          <cell r="EX48">
            <v>43</v>
          </cell>
          <cell r="EY48">
            <v>0</v>
          </cell>
          <cell r="EZ48">
            <v>86</v>
          </cell>
          <cell r="FA48" t="str">
            <v>38th</v>
          </cell>
          <cell r="FB48">
            <v>0</v>
          </cell>
          <cell r="FC48">
            <v>0</v>
          </cell>
          <cell r="FD48">
            <v>0</v>
          </cell>
          <cell r="FE48" t="str">
            <v>1st</v>
          </cell>
          <cell r="FF48">
            <v>60</v>
          </cell>
          <cell r="FG48">
            <v>19</v>
          </cell>
          <cell r="FH48">
            <v>81</v>
          </cell>
          <cell r="FI48" t="str">
            <v>9th</v>
          </cell>
          <cell r="FJ48">
            <v>85</v>
          </cell>
          <cell r="FK48">
            <v>0</v>
          </cell>
          <cell r="FL48">
            <v>95</v>
          </cell>
          <cell r="FM48" t="str">
            <v>21st</v>
          </cell>
          <cell r="FN48">
            <v>77</v>
          </cell>
          <cell r="FO48">
            <v>0</v>
          </cell>
          <cell r="FP48">
            <v>84</v>
          </cell>
          <cell r="FQ48" t="str">
            <v>5th</v>
          </cell>
          <cell r="FR48">
            <v>47</v>
          </cell>
          <cell r="FS48">
            <v>0</v>
          </cell>
          <cell r="FT48">
            <v>82</v>
          </cell>
          <cell r="FU48" t="str">
            <v>35th</v>
          </cell>
          <cell r="FV48">
            <v>49</v>
          </cell>
          <cell r="FW48">
            <v>0</v>
          </cell>
          <cell r="FX48">
            <v>85</v>
          </cell>
          <cell r="FY48" t="str">
            <v>31st</v>
          </cell>
          <cell r="FZ48">
            <v>85</v>
          </cell>
          <cell r="GA48">
            <v>0</v>
          </cell>
          <cell r="GB48">
            <v>95</v>
          </cell>
          <cell r="GC48" t="str">
            <v>31st</v>
          </cell>
          <cell r="GD48">
            <v>65</v>
          </cell>
          <cell r="GE48">
            <v>24</v>
          </cell>
          <cell r="GF48">
            <v>71</v>
          </cell>
          <cell r="GG48" t="str">
            <v>5th</v>
          </cell>
        </row>
        <row r="49">
          <cell r="A49" t="str">
            <v>BDS/22/071</v>
          </cell>
          <cell r="B49" t="str">
            <v>IKECHI MERCY</v>
          </cell>
          <cell r="C49">
            <v>0</v>
          </cell>
          <cell r="D49">
            <v>0</v>
          </cell>
          <cell r="E49">
            <v>0</v>
          </cell>
          <cell r="F49">
            <v>14</v>
          </cell>
          <cell r="G49">
            <v>20</v>
          </cell>
          <cell r="H49">
            <v>51</v>
          </cell>
          <cell r="I49">
            <v>85</v>
          </cell>
          <cell r="J49">
            <v>85</v>
          </cell>
          <cell r="K49" t="str">
            <v>A</v>
          </cell>
          <cell r="L49">
            <v>20</v>
          </cell>
          <cell r="M49">
            <v>15</v>
          </cell>
          <cell r="N49">
            <v>11</v>
          </cell>
          <cell r="O49">
            <v>46</v>
          </cell>
          <cell r="P49">
            <v>46</v>
          </cell>
          <cell r="Q49" t="str">
            <v>C5</v>
          </cell>
          <cell r="R49">
            <v>6</v>
          </cell>
          <cell r="S49">
            <v>20</v>
          </cell>
          <cell r="T49">
            <v>28</v>
          </cell>
          <cell r="U49">
            <v>54</v>
          </cell>
          <cell r="V49">
            <v>54</v>
          </cell>
          <cell r="W49" t="str">
            <v>C4</v>
          </cell>
          <cell r="X49">
            <v>18</v>
          </cell>
          <cell r="Y49">
            <v>18</v>
          </cell>
          <cell r="Z49">
            <v>34</v>
          </cell>
          <cell r="AA49">
            <v>70</v>
          </cell>
          <cell r="AB49">
            <v>70</v>
          </cell>
          <cell r="AC49" t="str">
            <v>B2</v>
          </cell>
          <cell r="AD49">
            <v>16</v>
          </cell>
          <cell r="AE49">
            <v>10</v>
          </cell>
          <cell r="AF49">
            <v>35</v>
          </cell>
          <cell r="AG49">
            <v>61</v>
          </cell>
          <cell r="AH49">
            <v>61</v>
          </cell>
          <cell r="AI49" t="str">
            <v>B2</v>
          </cell>
          <cell r="AJ49">
            <v>20</v>
          </cell>
          <cell r="AK49">
            <v>20</v>
          </cell>
          <cell r="AL49">
            <v>27</v>
          </cell>
          <cell r="AM49">
            <v>67</v>
          </cell>
          <cell r="AN49">
            <v>67</v>
          </cell>
          <cell r="AO49" t="str">
            <v>B2</v>
          </cell>
          <cell r="AP49">
            <v>20</v>
          </cell>
          <cell r="AQ49">
            <v>10</v>
          </cell>
          <cell r="AR49">
            <v>0</v>
          </cell>
          <cell r="AS49">
            <v>30</v>
          </cell>
          <cell r="AT49">
            <v>30</v>
          </cell>
          <cell r="AU49" t="str">
            <v>F9</v>
          </cell>
          <cell r="AV49">
            <v>20</v>
          </cell>
          <cell r="AW49">
            <v>20</v>
          </cell>
          <cell r="AX49">
            <v>15</v>
          </cell>
          <cell r="AY49">
            <v>55</v>
          </cell>
          <cell r="AZ49">
            <v>55.000000000000007</v>
          </cell>
          <cell r="BA49" t="str">
            <v>C4</v>
          </cell>
          <cell r="BB49">
            <v>2</v>
          </cell>
          <cell r="BC49">
            <v>3</v>
          </cell>
          <cell r="BD49">
            <v>28</v>
          </cell>
          <cell r="BE49">
            <v>33</v>
          </cell>
          <cell r="BF49">
            <v>33</v>
          </cell>
          <cell r="BG49" t="str">
            <v>F9</v>
          </cell>
          <cell r="BH49">
            <v>10</v>
          </cell>
          <cell r="BI49">
            <v>7</v>
          </cell>
          <cell r="BJ49">
            <v>39</v>
          </cell>
          <cell r="BK49">
            <v>56</v>
          </cell>
          <cell r="BL49">
            <v>56.000000000000007</v>
          </cell>
          <cell r="BM49" t="str">
            <v>C4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 t="str">
            <v>F9</v>
          </cell>
          <cell r="BT49">
            <v>5</v>
          </cell>
          <cell r="BU49">
            <v>18</v>
          </cell>
          <cell r="BV49">
            <v>20</v>
          </cell>
          <cell r="BW49">
            <v>43</v>
          </cell>
          <cell r="BX49">
            <v>43</v>
          </cell>
          <cell r="BY49" t="str">
            <v>D</v>
          </cell>
          <cell r="BZ49">
            <v>15</v>
          </cell>
          <cell r="CA49">
            <v>20</v>
          </cell>
          <cell r="CB49">
            <v>50</v>
          </cell>
          <cell r="CC49">
            <v>85</v>
          </cell>
          <cell r="CD49">
            <v>85</v>
          </cell>
          <cell r="CE49" t="str">
            <v>A</v>
          </cell>
          <cell r="CF49">
            <v>10</v>
          </cell>
          <cell r="CG49">
            <v>10</v>
          </cell>
          <cell r="CH49">
            <v>37</v>
          </cell>
          <cell r="CI49">
            <v>57</v>
          </cell>
          <cell r="CJ49">
            <v>56.999999999999993</v>
          </cell>
          <cell r="CK49" t="str">
            <v>C4</v>
          </cell>
          <cell r="CL49">
            <v>20</v>
          </cell>
          <cell r="CM49">
            <v>12</v>
          </cell>
          <cell r="CN49">
            <v>16</v>
          </cell>
          <cell r="CO49">
            <v>48</v>
          </cell>
          <cell r="CP49">
            <v>48</v>
          </cell>
          <cell r="CQ49" t="str">
            <v>C5</v>
          </cell>
          <cell r="CR49">
            <v>12</v>
          </cell>
          <cell r="CS49">
            <v>20</v>
          </cell>
          <cell r="CT49">
            <v>30</v>
          </cell>
          <cell r="CU49">
            <v>62</v>
          </cell>
          <cell r="CV49">
            <v>62</v>
          </cell>
          <cell r="CW49" t="str">
            <v>B2</v>
          </cell>
          <cell r="CX49">
            <v>20</v>
          </cell>
          <cell r="CY49">
            <v>20</v>
          </cell>
          <cell r="CZ49">
            <v>50</v>
          </cell>
          <cell r="DA49">
            <v>90</v>
          </cell>
          <cell r="DB49">
            <v>90</v>
          </cell>
          <cell r="DC49" t="str">
            <v>A</v>
          </cell>
          <cell r="DD49">
            <v>13</v>
          </cell>
          <cell r="DE49">
            <v>17</v>
          </cell>
          <cell r="DF49">
            <v>32</v>
          </cell>
          <cell r="DG49">
            <v>62</v>
          </cell>
          <cell r="DH49">
            <v>62</v>
          </cell>
          <cell r="DI49" t="str">
            <v>B2</v>
          </cell>
          <cell r="DJ49">
            <v>1004</v>
          </cell>
          <cell r="DK49">
            <v>1003.9999999999999</v>
          </cell>
          <cell r="DL49">
            <v>0.59058823529411764</v>
          </cell>
          <cell r="DM49" t="str">
            <v>33rd</v>
          </cell>
          <cell r="DN49">
            <v>85</v>
          </cell>
          <cell r="DO49">
            <v>26</v>
          </cell>
          <cell r="DP49">
            <v>96</v>
          </cell>
          <cell r="DQ49" t="str">
            <v>14th</v>
          </cell>
          <cell r="DR49">
            <v>46</v>
          </cell>
          <cell r="DS49">
            <v>0</v>
          </cell>
          <cell r="DT49">
            <v>90</v>
          </cell>
          <cell r="DU49" t="str">
            <v>36th</v>
          </cell>
          <cell r="DV49">
            <v>54</v>
          </cell>
          <cell r="DW49">
            <v>0</v>
          </cell>
          <cell r="DX49">
            <v>78</v>
          </cell>
          <cell r="DY49" t="str">
            <v>25th</v>
          </cell>
          <cell r="DZ49">
            <v>70</v>
          </cell>
          <cell r="EA49">
            <v>10</v>
          </cell>
          <cell r="EB49">
            <v>93</v>
          </cell>
          <cell r="EC49" t="str">
            <v>5th</v>
          </cell>
          <cell r="ED49">
            <v>61</v>
          </cell>
          <cell r="EE49">
            <v>0</v>
          </cell>
          <cell r="EF49">
            <v>78</v>
          </cell>
          <cell r="EG49" t="str">
            <v>17th</v>
          </cell>
          <cell r="EH49">
            <v>67</v>
          </cell>
          <cell r="EI49">
            <v>36</v>
          </cell>
          <cell r="EJ49">
            <v>85</v>
          </cell>
          <cell r="EK49" t="str">
            <v>26th</v>
          </cell>
          <cell r="EL49">
            <v>30</v>
          </cell>
          <cell r="EM49">
            <v>0</v>
          </cell>
          <cell r="EN49">
            <v>87</v>
          </cell>
          <cell r="EO49" t="str">
            <v>46th</v>
          </cell>
          <cell r="EP49">
            <v>55</v>
          </cell>
          <cell r="EQ49">
            <v>0</v>
          </cell>
          <cell r="ER49">
            <v>100</v>
          </cell>
          <cell r="ES49" t="str">
            <v>34th</v>
          </cell>
          <cell r="ET49">
            <v>33</v>
          </cell>
          <cell r="EU49">
            <v>5</v>
          </cell>
          <cell r="EV49">
            <v>70</v>
          </cell>
          <cell r="EW49" t="str">
            <v>32nd</v>
          </cell>
          <cell r="EX49">
            <v>56</v>
          </cell>
          <cell r="EY49">
            <v>0</v>
          </cell>
          <cell r="EZ49">
            <v>86</v>
          </cell>
          <cell r="FA49" t="str">
            <v>32nd</v>
          </cell>
          <cell r="FB49">
            <v>0</v>
          </cell>
          <cell r="FC49">
            <v>0</v>
          </cell>
          <cell r="FD49">
            <v>0</v>
          </cell>
          <cell r="FE49" t="str">
            <v>1st</v>
          </cell>
          <cell r="FF49">
            <v>43</v>
          </cell>
          <cell r="FG49">
            <v>19</v>
          </cell>
          <cell r="FH49">
            <v>81</v>
          </cell>
          <cell r="FI49" t="str">
            <v>30th</v>
          </cell>
          <cell r="FJ49">
            <v>85</v>
          </cell>
          <cell r="FK49">
            <v>0</v>
          </cell>
          <cell r="FL49">
            <v>95</v>
          </cell>
          <cell r="FM49" t="str">
            <v>21st</v>
          </cell>
          <cell r="FN49">
            <v>57</v>
          </cell>
          <cell r="FO49">
            <v>0</v>
          </cell>
          <cell r="FP49">
            <v>84</v>
          </cell>
          <cell r="FQ49" t="str">
            <v>30th</v>
          </cell>
          <cell r="FR49">
            <v>48</v>
          </cell>
          <cell r="FS49">
            <v>0</v>
          </cell>
          <cell r="FT49">
            <v>82</v>
          </cell>
          <cell r="FU49" t="str">
            <v>34th</v>
          </cell>
          <cell r="FV49">
            <v>62</v>
          </cell>
          <cell r="FW49">
            <v>0</v>
          </cell>
          <cell r="FX49">
            <v>85</v>
          </cell>
          <cell r="FY49" t="str">
            <v>18th</v>
          </cell>
          <cell r="FZ49">
            <v>90</v>
          </cell>
          <cell r="GA49">
            <v>0</v>
          </cell>
          <cell r="GB49">
            <v>95</v>
          </cell>
          <cell r="GC49" t="str">
            <v>7th</v>
          </cell>
          <cell r="GD49">
            <v>62</v>
          </cell>
          <cell r="GE49">
            <v>24</v>
          </cell>
          <cell r="GF49">
            <v>71</v>
          </cell>
          <cell r="GG49" t="str">
            <v>9th</v>
          </cell>
        </row>
        <row r="50">
          <cell r="A50" t="str">
            <v>BDS/22/072</v>
          </cell>
          <cell r="B50" t="str">
            <v>IKECHUKWU OBINNA</v>
          </cell>
          <cell r="C50">
            <v>0</v>
          </cell>
          <cell r="D50">
            <v>0</v>
          </cell>
          <cell r="E50">
            <v>0</v>
          </cell>
          <cell r="F50">
            <v>11</v>
          </cell>
          <cell r="G50">
            <v>20</v>
          </cell>
          <cell r="H50">
            <v>41</v>
          </cell>
          <cell r="I50">
            <v>72</v>
          </cell>
          <cell r="J50">
            <v>72</v>
          </cell>
          <cell r="K50" t="str">
            <v>B1</v>
          </cell>
          <cell r="L50">
            <v>20</v>
          </cell>
          <cell r="M50">
            <v>15</v>
          </cell>
          <cell r="N50">
            <v>23</v>
          </cell>
          <cell r="O50">
            <v>58</v>
          </cell>
          <cell r="P50">
            <v>57.999999999999993</v>
          </cell>
          <cell r="Q50" t="str">
            <v>C4</v>
          </cell>
          <cell r="R50">
            <v>12</v>
          </cell>
          <cell r="S50">
            <v>20</v>
          </cell>
          <cell r="T50">
            <v>43</v>
          </cell>
          <cell r="U50">
            <v>75</v>
          </cell>
          <cell r="V50">
            <v>75</v>
          </cell>
          <cell r="W50" t="str">
            <v>B1</v>
          </cell>
          <cell r="X50">
            <v>15</v>
          </cell>
          <cell r="Y50">
            <v>15</v>
          </cell>
          <cell r="Z50">
            <v>37</v>
          </cell>
          <cell r="AA50">
            <v>67</v>
          </cell>
          <cell r="AB50">
            <v>67</v>
          </cell>
          <cell r="AC50" t="str">
            <v>B2</v>
          </cell>
          <cell r="AD50">
            <v>20</v>
          </cell>
          <cell r="AE50">
            <v>12</v>
          </cell>
          <cell r="AF50">
            <v>45</v>
          </cell>
          <cell r="AG50">
            <v>77</v>
          </cell>
          <cell r="AH50">
            <v>77</v>
          </cell>
          <cell r="AI50" t="str">
            <v>B1</v>
          </cell>
          <cell r="AJ50">
            <v>18</v>
          </cell>
          <cell r="AK50">
            <v>18</v>
          </cell>
          <cell r="AL50">
            <v>25</v>
          </cell>
          <cell r="AM50">
            <v>61</v>
          </cell>
          <cell r="AN50">
            <v>61</v>
          </cell>
          <cell r="AO50" t="str">
            <v>B2</v>
          </cell>
          <cell r="AP50">
            <v>18</v>
          </cell>
          <cell r="AQ50">
            <v>10</v>
          </cell>
          <cell r="AR50">
            <v>54</v>
          </cell>
          <cell r="AS50">
            <v>82</v>
          </cell>
          <cell r="AT50">
            <v>82</v>
          </cell>
          <cell r="AU50" t="str">
            <v>A</v>
          </cell>
          <cell r="AV50">
            <v>20</v>
          </cell>
          <cell r="AW50">
            <v>20</v>
          </cell>
          <cell r="AX50">
            <v>50</v>
          </cell>
          <cell r="AY50">
            <v>90</v>
          </cell>
          <cell r="AZ50">
            <v>90</v>
          </cell>
          <cell r="BA50" t="str">
            <v>A</v>
          </cell>
          <cell r="BB50">
            <v>18</v>
          </cell>
          <cell r="BC50">
            <v>7</v>
          </cell>
          <cell r="BD50">
            <v>35</v>
          </cell>
          <cell r="BE50">
            <v>60</v>
          </cell>
          <cell r="BF50">
            <v>60</v>
          </cell>
          <cell r="BG50" t="str">
            <v>C4</v>
          </cell>
          <cell r="BH50">
            <v>10</v>
          </cell>
          <cell r="BI50">
            <v>17</v>
          </cell>
          <cell r="BJ50">
            <v>45</v>
          </cell>
          <cell r="BK50">
            <v>72</v>
          </cell>
          <cell r="BL50">
            <v>72</v>
          </cell>
          <cell r="BM50" t="str">
            <v>B1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 t="str">
            <v>F9</v>
          </cell>
          <cell r="BT50">
            <v>20</v>
          </cell>
          <cell r="BU50">
            <v>16</v>
          </cell>
          <cell r="BV50">
            <v>30</v>
          </cell>
          <cell r="BW50">
            <v>66</v>
          </cell>
          <cell r="BX50">
            <v>66</v>
          </cell>
          <cell r="BY50" t="str">
            <v>B2</v>
          </cell>
          <cell r="BZ50">
            <v>15</v>
          </cell>
          <cell r="CA50">
            <v>20</v>
          </cell>
          <cell r="CB50">
            <v>50</v>
          </cell>
          <cell r="CC50">
            <v>85</v>
          </cell>
          <cell r="CD50">
            <v>85</v>
          </cell>
          <cell r="CE50" t="str">
            <v>A</v>
          </cell>
          <cell r="CF50">
            <v>17</v>
          </cell>
          <cell r="CG50">
            <v>10</v>
          </cell>
          <cell r="CH50">
            <v>44</v>
          </cell>
          <cell r="CI50">
            <v>71</v>
          </cell>
          <cell r="CJ50">
            <v>71</v>
          </cell>
          <cell r="CK50" t="str">
            <v>B1</v>
          </cell>
          <cell r="CL50">
            <v>20</v>
          </cell>
          <cell r="CM50">
            <v>10</v>
          </cell>
          <cell r="CN50">
            <v>40</v>
          </cell>
          <cell r="CO50">
            <v>70</v>
          </cell>
          <cell r="CP50">
            <v>70</v>
          </cell>
          <cell r="CQ50" t="str">
            <v>B2</v>
          </cell>
          <cell r="CR50">
            <v>9</v>
          </cell>
          <cell r="CS50">
            <v>20</v>
          </cell>
          <cell r="CT50">
            <v>44</v>
          </cell>
          <cell r="CU50">
            <v>73</v>
          </cell>
          <cell r="CV50">
            <v>73</v>
          </cell>
          <cell r="CW50" t="str">
            <v>B1</v>
          </cell>
          <cell r="CX50">
            <v>15</v>
          </cell>
          <cell r="CY50">
            <v>20</v>
          </cell>
          <cell r="CZ50">
            <v>50</v>
          </cell>
          <cell r="DA50">
            <v>85</v>
          </cell>
          <cell r="DB50">
            <v>85</v>
          </cell>
          <cell r="DC50" t="str">
            <v>A</v>
          </cell>
          <cell r="DD50">
            <v>19</v>
          </cell>
          <cell r="DE50">
            <v>17</v>
          </cell>
          <cell r="DF50">
            <v>20</v>
          </cell>
          <cell r="DG50">
            <v>56</v>
          </cell>
          <cell r="DH50">
            <v>56.000000000000007</v>
          </cell>
          <cell r="DI50" t="str">
            <v>C4</v>
          </cell>
          <cell r="DJ50">
            <v>1220</v>
          </cell>
          <cell r="DK50">
            <v>1220</v>
          </cell>
          <cell r="DL50">
            <v>0.71764705882352942</v>
          </cell>
          <cell r="DM50" t="str">
            <v>6th</v>
          </cell>
          <cell r="DN50">
            <v>72</v>
          </cell>
          <cell r="DO50">
            <v>26</v>
          </cell>
          <cell r="DP50">
            <v>96</v>
          </cell>
          <cell r="DQ50" t="str">
            <v>29th</v>
          </cell>
          <cell r="DR50">
            <v>58</v>
          </cell>
          <cell r="DS50">
            <v>0</v>
          </cell>
          <cell r="DT50">
            <v>90</v>
          </cell>
          <cell r="DU50" t="str">
            <v>28th</v>
          </cell>
          <cell r="DV50">
            <v>75</v>
          </cell>
          <cell r="DW50">
            <v>0</v>
          </cell>
          <cell r="DX50">
            <v>78</v>
          </cell>
          <cell r="DY50" t="str">
            <v>2nd</v>
          </cell>
          <cell r="DZ50">
            <v>67</v>
          </cell>
          <cell r="EA50">
            <v>10</v>
          </cell>
          <cell r="EB50">
            <v>93</v>
          </cell>
          <cell r="EC50" t="str">
            <v>12th</v>
          </cell>
          <cell r="ED50">
            <v>77</v>
          </cell>
          <cell r="EE50">
            <v>0</v>
          </cell>
          <cell r="EF50">
            <v>78</v>
          </cell>
          <cell r="EG50" t="str">
            <v>3rd</v>
          </cell>
          <cell r="EH50">
            <v>61</v>
          </cell>
          <cell r="EI50">
            <v>36</v>
          </cell>
          <cell r="EJ50">
            <v>85</v>
          </cell>
          <cell r="EK50" t="str">
            <v>35th</v>
          </cell>
          <cell r="EL50">
            <v>82</v>
          </cell>
          <cell r="EM50">
            <v>0</v>
          </cell>
          <cell r="EN50">
            <v>87</v>
          </cell>
          <cell r="EO50" t="str">
            <v>10th</v>
          </cell>
          <cell r="EP50">
            <v>90</v>
          </cell>
          <cell r="EQ50">
            <v>0</v>
          </cell>
          <cell r="ER50">
            <v>100</v>
          </cell>
          <cell r="ES50" t="str">
            <v>6th</v>
          </cell>
          <cell r="ET50">
            <v>60</v>
          </cell>
          <cell r="EU50">
            <v>5</v>
          </cell>
          <cell r="EV50">
            <v>70</v>
          </cell>
          <cell r="EW50" t="str">
            <v>5th</v>
          </cell>
          <cell r="EX50">
            <v>72</v>
          </cell>
          <cell r="EY50">
            <v>0</v>
          </cell>
          <cell r="EZ50">
            <v>86</v>
          </cell>
          <cell r="FA50" t="str">
            <v>13th</v>
          </cell>
          <cell r="FB50">
            <v>0</v>
          </cell>
          <cell r="FC50">
            <v>0</v>
          </cell>
          <cell r="FD50">
            <v>0</v>
          </cell>
          <cell r="FE50" t="str">
            <v>1st</v>
          </cell>
          <cell r="FF50">
            <v>66</v>
          </cell>
          <cell r="FG50">
            <v>19</v>
          </cell>
          <cell r="FH50">
            <v>81</v>
          </cell>
          <cell r="FI50" t="str">
            <v>4th</v>
          </cell>
          <cell r="FJ50">
            <v>85</v>
          </cell>
          <cell r="FK50">
            <v>0</v>
          </cell>
          <cell r="FL50">
            <v>95</v>
          </cell>
          <cell r="FM50" t="str">
            <v>21st</v>
          </cell>
          <cell r="FN50">
            <v>71</v>
          </cell>
          <cell r="FO50">
            <v>0</v>
          </cell>
          <cell r="FP50">
            <v>84</v>
          </cell>
          <cell r="FQ50" t="str">
            <v>13th</v>
          </cell>
          <cell r="FR50">
            <v>70</v>
          </cell>
          <cell r="FS50">
            <v>0</v>
          </cell>
          <cell r="FT50">
            <v>82</v>
          </cell>
          <cell r="FU50" t="str">
            <v>5th</v>
          </cell>
          <cell r="FV50">
            <v>73</v>
          </cell>
          <cell r="FW50">
            <v>0</v>
          </cell>
          <cell r="FX50">
            <v>85</v>
          </cell>
          <cell r="FY50" t="str">
            <v>6th</v>
          </cell>
          <cell r="FZ50">
            <v>85</v>
          </cell>
          <cell r="GA50">
            <v>0</v>
          </cell>
          <cell r="GB50">
            <v>95</v>
          </cell>
          <cell r="GC50" t="str">
            <v>31st</v>
          </cell>
          <cell r="GD50">
            <v>56</v>
          </cell>
          <cell r="GE50">
            <v>24</v>
          </cell>
          <cell r="GF50">
            <v>71</v>
          </cell>
          <cell r="GG50" t="str">
            <v>17th</v>
          </cell>
        </row>
        <row r="51">
          <cell r="A51" t="str">
            <v>BDS/22/073</v>
          </cell>
          <cell r="B51" t="str">
            <v>JOHNSON NMESOMA</v>
          </cell>
          <cell r="C51">
            <v>0</v>
          </cell>
          <cell r="D51">
            <v>0</v>
          </cell>
          <cell r="E51">
            <v>0</v>
          </cell>
          <cell r="F51">
            <v>15</v>
          </cell>
          <cell r="G51">
            <v>20</v>
          </cell>
          <cell r="H51">
            <v>42</v>
          </cell>
          <cell r="I51">
            <v>77</v>
          </cell>
          <cell r="J51">
            <v>77</v>
          </cell>
          <cell r="K51" t="str">
            <v>B1</v>
          </cell>
          <cell r="L51">
            <v>20</v>
          </cell>
          <cell r="M51">
            <v>15</v>
          </cell>
          <cell r="N51">
            <v>14</v>
          </cell>
          <cell r="O51">
            <v>49</v>
          </cell>
          <cell r="P51">
            <v>49</v>
          </cell>
          <cell r="Q51" t="str">
            <v>C5</v>
          </cell>
          <cell r="R51">
            <v>10</v>
          </cell>
          <cell r="S51">
            <v>20</v>
          </cell>
          <cell r="T51">
            <v>39</v>
          </cell>
          <cell r="U51">
            <v>69</v>
          </cell>
          <cell r="V51">
            <v>69</v>
          </cell>
          <cell r="W51" t="str">
            <v>B2</v>
          </cell>
          <cell r="X51">
            <v>14</v>
          </cell>
          <cell r="Y51">
            <v>14</v>
          </cell>
          <cell r="Z51">
            <v>24</v>
          </cell>
          <cell r="AA51">
            <v>52</v>
          </cell>
          <cell r="AB51">
            <v>52</v>
          </cell>
          <cell r="AC51" t="str">
            <v>C4</v>
          </cell>
          <cell r="AD51">
            <v>12</v>
          </cell>
          <cell r="AE51">
            <v>10</v>
          </cell>
          <cell r="AF51">
            <v>40</v>
          </cell>
          <cell r="AG51">
            <v>62</v>
          </cell>
          <cell r="AH51">
            <v>62</v>
          </cell>
          <cell r="AI51" t="str">
            <v>B2</v>
          </cell>
          <cell r="AJ51">
            <v>18</v>
          </cell>
          <cell r="AK51">
            <v>18</v>
          </cell>
          <cell r="AL51">
            <v>33</v>
          </cell>
          <cell r="AM51">
            <v>69</v>
          </cell>
          <cell r="AN51">
            <v>69</v>
          </cell>
          <cell r="AO51" t="str">
            <v>B2</v>
          </cell>
          <cell r="AP51">
            <v>20</v>
          </cell>
          <cell r="AQ51">
            <v>10</v>
          </cell>
          <cell r="AR51">
            <v>50</v>
          </cell>
          <cell r="AS51">
            <v>80</v>
          </cell>
          <cell r="AT51">
            <v>80</v>
          </cell>
          <cell r="AU51" t="str">
            <v>B1</v>
          </cell>
          <cell r="AV51">
            <v>20</v>
          </cell>
          <cell r="AW51">
            <v>20</v>
          </cell>
          <cell r="AX51">
            <v>57</v>
          </cell>
          <cell r="AY51">
            <v>97</v>
          </cell>
          <cell r="AZ51">
            <v>97</v>
          </cell>
          <cell r="BA51" t="str">
            <v>A</v>
          </cell>
          <cell r="BB51">
            <v>2</v>
          </cell>
          <cell r="BC51">
            <v>3</v>
          </cell>
          <cell r="BD51">
            <v>30</v>
          </cell>
          <cell r="BE51">
            <v>35</v>
          </cell>
          <cell r="BF51">
            <v>35</v>
          </cell>
          <cell r="BG51" t="str">
            <v>F9</v>
          </cell>
          <cell r="BH51">
            <v>12</v>
          </cell>
          <cell r="BI51">
            <v>12</v>
          </cell>
          <cell r="BJ51">
            <v>36</v>
          </cell>
          <cell r="BK51">
            <v>60</v>
          </cell>
          <cell r="BL51">
            <v>60</v>
          </cell>
          <cell r="BM51" t="str">
            <v>C4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 t="str">
            <v>F9</v>
          </cell>
          <cell r="BT51">
            <v>5</v>
          </cell>
          <cell r="BU51">
            <v>14</v>
          </cell>
          <cell r="BV51">
            <v>26</v>
          </cell>
          <cell r="BW51">
            <v>45</v>
          </cell>
          <cell r="BX51">
            <v>45</v>
          </cell>
          <cell r="BY51" t="str">
            <v>D</v>
          </cell>
          <cell r="BZ51">
            <v>15</v>
          </cell>
          <cell r="CA51">
            <v>20</v>
          </cell>
          <cell r="CB51">
            <v>55</v>
          </cell>
          <cell r="CC51">
            <v>90</v>
          </cell>
          <cell r="CD51">
            <v>90</v>
          </cell>
          <cell r="CE51" t="str">
            <v>A</v>
          </cell>
          <cell r="CF51">
            <v>19</v>
          </cell>
          <cell r="CG51">
            <v>10</v>
          </cell>
          <cell r="CH51">
            <v>44</v>
          </cell>
          <cell r="CI51">
            <v>73</v>
          </cell>
          <cell r="CJ51">
            <v>73</v>
          </cell>
          <cell r="CK51" t="str">
            <v>B1</v>
          </cell>
          <cell r="CL51">
            <v>20</v>
          </cell>
          <cell r="CM51">
            <v>10</v>
          </cell>
          <cell r="CN51">
            <v>33</v>
          </cell>
          <cell r="CO51">
            <v>63</v>
          </cell>
          <cell r="CP51">
            <v>63</v>
          </cell>
          <cell r="CQ51" t="str">
            <v>B2</v>
          </cell>
          <cell r="CR51">
            <v>0</v>
          </cell>
          <cell r="CS51">
            <v>20</v>
          </cell>
          <cell r="CT51">
            <v>26</v>
          </cell>
          <cell r="CU51">
            <v>46</v>
          </cell>
          <cell r="CV51">
            <v>46</v>
          </cell>
          <cell r="CW51" t="str">
            <v>C5</v>
          </cell>
          <cell r="CX51">
            <v>15</v>
          </cell>
          <cell r="CY51">
            <v>20</v>
          </cell>
          <cell r="CZ51">
            <v>55</v>
          </cell>
          <cell r="DA51">
            <v>90</v>
          </cell>
          <cell r="DB51">
            <v>90</v>
          </cell>
          <cell r="DC51" t="str">
            <v>A</v>
          </cell>
          <cell r="DD51">
            <v>15</v>
          </cell>
          <cell r="DE51">
            <v>17</v>
          </cell>
          <cell r="DF51">
            <v>26</v>
          </cell>
          <cell r="DG51">
            <v>58</v>
          </cell>
          <cell r="DH51">
            <v>57.999999999999993</v>
          </cell>
          <cell r="DI51" t="str">
            <v>C4</v>
          </cell>
          <cell r="DJ51">
            <v>1115</v>
          </cell>
          <cell r="DK51">
            <v>1115</v>
          </cell>
          <cell r="DL51">
            <v>0.65588235294117647</v>
          </cell>
          <cell r="DM51" t="str">
            <v>17th</v>
          </cell>
          <cell r="DN51">
            <v>77</v>
          </cell>
          <cell r="DO51">
            <v>26</v>
          </cell>
          <cell r="DP51">
            <v>96</v>
          </cell>
          <cell r="DQ51" t="str">
            <v>23rd</v>
          </cell>
          <cell r="DR51">
            <v>49</v>
          </cell>
          <cell r="DS51">
            <v>0</v>
          </cell>
          <cell r="DT51">
            <v>90</v>
          </cell>
          <cell r="DU51" t="str">
            <v>34th</v>
          </cell>
          <cell r="DV51">
            <v>69</v>
          </cell>
          <cell r="DW51">
            <v>0</v>
          </cell>
          <cell r="DX51">
            <v>78</v>
          </cell>
          <cell r="DY51" t="str">
            <v>5th</v>
          </cell>
          <cell r="DZ51">
            <v>52</v>
          </cell>
          <cell r="EA51">
            <v>10</v>
          </cell>
          <cell r="EB51">
            <v>93</v>
          </cell>
          <cell r="EC51" t="str">
            <v>28th</v>
          </cell>
          <cell r="ED51">
            <v>62</v>
          </cell>
          <cell r="EE51">
            <v>0</v>
          </cell>
          <cell r="EF51">
            <v>78</v>
          </cell>
          <cell r="EG51" t="str">
            <v>15th</v>
          </cell>
          <cell r="EH51">
            <v>69</v>
          </cell>
          <cell r="EI51">
            <v>36</v>
          </cell>
          <cell r="EJ51">
            <v>85</v>
          </cell>
          <cell r="EK51" t="str">
            <v>18th</v>
          </cell>
          <cell r="EL51">
            <v>80</v>
          </cell>
          <cell r="EM51">
            <v>0</v>
          </cell>
          <cell r="EN51">
            <v>87</v>
          </cell>
          <cell r="EO51" t="str">
            <v>14th</v>
          </cell>
          <cell r="EP51">
            <v>97</v>
          </cell>
          <cell r="EQ51">
            <v>0</v>
          </cell>
          <cell r="ER51">
            <v>100</v>
          </cell>
          <cell r="ES51" t="str">
            <v>3rd</v>
          </cell>
          <cell r="ET51">
            <v>35</v>
          </cell>
          <cell r="EU51">
            <v>5</v>
          </cell>
          <cell r="EV51">
            <v>70</v>
          </cell>
          <cell r="EW51" t="str">
            <v>30th</v>
          </cell>
          <cell r="EX51">
            <v>60</v>
          </cell>
          <cell r="EY51">
            <v>0</v>
          </cell>
          <cell r="EZ51">
            <v>86</v>
          </cell>
          <cell r="FA51" t="str">
            <v>26th</v>
          </cell>
          <cell r="FB51">
            <v>0</v>
          </cell>
          <cell r="FC51">
            <v>0</v>
          </cell>
          <cell r="FD51">
            <v>0</v>
          </cell>
          <cell r="FE51" t="str">
            <v>1st</v>
          </cell>
          <cell r="FF51">
            <v>45</v>
          </cell>
          <cell r="FG51">
            <v>19</v>
          </cell>
          <cell r="FH51">
            <v>81</v>
          </cell>
          <cell r="FI51" t="str">
            <v>26th</v>
          </cell>
          <cell r="FJ51">
            <v>90</v>
          </cell>
          <cell r="FK51">
            <v>0</v>
          </cell>
          <cell r="FL51">
            <v>95</v>
          </cell>
          <cell r="FM51" t="str">
            <v>6th</v>
          </cell>
          <cell r="FN51">
            <v>73</v>
          </cell>
          <cell r="FO51">
            <v>0</v>
          </cell>
          <cell r="FP51">
            <v>84</v>
          </cell>
          <cell r="FQ51" t="str">
            <v>8th</v>
          </cell>
          <cell r="FR51">
            <v>63</v>
          </cell>
          <cell r="FS51">
            <v>0</v>
          </cell>
          <cell r="FT51">
            <v>82</v>
          </cell>
          <cell r="FU51" t="str">
            <v>12th</v>
          </cell>
          <cell r="FV51">
            <v>46</v>
          </cell>
          <cell r="FW51">
            <v>0</v>
          </cell>
          <cell r="FX51">
            <v>85</v>
          </cell>
          <cell r="FY51" t="str">
            <v>36th</v>
          </cell>
          <cell r="FZ51">
            <v>90</v>
          </cell>
          <cell r="GA51">
            <v>0</v>
          </cell>
          <cell r="GB51">
            <v>95</v>
          </cell>
          <cell r="GC51" t="str">
            <v>7th</v>
          </cell>
          <cell r="GD51">
            <v>58</v>
          </cell>
          <cell r="GE51">
            <v>24</v>
          </cell>
          <cell r="GF51">
            <v>71</v>
          </cell>
          <cell r="GG51" t="str">
            <v>13th</v>
          </cell>
        </row>
        <row r="52">
          <cell r="A52" t="str">
            <v>BDS/22/074</v>
          </cell>
          <cell r="B52" t="str">
            <v>NDUKA DIVINE</v>
          </cell>
          <cell r="C52">
            <v>0</v>
          </cell>
          <cell r="D52">
            <v>0</v>
          </cell>
          <cell r="E52">
            <v>0</v>
          </cell>
          <cell r="F52">
            <v>10</v>
          </cell>
          <cell r="G52">
            <v>10</v>
          </cell>
          <cell r="H52">
            <v>47</v>
          </cell>
          <cell r="I52">
            <v>67</v>
          </cell>
          <cell r="J52">
            <v>67</v>
          </cell>
          <cell r="K52" t="str">
            <v>B2</v>
          </cell>
          <cell r="L52">
            <v>20</v>
          </cell>
          <cell r="M52">
            <v>15</v>
          </cell>
          <cell r="N52">
            <v>24</v>
          </cell>
          <cell r="O52">
            <v>59</v>
          </cell>
          <cell r="P52">
            <v>59</v>
          </cell>
          <cell r="Q52" t="str">
            <v>C4</v>
          </cell>
          <cell r="R52">
            <v>10</v>
          </cell>
          <cell r="S52">
            <v>20</v>
          </cell>
          <cell r="T52">
            <v>27</v>
          </cell>
          <cell r="U52">
            <v>57</v>
          </cell>
          <cell r="V52">
            <v>56.999999999999993</v>
          </cell>
          <cell r="W52" t="str">
            <v>C4</v>
          </cell>
          <cell r="X52">
            <v>16</v>
          </cell>
          <cell r="Y52">
            <v>16</v>
          </cell>
          <cell r="Z52">
            <v>42</v>
          </cell>
          <cell r="AA52">
            <v>74</v>
          </cell>
          <cell r="AB52">
            <v>74</v>
          </cell>
          <cell r="AC52" t="str">
            <v>B1</v>
          </cell>
          <cell r="AD52">
            <v>10</v>
          </cell>
          <cell r="AE52">
            <v>8</v>
          </cell>
          <cell r="AF52">
            <v>30</v>
          </cell>
          <cell r="AG52">
            <v>48</v>
          </cell>
          <cell r="AH52">
            <v>48</v>
          </cell>
          <cell r="AI52" t="str">
            <v>C5</v>
          </cell>
          <cell r="AJ52">
            <v>20</v>
          </cell>
          <cell r="AK52">
            <v>20</v>
          </cell>
          <cell r="AL52">
            <v>37</v>
          </cell>
          <cell r="AM52">
            <v>77</v>
          </cell>
          <cell r="AN52">
            <v>77</v>
          </cell>
          <cell r="AO52" t="str">
            <v>B1</v>
          </cell>
          <cell r="AP52">
            <v>18</v>
          </cell>
          <cell r="AQ52">
            <v>10</v>
          </cell>
          <cell r="AR52">
            <v>58</v>
          </cell>
          <cell r="AS52">
            <v>86</v>
          </cell>
          <cell r="AT52">
            <v>86</v>
          </cell>
          <cell r="AU52" t="str">
            <v>A</v>
          </cell>
          <cell r="AV52">
            <v>14</v>
          </cell>
          <cell r="AW52">
            <v>20</v>
          </cell>
          <cell r="AX52">
            <v>11</v>
          </cell>
          <cell r="AY52">
            <v>45</v>
          </cell>
          <cell r="AZ52">
            <v>45</v>
          </cell>
          <cell r="BA52" t="str">
            <v>D</v>
          </cell>
          <cell r="BB52">
            <v>10</v>
          </cell>
          <cell r="BC52">
            <v>10</v>
          </cell>
          <cell r="BD52">
            <v>26</v>
          </cell>
          <cell r="BE52">
            <v>46</v>
          </cell>
          <cell r="BF52">
            <v>46</v>
          </cell>
          <cell r="BG52" t="str">
            <v>C5</v>
          </cell>
          <cell r="BH52">
            <v>19</v>
          </cell>
          <cell r="BI52">
            <v>20</v>
          </cell>
          <cell r="BJ52">
            <v>47</v>
          </cell>
          <cell r="BK52">
            <v>86</v>
          </cell>
          <cell r="BL52">
            <v>86</v>
          </cell>
          <cell r="BM52" t="str">
            <v>A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 t="str">
            <v>F9</v>
          </cell>
          <cell r="BT52">
            <v>20</v>
          </cell>
          <cell r="BU52">
            <v>8</v>
          </cell>
          <cell r="BV52">
            <v>15</v>
          </cell>
          <cell r="BW52">
            <v>43</v>
          </cell>
          <cell r="BX52">
            <v>43</v>
          </cell>
          <cell r="BY52" t="str">
            <v>D</v>
          </cell>
          <cell r="BZ52">
            <v>20</v>
          </cell>
          <cell r="CA52">
            <v>20</v>
          </cell>
          <cell r="CB52">
            <v>55</v>
          </cell>
          <cell r="CC52">
            <v>95</v>
          </cell>
          <cell r="CD52">
            <v>95</v>
          </cell>
          <cell r="CE52" t="str">
            <v>A</v>
          </cell>
          <cell r="CF52">
            <v>20</v>
          </cell>
          <cell r="CG52">
            <v>20</v>
          </cell>
          <cell r="CH52">
            <v>24</v>
          </cell>
          <cell r="CI52">
            <v>64</v>
          </cell>
          <cell r="CJ52">
            <v>64</v>
          </cell>
          <cell r="CK52" t="str">
            <v>B2</v>
          </cell>
          <cell r="CL52">
            <v>20</v>
          </cell>
          <cell r="CM52">
            <v>7</v>
          </cell>
          <cell r="CN52">
            <v>28</v>
          </cell>
          <cell r="CO52">
            <v>55</v>
          </cell>
          <cell r="CP52">
            <v>55.000000000000007</v>
          </cell>
          <cell r="CQ52" t="str">
            <v>C4</v>
          </cell>
          <cell r="CR52">
            <v>12</v>
          </cell>
          <cell r="CS52">
            <v>20</v>
          </cell>
          <cell r="CT52">
            <v>19</v>
          </cell>
          <cell r="CU52">
            <v>51</v>
          </cell>
          <cell r="CV52">
            <v>51</v>
          </cell>
          <cell r="CW52" t="str">
            <v>C4</v>
          </cell>
          <cell r="CX52">
            <v>15</v>
          </cell>
          <cell r="CY52">
            <v>20</v>
          </cell>
          <cell r="CZ52">
            <v>55</v>
          </cell>
          <cell r="DA52">
            <v>90</v>
          </cell>
          <cell r="DB52">
            <v>90</v>
          </cell>
          <cell r="DC52" t="str">
            <v>A</v>
          </cell>
          <cell r="DD52">
            <v>3</v>
          </cell>
          <cell r="DE52">
            <v>17</v>
          </cell>
          <cell r="DF52">
            <v>14</v>
          </cell>
          <cell r="DG52">
            <v>34</v>
          </cell>
          <cell r="DH52">
            <v>34</v>
          </cell>
          <cell r="DI52" t="str">
            <v>F9</v>
          </cell>
          <cell r="DJ52">
            <v>1077</v>
          </cell>
          <cell r="DK52">
            <v>1077</v>
          </cell>
          <cell r="DL52">
            <v>0.6335294117647059</v>
          </cell>
          <cell r="DM52" t="str">
            <v>23rd</v>
          </cell>
          <cell r="DN52">
            <v>67</v>
          </cell>
          <cell r="DO52">
            <v>26</v>
          </cell>
          <cell r="DP52">
            <v>96</v>
          </cell>
          <cell r="DQ52" t="str">
            <v>35th</v>
          </cell>
          <cell r="DR52">
            <v>59</v>
          </cell>
          <cell r="DS52">
            <v>0</v>
          </cell>
          <cell r="DT52">
            <v>90</v>
          </cell>
          <cell r="DU52" t="str">
            <v>26th</v>
          </cell>
          <cell r="DV52">
            <v>57</v>
          </cell>
          <cell r="DW52">
            <v>0</v>
          </cell>
          <cell r="DX52">
            <v>78</v>
          </cell>
          <cell r="DY52" t="str">
            <v>20th</v>
          </cell>
          <cell r="DZ52">
            <v>74</v>
          </cell>
          <cell r="EA52">
            <v>10</v>
          </cell>
          <cell r="EB52">
            <v>93</v>
          </cell>
          <cell r="EC52" t="str">
            <v>3rd</v>
          </cell>
          <cell r="ED52">
            <v>48</v>
          </cell>
          <cell r="EE52">
            <v>0</v>
          </cell>
          <cell r="EF52">
            <v>78</v>
          </cell>
          <cell r="EG52" t="str">
            <v>30th</v>
          </cell>
          <cell r="EH52">
            <v>77</v>
          </cell>
          <cell r="EI52">
            <v>36</v>
          </cell>
          <cell r="EJ52">
            <v>85</v>
          </cell>
          <cell r="EK52" t="str">
            <v>6th</v>
          </cell>
          <cell r="EL52">
            <v>86</v>
          </cell>
          <cell r="EM52">
            <v>0</v>
          </cell>
          <cell r="EN52">
            <v>87</v>
          </cell>
          <cell r="EO52" t="str">
            <v>2nd</v>
          </cell>
          <cell r="EP52">
            <v>45</v>
          </cell>
          <cell r="EQ52">
            <v>0</v>
          </cell>
          <cell r="ER52">
            <v>100</v>
          </cell>
          <cell r="ES52" t="str">
            <v>36th</v>
          </cell>
          <cell r="ET52">
            <v>46</v>
          </cell>
          <cell r="EU52">
            <v>5</v>
          </cell>
          <cell r="EV52">
            <v>70</v>
          </cell>
          <cell r="EW52" t="str">
            <v>13th</v>
          </cell>
          <cell r="EX52">
            <v>86</v>
          </cell>
          <cell r="EY52">
            <v>0</v>
          </cell>
          <cell r="EZ52">
            <v>86</v>
          </cell>
          <cell r="FA52" t="str">
            <v>1st</v>
          </cell>
          <cell r="FB52">
            <v>0</v>
          </cell>
          <cell r="FC52">
            <v>0</v>
          </cell>
          <cell r="FD52">
            <v>0</v>
          </cell>
          <cell r="FE52" t="str">
            <v>1st</v>
          </cell>
          <cell r="FF52">
            <v>43</v>
          </cell>
          <cell r="FG52">
            <v>19</v>
          </cell>
          <cell r="FH52">
            <v>81</v>
          </cell>
          <cell r="FI52" t="str">
            <v>30th</v>
          </cell>
          <cell r="FJ52">
            <v>95</v>
          </cell>
          <cell r="FK52">
            <v>0</v>
          </cell>
          <cell r="FL52">
            <v>95</v>
          </cell>
          <cell r="FM52" t="str">
            <v>1st</v>
          </cell>
          <cell r="FN52">
            <v>64</v>
          </cell>
          <cell r="FO52">
            <v>0</v>
          </cell>
          <cell r="FP52">
            <v>84</v>
          </cell>
          <cell r="FQ52" t="str">
            <v>22nd</v>
          </cell>
          <cell r="FR52">
            <v>55</v>
          </cell>
          <cell r="FS52">
            <v>0</v>
          </cell>
          <cell r="FT52">
            <v>82</v>
          </cell>
          <cell r="FU52" t="str">
            <v>23rd</v>
          </cell>
          <cell r="FV52">
            <v>51</v>
          </cell>
          <cell r="FW52">
            <v>0</v>
          </cell>
          <cell r="FX52">
            <v>85</v>
          </cell>
          <cell r="FY52" t="str">
            <v>28th</v>
          </cell>
          <cell r="FZ52">
            <v>90</v>
          </cell>
          <cell r="GA52">
            <v>0</v>
          </cell>
          <cell r="GB52">
            <v>95</v>
          </cell>
          <cell r="GC52" t="str">
            <v>7th</v>
          </cell>
          <cell r="GD52">
            <v>34</v>
          </cell>
          <cell r="GE52">
            <v>24</v>
          </cell>
          <cell r="GF52">
            <v>71</v>
          </cell>
          <cell r="GG52" t="str">
            <v>44th</v>
          </cell>
        </row>
        <row r="53">
          <cell r="A53" t="str">
            <v>BDS/22/075</v>
          </cell>
          <cell r="B53" t="str">
            <v>SUNDAY DIVINE</v>
          </cell>
          <cell r="C53">
            <v>0</v>
          </cell>
          <cell r="D53">
            <v>0</v>
          </cell>
          <cell r="E53">
            <v>0</v>
          </cell>
          <cell r="F53">
            <v>10</v>
          </cell>
          <cell r="G53">
            <v>10</v>
          </cell>
          <cell r="H53">
            <v>44</v>
          </cell>
          <cell r="I53">
            <v>64</v>
          </cell>
          <cell r="J53">
            <v>64</v>
          </cell>
          <cell r="K53" t="str">
            <v>B2</v>
          </cell>
          <cell r="L53">
            <v>20</v>
          </cell>
          <cell r="M53">
            <v>15</v>
          </cell>
          <cell r="N53">
            <v>30</v>
          </cell>
          <cell r="O53">
            <v>65</v>
          </cell>
          <cell r="P53">
            <v>65</v>
          </cell>
          <cell r="Q53" t="str">
            <v>B2</v>
          </cell>
          <cell r="R53">
            <v>2</v>
          </cell>
          <cell r="S53">
            <v>20</v>
          </cell>
          <cell r="T53">
            <v>27</v>
          </cell>
          <cell r="U53">
            <v>49</v>
          </cell>
          <cell r="V53">
            <v>49</v>
          </cell>
          <cell r="W53" t="str">
            <v>C5</v>
          </cell>
          <cell r="X53">
            <v>16</v>
          </cell>
          <cell r="Y53">
            <v>16</v>
          </cell>
          <cell r="Z53">
            <v>37</v>
          </cell>
          <cell r="AA53">
            <v>69</v>
          </cell>
          <cell r="AB53">
            <v>69</v>
          </cell>
          <cell r="AC53" t="str">
            <v>B2</v>
          </cell>
          <cell r="AD53">
            <v>10</v>
          </cell>
          <cell r="AE53">
            <v>10</v>
          </cell>
          <cell r="AF53">
            <v>46</v>
          </cell>
          <cell r="AG53">
            <v>66</v>
          </cell>
          <cell r="AH53">
            <v>66</v>
          </cell>
          <cell r="AI53" t="str">
            <v>B2</v>
          </cell>
          <cell r="AJ53">
            <v>20</v>
          </cell>
          <cell r="AK53">
            <v>20</v>
          </cell>
          <cell r="AL53">
            <v>23</v>
          </cell>
          <cell r="AM53">
            <v>63</v>
          </cell>
          <cell r="AN53">
            <v>63</v>
          </cell>
          <cell r="AO53" t="str">
            <v>B2</v>
          </cell>
          <cell r="AP53">
            <v>18</v>
          </cell>
          <cell r="AQ53">
            <v>10</v>
          </cell>
          <cell r="AR53">
            <v>50</v>
          </cell>
          <cell r="AS53">
            <v>78</v>
          </cell>
          <cell r="AT53">
            <v>78</v>
          </cell>
          <cell r="AU53" t="str">
            <v>B1</v>
          </cell>
          <cell r="AV53">
            <v>14</v>
          </cell>
          <cell r="AW53">
            <v>20</v>
          </cell>
          <cell r="AX53">
            <v>47</v>
          </cell>
          <cell r="AY53">
            <v>81</v>
          </cell>
          <cell r="AZ53">
            <v>81</v>
          </cell>
          <cell r="BA53" t="str">
            <v>A</v>
          </cell>
          <cell r="BB53">
            <v>2</v>
          </cell>
          <cell r="BC53">
            <v>3</v>
          </cell>
          <cell r="BD53">
            <v>24</v>
          </cell>
          <cell r="BE53">
            <v>29</v>
          </cell>
          <cell r="BF53">
            <v>28.999999999999996</v>
          </cell>
          <cell r="BG53" t="str">
            <v>F9</v>
          </cell>
          <cell r="BH53">
            <v>16</v>
          </cell>
          <cell r="BI53">
            <v>10</v>
          </cell>
          <cell r="BJ53">
            <v>39</v>
          </cell>
          <cell r="BK53">
            <v>65</v>
          </cell>
          <cell r="BL53">
            <v>65</v>
          </cell>
          <cell r="BM53" t="str">
            <v>B2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 t="str">
            <v>F9</v>
          </cell>
          <cell r="BT53">
            <v>5</v>
          </cell>
          <cell r="BU53">
            <v>13</v>
          </cell>
          <cell r="BV53">
            <v>25</v>
          </cell>
          <cell r="BW53">
            <v>43</v>
          </cell>
          <cell r="BX53">
            <v>43</v>
          </cell>
          <cell r="BY53" t="str">
            <v>D</v>
          </cell>
          <cell r="BZ53">
            <v>20</v>
          </cell>
          <cell r="CA53">
            <v>20</v>
          </cell>
          <cell r="CB53">
            <v>50</v>
          </cell>
          <cell r="CC53">
            <v>90</v>
          </cell>
          <cell r="CD53">
            <v>90</v>
          </cell>
          <cell r="CE53" t="str">
            <v>A</v>
          </cell>
          <cell r="CF53">
            <v>10</v>
          </cell>
          <cell r="CG53">
            <v>10</v>
          </cell>
          <cell r="CH53">
            <v>48</v>
          </cell>
          <cell r="CI53">
            <v>68</v>
          </cell>
          <cell r="CJ53">
            <v>68</v>
          </cell>
          <cell r="CK53" t="str">
            <v>B2</v>
          </cell>
          <cell r="CL53">
            <v>20</v>
          </cell>
          <cell r="CM53">
            <v>8</v>
          </cell>
          <cell r="CN53">
            <v>32</v>
          </cell>
          <cell r="CO53">
            <v>60</v>
          </cell>
          <cell r="CP53">
            <v>60</v>
          </cell>
          <cell r="CQ53" t="str">
            <v>C4</v>
          </cell>
          <cell r="CR53">
            <v>11</v>
          </cell>
          <cell r="CS53">
            <v>20</v>
          </cell>
          <cell r="CT53">
            <v>27</v>
          </cell>
          <cell r="CU53">
            <v>58</v>
          </cell>
          <cell r="CV53">
            <v>57.999999999999993</v>
          </cell>
          <cell r="CW53" t="str">
            <v>C4</v>
          </cell>
          <cell r="CX53">
            <v>20</v>
          </cell>
          <cell r="CY53">
            <v>20</v>
          </cell>
          <cell r="CZ53">
            <v>50</v>
          </cell>
          <cell r="DA53">
            <v>90</v>
          </cell>
          <cell r="DB53">
            <v>90</v>
          </cell>
          <cell r="DC53" t="str">
            <v>A</v>
          </cell>
          <cell r="DD53">
            <v>17</v>
          </cell>
          <cell r="DE53">
            <v>17</v>
          </cell>
          <cell r="DF53">
            <v>20</v>
          </cell>
          <cell r="DG53">
            <v>54</v>
          </cell>
          <cell r="DH53">
            <v>54</v>
          </cell>
          <cell r="DI53" t="str">
            <v>C4</v>
          </cell>
          <cell r="DJ53">
            <v>1092</v>
          </cell>
          <cell r="DK53">
            <v>1092</v>
          </cell>
          <cell r="DL53">
            <v>0.64235294117647057</v>
          </cell>
          <cell r="DM53" t="str">
            <v>20th</v>
          </cell>
          <cell r="DN53">
            <v>64</v>
          </cell>
          <cell r="DO53">
            <v>26</v>
          </cell>
          <cell r="DP53">
            <v>96</v>
          </cell>
          <cell r="DQ53" t="str">
            <v>38th</v>
          </cell>
          <cell r="DR53">
            <v>65</v>
          </cell>
          <cell r="DS53">
            <v>0</v>
          </cell>
          <cell r="DT53">
            <v>90</v>
          </cell>
          <cell r="DU53" t="str">
            <v>18th</v>
          </cell>
          <cell r="DV53">
            <v>49</v>
          </cell>
          <cell r="DW53">
            <v>0</v>
          </cell>
          <cell r="DX53">
            <v>78</v>
          </cell>
          <cell r="DY53" t="str">
            <v>33rd</v>
          </cell>
          <cell r="DZ53">
            <v>69</v>
          </cell>
          <cell r="EA53">
            <v>10</v>
          </cell>
          <cell r="EB53">
            <v>93</v>
          </cell>
          <cell r="EC53" t="str">
            <v>8th</v>
          </cell>
          <cell r="ED53">
            <v>66</v>
          </cell>
          <cell r="EE53">
            <v>0</v>
          </cell>
          <cell r="EF53">
            <v>78</v>
          </cell>
          <cell r="EG53" t="str">
            <v>10th</v>
          </cell>
          <cell r="EH53">
            <v>63</v>
          </cell>
          <cell r="EI53">
            <v>36</v>
          </cell>
          <cell r="EJ53">
            <v>85</v>
          </cell>
          <cell r="EK53" t="str">
            <v>32nd</v>
          </cell>
          <cell r="EL53">
            <v>78</v>
          </cell>
          <cell r="EM53">
            <v>0</v>
          </cell>
          <cell r="EN53">
            <v>87</v>
          </cell>
          <cell r="EO53" t="str">
            <v>18th</v>
          </cell>
          <cell r="EP53">
            <v>81</v>
          </cell>
          <cell r="EQ53">
            <v>0</v>
          </cell>
          <cell r="ER53">
            <v>100</v>
          </cell>
          <cell r="ES53" t="str">
            <v>14th</v>
          </cell>
          <cell r="ET53">
            <v>29</v>
          </cell>
          <cell r="EU53">
            <v>5</v>
          </cell>
          <cell r="EV53">
            <v>70</v>
          </cell>
          <cell r="EW53" t="str">
            <v>37th</v>
          </cell>
          <cell r="EX53">
            <v>65</v>
          </cell>
          <cell r="EY53">
            <v>0</v>
          </cell>
          <cell r="EZ53">
            <v>86</v>
          </cell>
          <cell r="FA53" t="str">
            <v>21st</v>
          </cell>
          <cell r="FB53">
            <v>0</v>
          </cell>
          <cell r="FC53">
            <v>0</v>
          </cell>
          <cell r="FD53">
            <v>0</v>
          </cell>
          <cell r="FE53" t="str">
            <v>1st</v>
          </cell>
          <cell r="FF53">
            <v>43</v>
          </cell>
          <cell r="FG53">
            <v>19</v>
          </cell>
          <cell r="FH53">
            <v>81</v>
          </cell>
          <cell r="FI53" t="str">
            <v>30th</v>
          </cell>
          <cell r="FJ53">
            <v>90</v>
          </cell>
          <cell r="FK53">
            <v>0</v>
          </cell>
          <cell r="FL53">
            <v>95</v>
          </cell>
          <cell r="FM53" t="str">
            <v>6th</v>
          </cell>
          <cell r="FN53">
            <v>68</v>
          </cell>
          <cell r="FO53">
            <v>0</v>
          </cell>
          <cell r="FP53">
            <v>84</v>
          </cell>
          <cell r="FQ53" t="str">
            <v>16th</v>
          </cell>
          <cell r="FR53">
            <v>60</v>
          </cell>
          <cell r="FS53">
            <v>0</v>
          </cell>
          <cell r="FT53">
            <v>82</v>
          </cell>
          <cell r="FU53" t="str">
            <v>15th</v>
          </cell>
          <cell r="FV53">
            <v>58</v>
          </cell>
          <cell r="FW53">
            <v>0</v>
          </cell>
          <cell r="FX53">
            <v>85</v>
          </cell>
          <cell r="FY53" t="str">
            <v>22nd</v>
          </cell>
          <cell r="FZ53">
            <v>90</v>
          </cell>
          <cell r="GA53">
            <v>0</v>
          </cell>
          <cell r="GB53">
            <v>95</v>
          </cell>
          <cell r="GC53" t="str">
            <v>7th</v>
          </cell>
          <cell r="GD53">
            <v>54</v>
          </cell>
          <cell r="GE53">
            <v>24</v>
          </cell>
          <cell r="GF53">
            <v>71</v>
          </cell>
          <cell r="GG53" t="str">
            <v>20th</v>
          </cell>
        </row>
        <row r="54">
          <cell r="A54" t="str">
            <v>BDS/22/076</v>
          </cell>
          <cell r="B54" t="str">
            <v>JOHN PRECIOUS</v>
          </cell>
          <cell r="C54">
            <v>0</v>
          </cell>
          <cell r="D54">
            <v>0</v>
          </cell>
          <cell r="E54">
            <v>0</v>
          </cell>
          <cell r="F54">
            <v>15</v>
          </cell>
          <cell r="G54">
            <v>15</v>
          </cell>
          <cell r="H54">
            <v>22</v>
          </cell>
          <cell r="I54">
            <v>52</v>
          </cell>
          <cell r="J54">
            <v>52</v>
          </cell>
          <cell r="K54" t="str">
            <v>C4</v>
          </cell>
          <cell r="L54">
            <v>19</v>
          </cell>
          <cell r="M54">
            <v>15</v>
          </cell>
          <cell r="N54">
            <v>14</v>
          </cell>
          <cell r="O54">
            <v>48</v>
          </cell>
          <cell r="P54">
            <v>48</v>
          </cell>
          <cell r="Q54" t="str">
            <v>C5</v>
          </cell>
          <cell r="R54">
            <v>10</v>
          </cell>
          <cell r="S54">
            <v>10</v>
          </cell>
          <cell r="T54">
            <v>18</v>
          </cell>
          <cell r="U54">
            <v>38</v>
          </cell>
          <cell r="V54">
            <v>38</v>
          </cell>
          <cell r="W54" t="str">
            <v>E8</v>
          </cell>
          <cell r="X54">
            <v>9</v>
          </cell>
          <cell r="Y54">
            <v>9</v>
          </cell>
          <cell r="Z54">
            <v>31</v>
          </cell>
          <cell r="AA54">
            <v>49</v>
          </cell>
          <cell r="AB54">
            <v>49</v>
          </cell>
          <cell r="AC54" t="str">
            <v>C5</v>
          </cell>
          <cell r="AD54">
            <v>15</v>
          </cell>
          <cell r="AE54">
            <v>10</v>
          </cell>
          <cell r="AF54">
            <v>24</v>
          </cell>
          <cell r="AG54">
            <v>49</v>
          </cell>
          <cell r="AH54">
            <v>49</v>
          </cell>
          <cell r="AI54" t="str">
            <v>C5</v>
          </cell>
          <cell r="AJ54">
            <v>20</v>
          </cell>
          <cell r="AK54">
            <v>20</v>
          </cell>
          <cell r="AL54">
            <v>34</v>
          </cell>
          <cell r="AM54">
            <v>74</v>
          </cell>
          <cell r="AN54">
            <v>74</v>
          </cell>
          <cell r="AO54" t="str">
            <v>B1</v>
          </cell>
          <cell r="AP54">
            <v>17</v>
          </cell>
          <cell r="AQ54">
            <v>10</v>
          </cell>
          <cell r="AR54">
            <v>37</v>
          </cell>
          <cell r="AS54">
            <v>64</v>
          </cell>
          <cell r="AT54">
            <v>64</v>
          </cell>
          <cell r="AU54" t="str">
            <v>B2</v>
          </cell>
          <cell r="AV54">
            <v>15</v>
          </cell>
          <cell r="AW54">
            <v>15</v>
          </cell>
          <cell r="AX54">
            <v>2</v>
          </cell>
          <cell r="AY54">
            <v>32</v>
          </cell>
          <cell r="AZ54">
            <v>32</v>
          </cell>
          <cell r="BA54" t="str">
            <v>F9</v>
          </cell>
          <cell r="BB54">
            <v>5</v>
          </cell>
          <cell r="BC54">
            <v>6</v>
          </cell>
          <cell r="BD54">
            <v>15</v>
          </cell>
          <cell r="BE54">
            <v>26</v>
          </cell>
          <cell r="BF54">
            <v>26</v>
          </cell>
          <cell r="BG54" t="str">
            <v>F9</v>
          </cell>
          <cell r="BH54">
            <v>10</v>
          </cell>
          <cell r="BI54">
            <v>5</v>
          </cell>
          <cell r="BJ54">
            <v>39</v>
          </cell>
          <cell r="BK54">
            <v>54</v>
          </cell>
          <cell r="BL54">
            <v>54</v>
          </cell>
          <cell r="BM54" t="str">
            <v>C4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 t="str">
            <v>F9</v>
          </cell>
          <cell r="BT54">
            <v>5</v>
          </cell>
          <cell r="BU54">
            <v>8</v>
          </cell>
          <cell r="BV54">
            <v>8</v>
          </cell>
          <cell r="BW54">
            <v>21</v>
          </cell>
          <cell r="BX54">
            <v>21</v>
          </cell>
          <cell r="BY54" t="str">
            <v>F9</v>
          </cell>
          <cell r="BZ54">
            <v>20</v>
          </cell>
          <cell r="CA54">
            <v>20</v>
          </cell>
          <cell r="CB54">
            <v>50</v>
          </cell>
          <cell r="CC54">
            <v>90</v>
          </cell>
          <cell r="CD54">
            <v>90</v>
          </cell>
          <cell r="CE54" t="str">
            <v>A</v>
          </cell>
          <cell r="CF54">
            <v>3</v>
          </cell>
          <cell r="CG54">
            <v>2</v>
          </cell>
          <cell r="CH54">
            <v>22</v>
          </cell>
          <cell r="CI54">
            <v>27</v>
          </cell>
          <cell r="CJ54">
            <v>27</v>
          </cell>
          <cell r="CK54" t="str">
            <v>F9</v>
          </cell>
          <cell r="CL54">
            <v>20</v>
          </cell>
          <cell r="CM54">
            <v>8</v>
          </cell>
          <cell r="CN54">
            <v>14</v>
          </cell>
          <cell r="CO54">
            <v>42</v>
          </cell>
          <cell r="CP54">
            <v>42</v>
          </cell>
          <cell r="CQ54" t="str">
            <v>D</v>
          </cell>
          <cell r="CR54">
            <v>11</v>
          </cell>
          <cell r="CS54">
            <v>20</v>
          </cell>
          <cell r="CT54">
            <v>10</v>
          </cell>
          <cell r="CU54">
            <v>41</v>
          </cell>
          <cell r="CV54">
            <v>41</v>
          </cell>
          <cell r="CW54" t="str">
            <v>D</v>
          </cell>
          <cell r="CX54">
            <v>15</v>
          </cell>
          <cell r="CY54">
            <v>15</v>
          </cell>
          <cell r="CZ54">
            <v>55</v>
          </cell>
          <cell r="DA54">
            <v>85</v>
          </cell>
          <cell r="DB54">
            <v>85</v>
          </cell>
          <cell r="DC54" t="str">
            <v>A</v>
          </cell>
          <cell r="DD54">
            <v>12</v>
          </cell>
          <cell r="DE54">
            <v>17</v>
          </cell>
          <cell r="DF54">
            <v>30</v>
          </cell>
          <cell r="DG54">
            <v>59</v>
          </cell>
          <cell r="DH54">
            <v>59</v>
          </cell>
          <cell r="DI54" t="str">
            <v>C4</v>
          </cell>
          <cell r="DJ54">
            <v>851</v>
          </cell>
          <cell r="DK54">
            <v>851</v>
          </cell>
          <cell r="DL54">
            <v>0.50058823529411767</v>
          </cell>
          <cell r="DM54" t="str">
            <v>42nd</v>
          </cell>
          <cell r="DN54">
            <v>52</v>
          </cell>
          <cell r="DO54">
            <v>26</v>
          </cell>
          <cell r="DP54">
            <v>96</v>
          </cell>
          <cell r="DQ54" t="str">
            <v>40th</v>
          </cell>
          <cell r="DR54">
            <v>48</v>
          </cell>
          <cell r="DS54">
            <v>0</v>
          </cell>
          <cell r="DT54">
            <v>90</v>
          </cell>
          <cell r="DU54" t="str">
            <v>35th</v>
          </cell>
          <cell r="DV54">
            <v>38</v>
          </cell>
          <cell r="DW54">
            <v>0</v>
          </cell>
          <cell r="DX54">
            <v>78</v>
          </cell>
          <cell r="DY54" t="str">
            <v>41st</v>
          </cell>
          <cell r="DZ54">
            <v>49</v>
          </cell>
          <cell r="EA54">
            <v>10</v>
          </cell>
          <cell r="EB54">
            <v>93</v>
          </cell>
          <cell r="EC54" t="str">
            <v>30th</v>
          </cell>
          <cell r="ED54">
            <v>49</v>
          </cell>
          <cell r="EE54">
            <v>0</v>
          </cell>
          <cell r="EF54">
            <v>78</v>
          </cell>
          <cell r="EG54" t="str">
            <v>26th</v>
          </cell>
          <cell r="EH54">
            <v>74</v>
          </cell>
          <cell r="EI54">
            <v>36</v>
          </cell>
          <cell r="EJ54">
            <v>85</v>
          </cell>
          <cell r="EK54" t="str">
            <v>13th</v>
          </cell>
          <cell r="EL54">
            <v>64</v>
          </cell>
          <cell r="EM54">
            <v>0</v>
          </cell>
          <cell r="EN54">
            <v>87</v>
          </cell>
          <cell r="EO54" t="str">
            <v>39th</v>
          </cell>
          <cell r="EP54">
            <v>32</v>
          </cell>
          <cell r="EQ54">
            <v>0</v>
          </cell>
          <cell r="ER54">
            <v>100</v>
          </cell>
          <cell r="ES54" t="str">
            <v>39th</v>
          </cell>
          <cell r="ET54">
            <v>26</v>
          </cell>
          <cell r="EU54">
            <v>5</v>
          </cell>
          <cell r="EV54">
            <v>70</v>
          </cell>
          <cell r="EW54" t="str">
            <v>40th</v>
          </cell>
          <cell r="EX54">
            <v>54</v>
          </cell>
          <cell r="EY54">
            <v>0</v>
          </cell>
          <cell r="EZ54">
            <v>86</v>
          </cell>
          <cell r="FA54" t="str">
            <v>34th</v>
          </cell>
          <cell r="FB54">
            <v>0</v>
          </cell>
          <cell r="FC54">
            <v>0</v>
          </cell>
          <cell r="FD54">
            <v>0</v>
          </cell>
          <cell r="FE54" t="str">
            <v>1st</v>
          </cell>
          <cell r="FF54">
            <v>21</v>
          </cell>
          <cell r="FG54">
            <v>19</v>
          </cell>
          <cell r="FH54">
            <v>81</v>
          </cell>
          <cell r="FI54" t="str">
            <v>46th</v>
          </cell>
          <cell r="FJ54">
            <v>90</v>
          </cell>
          <cell r="FK54">
            <v>0</v>
          </cell>
          <cell r="FL54">
            <v>95</v>
          </cell>
          <cell r="FM54" t="str">
            <v>6th</v>
          </cell>
          <cell r="FN54">
            <v>27</v>
          </cell>
          <cell r="FO54">
            <v>0</v>
          </cell>
          <cell r="FP54">
            <v>84</v>
          </cell>
          <cell r="FQ54" t="str">
            <v>45th</v>
          </cell>
          <cell r="FR54">
            <v>42</v>
          </cell>
          <cell r="FS54">
            <v>0</v>
          </cell>
          <cell r="FT54">
            <v>82</v>
          </cell>
          <cell r="FU54" t="str">
            <v>38th</v>
          </cell>
          <cell r="FV54">
            <v>41</v>
          </cell>
          <cell r="FW54">
            <v>0</v>
          </cell>
          <cell r="FX54">
            <v>85</v>
          </cell>
          <cell r="FY54" t="str">
            <v>40th</v>
          </cell>
          <cell r="FZ54">
            <v>85</v>
          </cell>
          <cell r="GA54">
            <v>0</v>
          </cell>
          <cell r="GB54">
            <v>95</v>
          </cell>
          <cell r="GC54" t="str">
            <v>31st</v>
          </cell>
          <cell r="GD54">
            <v>59</v>
          </cell>
          <cell r="GE54">
            <v>24</v>
          </cell>
          <cell r="GF54">
            <v>71</v>
          </cell>
          <cell r="GG54" t="str">
            <v>12th</v>
          </cell>
        </row>
        <row r="55">
          <cell r="A55" t="str">
            <v>BDS/22/077</v>
          </cell>
          <cell r="B55" t="str">
            <v>AKAHARA FAVOUR</v>
          </cell>
          <cell r="C55">
            <v>0</v>
          </cell>
          <cell r="D55">
            <v>0</v>
          </cell>
          <cell r="E55">
            <v>0</v>
          </cell>
          <cell r="F55">
            <v>20</v>
          </cell>
          <cell r="G55">
            <v>20</v>
          </cell>
          <cell r="H55">
            <v>51</v>
          </cell>
          <cell r="I55">
            <v>91</v>
          </cell>
          <cell r="J55">
            <v>91</v>
          </cell>
          <cell r="K55" t="str">
            <v>A</v>
          </cell>
          <cell r="L55">
            <v>19</v>
          </cell>
          <cell r="M55">
            <v>15</v>
          </cell>
          <cell r="N55">
            <v>35</v>
          </cell>
          <cell r="O55">
            <v>69</v>
          </cell>
          <cell r="P55">
            <v>69</v>
          </cell>
          <cell r="Q55" t="str">
            <v>B2</v>
          </cell>
          <cell r="R55">
            <v>8</v>
          </cell>
          <cell r="S55">
            <v>20</v>
          </cell>
          <cell r="T55">
            <v>25</v>
          </cell>
          <cell r="U55">
            <v>53</v>
          </cell>
          <cell r="V55">
            <v>53</v>
          </cell>
          <cell r="W55" t="str">
            <v>C4</v>
          </cell>
          <cell r="X55">
            <v>19</v>
          </cell>
          <cell r="Y55">
            <v>19</v>
          </cell>
          <cell r="Z55">
            <v>55</v>
          </cell>
          <cell r="AA55">
            <v>93</v>
          </cell>
          <cell r="AB55">
            <v>93</v>
          </cell>
          <cell r="AC55" t="str">
            <v>A</v>
          </cell>
          <cell r="AD55">
            <v>15</v>
          </cell>
          <cell r="AE55">
            <v>15</v>
          </cell>
          <cell r="AF55">
            <v>48</v>
          </cell>
          <cell r="AG55">
            <v>78</v>
          </cell>
          <cell r="AH55">
            <v>78</v>
          </cell>
          <cell r="AI55" t="str">
            <v>B1</v>
          </cell>
          <cell r="AJ55">
            <v>18</v>
          </cell>
          <cell r="AK55">
            <v>18</v>
          </cell>
          <cell r="AL55">
            <v>41</v>
          </cell>
          <cell r="AM55">
            <v>77</v>
          </cell>
          <cell r="AN55">
            <v>77</v>
          </cell>
          <cell r="AO55" t="str">
            <v>B1</v>
          </cell>
          <cell r="AP55">
            <v>20</v>
          </cell>
          <cell r="AQ55">
            <v>10</v>
          </cell>
          <cell r="AR55">
            <v>54</v>
          </cell>
          <cell r="AS55">
            <v>84</v>
          </cell>
          <cell r="AT55">
            <v>84</v>
          </cell>
          <cell r="AU55" t="str">
            <v>A</v>
          </cell>
          <cell r="AV55">
            <v>15</v>
          </cell>
          <cell r="AW55">
            <v>15</v>
          </cell>
          <cell r="AX55">
            <v>41</v>
          </cell>
          <cell r="AY55">
            <v>71</v>
          </cell>
          <cell r="AZ55">
            <v>71</v>
          </cell>
          <cell r="BA55" t="str">
            <v>B1</v>
          </cell>
          <cell r="BB55">
            <v>5</v>
          </cell>
          <cell r="BC55">
            <v>8</v>
          </cell>
          <cell r="BD55">
            <v>43</v>
          </cell>
          <cell r="BE55">
            <v>56</v>
          </cell>
          <cell r="BF55">
            <v>56.000000000000007</v>
          </cell>
          <cell r="BG55" t="str">
            <v>C4</v>
          </cell>
          <cell r="BH55">
            <v>11</v>
          </cell>
          <cell r="BI55">
            <v>10</v>
          </cell>
          <cell r="BJ55">
            <v>43</v>
          </cell>
          <cell r="BK55">
            <v>64</v>
          </cell>
          <cell r="BL55">
            <v>64</v>
          </cell>
          <cell r="BM55" t="str">
            <v>B2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 t="str">
            <v>F9</v>
          </cell>
          <cell r="BT55">
            <v>5</v>
          </cell>
          <cell r="BU55">
            <v>14</v>
          </cell>
          <cell r="BV55">
            <v>29</v>
          </cell>
          <cell r="BW55">
            <v>48</v>
          </cell>
          <cell r="BX55">
            <v>48</v>
          </cell>
          <cell r="BY55" t="str">
            <v>C5</v>
          </cell>
          <cell r="BZ55">
            <v>15</v>
          </cell>
          <cell r="CA55">
            <v>20</v>
          </cell>
          <cell r="CB55">
            <v>50</v>
          </cell>
          <cell r="CC55">
            <v>85</v>
          </cell>
          <cell r="CD55">
            <v>85</v>
          </cell>
          <cell r="CE55" t="str">
            <v>A</v>
          </cell>
          <cell r="CF55">
            <v>2</v>
          </cell>
          <cell r="CG55">
            <v>3</v>
          </cell>
          <cell r="CH55">
            <v>43</v>
          </cell>
          <cell r="CI55">
            <v>48</v>
          </cell>
          <cell r="CJ55">
            <v>48</v>
          </cell>
          <cell r="CK55" t="str">
            <v>C5</v>
          </cell>
          <cell r="CL55">
            <v>20</v>
          </cell>
          <cell r="CM55">
            <v>8</v>
          </cell>
          <cell r="CN55">
            <v>25</v>
          </cell>
          <cell r="CO55">
            <v>53</v>
          </cell>
          <cell r="CP55">
            <v>53</v>
          </cell>
          <cell r="CQ55" t="str">
            <v>C4</v>
          </cell>
          <cell r="CR55">
            <v>20</v>
          </cell>
          <cell r="CS55">
            <v>20</v>
          </cell>
          <cell r="CT55">
            <v>45</v>
          </cell>
          <cell r="CU55">
            <v>85</v>
          </cell>
          <cell r="CV55">
            <v>85</v>
          </cell>
          <cell r="CW55" t="str">
            <v>A</v>
          </cell>
          <cell r="CX55">
            <v>15</v>
          </cell>
          <cell r="CY55">
            <v>20</v>
          </cell>
          <cell r="CZ55">
            <v>55</v>
          </cell>
          <cell r="DA55">
            <v>90</v>
          </cell>
          <cell r="DB55">
            <v>90</v>
          </cell>
          <cell r="DC55" t="str">
            <v>A</v>
          </cell>
          <cell r="DD55">
            <v>18</v>
          </cell>
          <cell r="DE55">
            <v>17</v>
          </cell>
          <cell r="DF55">
            <v>36</v>
          </cell>
          <cell r="DG55">
            <v>71</v>
          </cell>
          <cell r="DH55">
            <v>71</v>
          </cell>
          <cell r="DI55" t="str">
            <v>B1</v>
          </cell>
          <cell r="DJ55">
            <v>1216</v>
          </cell>
          <cell r="DK55">
            <v>1216</v>
          </cell>
          <cell r="DL55">
            <v>0.71529411764705886</v>
          </cell>
          <cell r="DM55" t="str">
            <v>8th</v>
          </cell>
          <cell r="DN55">
            <v>91</v>
          </cell>
          <cell r="DO55">
            <v>26</v>
          </cell>
          <cell r="DP55">
            <v>96</v>
          </cell>
          <cell r="DQ55" t="str">
            <v>7th</v>
          </cell>
          <cell r="DR55">
            <v>69</v>
          </cell>
          <cell r="DS55">
            <v>0</v>
          </cell>
          <cell r="DT55">
            <v>90</v>
          </cell>
          <cell r="DU55" t="str">
            <v>12th</v>
          </cell>
          <cell r="DV55">
            <v>53</v>
          </cell>
          <cell r="DW55">
            <v>0</v>
          </cell>
          <cell r="DX55">
            <v>78</v>
          </cell>
          <cell r="DY55" t="str">
            <v>26th</v>
          </cell>
          <cell r="DZ55">
            <v>93</v>
          </cell>
          <cell r="EA55">
            <v>10</v>
          </cell>
          <cell r="EB55">
            <v>93</v>
          </cell>
          <cell r="EC55" t="str">
            <v>1st</v>
          </cell>
          <cell r="ED55">
            <v>78</v>
          </cell>
          <cell r="EE55">
            <v>0</v>
          </cell>
          <cell r="EF55">
            <v>78</v>
          </cell>
          <cell r="EG55" t="str">
            <v>1st</v>
          </cell>
          <cell r="EH55">
            <v>77</v>
          </cell>
          <cell r="EI55">
            <v>36</v>
          </cell>
          <cell r="EJ55">
            <v>85</v>
          </cell>
          <cell r="EK55" t="str">
            <v>6th</v>
          </cell>
          <cell r="EL55">
            <v>84</v>
          </cell>
          <cell r="EM55">
            <v>0</v>
          </cell>
          <cell r="EN55">
            <v>87</v>
          </cell>
          <cell r="EO55" t="str">
            <v>6th</v>
          </cell>
          <cell r="EP55">
            <v>71</v>
          </cell>
          <cell r="EQ55">
            <v>0</v>
          </cell>
          <cell r="ER55">
            <v>100</v>
          </cell>
          <cell r="ES55" t="str">
            <v>24th</v>
          </cell>
          <cell r="ET55">
            <v>56</v>
          </cell>
          <cell r="EU55">
            <v>5</v>
          </cell>
          <cell r="EV55">
            <v>70</v>
          </cell>
          <cell r="EW55" t="str">
            <v>6th</v>
          </cell>
          <cell r="EX55">
            <v>64</v>
          </cell>
          <cell r="EY55">
            <v>0</v>
          </cell>
          <cell r="EZ55">
            <v>86</v>
          </cell>
          <cell r="FA55" t="str">
            <v>23rd</v>
          </cell>
          <cell r="FB55">
            <v>0</v>
          </cell>
          <cell r="FC55">
            <v>0</v>
          </cell>
          <cell r="FD55">
            <v>0</v>
          </cell>
          <cell r="FE55" t="str">
            <v>1st</v>
          </cell>
          <cell r="FF55">
            <v>48</v>
          </cell>
          <cell r="FG55">
            <v>19</v>
          </cell>
          <cell r="FH55">
            <v>81</v>
          </cell>
          <cell r="FI55" t="str">
            <v>24th</v>
          </cell>
          <cell r="FJ55">
            <v>85</v>
          </cell>
          <cell r="FK55">
            <v>0</v>
          </cell>
          <cell r="FL55">
            <v>95</v>
          </cell>
          <cell r="FM55" t="str">
            <v>21st</v>
          </cell>
          <cell r="FN55">
            <v>48</v>
          </cell>
          <cell r="FO55">
            <v>0</v>
          </cell>
          <cell r="FP55">
            <v>84</v>
          </cell>
          <cell r="FQ55" t="str">
            <v>40th</v>
          </cell>
          <cell r="FR55">
            <v>53</v>
          </cell>
          <cell r="FS55">
            <v>0</v>
          </cell>
          <cell r="FT55">
            <v>82</v>
          </cell>
          <cell r="FU55" t="str">
            <v>29th</v>
          </cell>
          <cell r="FV55">
            <v>85</v>
          </cell>
          <cell r="FW55">
            <v>0</v>
          </cell>
          <cell r="FX55">
            <v>85</v>
          </cell>
          <cell r="FY55" t="str">
            <v>1st</v>
          </cell>
          <cell r="FZ55">
            <v>90</v>
          </cell>
          <cell r="GA55">
            <v>0</v>
          </cell>
          <cell r="GB55">
            <v>95</v>
          </cell>
          <cell r="GC55" t="str">
            <v>7th</v>
          </cell>
          <cell r="GD55">
            <v>71</v>
          </cell>
          <cell r="GE55">
            <v>24</v>
          </cell>
          <cell r="GF55">
            <v>71</v>
          </cell>
          <cell r="GG55" t="str">
            <v>1st</v>
          </cell>
        </row>
        <row r="56">
          <cell r="A56" t="str">
            <v>BDS/22/078</v>
          </cell>
          <cell r="B56" t="str">
            <v>UFFOR CHINEDU IGNATIUS</v>
          </cell>
          <cell r="C56">
            <v>0</v>
          </cell>
          <cell r="D56">
            <v>0</v>
          </cell>
          <cell r="E56">
            <v>0</v>
          </cell>
          <cell r="F56">
            <v>18</v>
          </cell>
          <cell r="G56">
            <v>20</v>
          </cell>
          <cell r="H56">
            <v>55</v>
          </cell>
          <cell r="I56">
            <v>93</v>
          </cell>
          <cell r="J56">
            <v>93</v>
          </cell>
          <cell r="K56" t="str">
            <v>A</v>
          </cell>
          <cell r="L56">
            <v>20</v>
          </cell>
          <cell r="M56">
            <v>15</v>
          </cell>
          <cell r="N56">
            <v>29</v>
          </cell>
          <cell r="O56">
            <v>64</v>
          </cell>
          <cell r="P56">
            <v>64</v>
          </cell>
          <cell r="Q56" t="str">
            <v>B2</v>
          </cell>
          <cell r="R56">
            <v>10</v>
          </cell>
          <cell r="S56">
            <v>10</v>
          </cell>
          <cell r="T56">
            <v>39</v>
          </cell>
          <cell r="U56">
            <v>59</v>
          </cell>
          <cell r="V56">
            <v>59</v>
          </cell>
          <cell r="W56" t="str">
            <v>C4</v>
          </cell>
          <cell r="X56">
            <v>18</v>
          </cell>
          <cell r="Y56">
            <v>18</v>
          </cell>
          <cell r="Z56">
            <v>33</v>
          </cell>
          <cell r="AA56">
            <v>69</v>
          </cell>
          <cell r="AB56">
            <v>69</v>
          </cell>
          <cell r="AC56" t="str">
            <v>B2</v>
          </cell>
          <cell r="AD56">
            <v>11</v>
          </cell>
          <cell r="AE56">
            <v>10</v>
          </cell>
          <cell r="AF56">
            <v>50</v>
          </cell>
          <cell r="AG56">
            <v>71</v>
          </cell>
          <cell r="AH56">
            <v>71</v>
          </cell>
          <cell r="AI56" t="str">
            <v>B1</v>
          </cell>
          <cell r="AJ56">
            <v>20</v>
          </cell>
          <cell r="AK56">
            <v>20</v>
          </cell>
          <cell r="AL56">
            <v>43</v>
          </cell>
          <cell r="AM56">
            <v>83</v>
          </cell>
          <cell r="AN56">
            <v>83</v>
          </cell>
          <cell r="AO56" t="str">
            <v>A</v>
          </cell>
          <cell r="AP56">
            <v>18</v>
          </cell>
          <cell r="AQ56">
            <v>10</v>
          </cell>
          <cell r="AR56">
            <v>58</v>
          </cell>
          <cell r="AS56">
            <v>86</v>
          </cell>
          <cell r="AT56">
            <v>86</v>
          </cell>
          <cell r="AU56" t="str">
            <v>A</v>
          </cell>
          <cell r="AV56">
            <v>19</v>
          </cell>
          <cell r="AW56">
            <v>20</v>
          </cell>
          <cell r="AX56">
            <v>57</v>
          </cell>
          <cell r="AY56">
            <v>96</v>
          </cell>
          <cell r="AZ56">
            <v>96</v>
          </cell>
          <cell r="BA56" t="str">
            <v>A</v>
          </cell>
          <cell r="BB56">
            <v>2</v>
          </cell>
          <cell r="BC56">
            <v>3</v>
          </cell>
          <cell r="BD56">
            <v>37</v>
          </cell>
          <cell r="BE56">
            <v>42</v>
          </cell>
          <cell r="BF56">
            <v>42</v>
          </cell>
          <cell r="BG56" t="str">
            <v>D</v>
          </cell>
          <cell r="BH56">
            <v>17</v>
          </cell>
          <cell r="BI56">
            <v>10</v>
          </cell>
          <cell r="BJ56">
            <v>41</v>
          </cell>
          <cell r="BK56">
            <v>68</v>
          </cell>
          <cell r="BL56">
            <v>68</v>
          </cell>
          <cell r="BM56" t="str">
            <v>B2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 t="str">
            <v>F9</v>
          </cell>
          <cell r="BT56">
            <v>2</v>
          </cell>
          <cell r="BU56">
            <v>3</v>
          </cell>
          <cell r="BV56">
            <v>29</v>
          </cell>
          <cell r="BW56">
            <v>34</v>
          </cell>
          <cell r="BX56">
            <v>34</v>
          </cell>
          <cell r="BY56" t="str">
            <v>F9</v>
          </cell>
          <cell r="BZ56">
            <v>15</v>
          </cell>
          <cell r="CA56">
            <v>20</v>
          </cell>
          <cell r="CB56">
            <v>50</v>
          </cell>
          <cell r="CC56">
            <v>85</v>
          </cell>
          <cell r="CD56">
            <v>85</v>
          </cell>
          <cell r="CE56" t="str">
            <v>A</v>
          </cell>
          <cell r="CF56">
            <v>10</v>
          </cell>
          <cell r="CG56">
            <v>17</v>
          </cell>
          <cell r="CH56">
            <v>48</v>
          </cell>
          <cell r="CI56">
            <v>75</v>
          </cell>
          <cell r="CJ56">
            <v>75</v>
          </cell>
          <cell r="CK56" t="str">
            <v>B1</v>
          </cell>
          <cell r="CL56">
            <v>20</v>
          </cell>
          <cell r="CM56">
            <v>7</v>
          </cell>
          <cell r="CN56">
            <v>39</v>
          </cell>
          <cell r="CO56">
            <v>66</v>
          </cell>
          <cell r="CP56">
            <v>66</v>
          </cell>
          <cell r="CQ56" t="str">
            <v>B2</v>
          </cell>
          <cell r="CR56">
            <v>11</v>
          </cell>
          <cell r="CS56">
            <v>20</v>
          </cell>
          <cell r="CT56">
            <v>40</v>
          </cell>
          <cell r="CU56">
            <v>71</v>
          </cell>
          <cell r="CV56">
            <v>71</v>
          </cell>
          <cell r="CW56" t="str">
            <v>B1</v>
          </cell>
          <cell r="CX56">
            <v>15</v>
          </cell>
          <cell r="CY56">
            <v>20</v>
          </cell>
          <cell r="CZ56">
            <v>55</v>
          </cell>
          <cell r="DA56">
            <v>90</v>
          </cell>
          <cell r="DB56">
            <v>90</v>
          </cell>
          <cell r="DC56" t="str">
            <v>A</v>
          </cell>
          <cell r="DD56">
            <v>0</v>
          </cell>
          <cell r="DE56">
            <v>17</v>
          </cell>
          <cell r="DF56">
            <v>30</v>
          </cell>
          <cell r="DG56">
            <v>47</v>
          </cell>
          <cell r="DH56">
            <v>47</v>
          </cell>
          <cell r="DI56" t="str">
            <v>C5</v>
          </cell>
          <cell r="DJ56">
            <v>1199</v>
          </cell>
          <cell r="DK56">
            <v>1199</v>
          </cell>
          <cell r="DL56">
            <v>0.70529411764705885</v>
          </cell>
          <cell r="DM56" t="str">
            <v>9th</v>
          </cell>
          <cell r="DN56">
            <v>93</v>
          </cell>
          <cell r="DO56">
            <v>26</v>
          </cell>
          <cell r="DP56">
            <v>96</v>
          </cell>
          <cell r="DQ56" t="str">
            <v>3rd</v>
          </cell>
          <cell r="DR56">
            <v>64</v>
          </cell>
          <cell r="DS56">
            <v>0</v>
          </cell>
          <cell r="DT56">
            <v>90</v>
          </cell>
          <cell r="DU56" t="str">
            <v>20th</v>
          </cell>
          <cell r="DV56">
            <v>59</v>
          </cell>
          <cell r="DW56">
            <v>0</v>
          </cell>
          <cell r="DX56">
            <v>78</v>
          </cell>
          <cell r="DY56" t="str">
            <v>18th</v>
          </cell>
          <cell r="DZ56">
            <v>69</v>
          </cell>
          <cell r="EA56">
            <v>10</v>
          </cell>
          <cell r="EB56">
            <v>93</v>
          </cell>
          <cell r="EC56" t="str">
            <v>8th</v>
          </cell>
          <cell r="ED56">
            <v>71</v>
          </cell>
          <cell r="EE56">
            <v>0</v>
          </cell>
          <cell r="EF56">
            <v>78</v>
          </cell>
          <cell r="EG56" t="str">
            <v>8th</v>
          </cell>
          <cell r="EH56">
            <v>83</v>
          </cell>
          <cell r="EI56">
            <v>36</v>
          </cell>
          <cell r="EJ56">
            <v>85</v>
          </cell>
          <cell r="EK56" t="str">
            <v>2nd</v>
          </cell>
          <cell r="EL56">
            <v>86</v>
          </cell>
          <cell r="EM56">
            <v>0</v>
          </cell>
          <cell r="EN56">
            <v>87</v>
          </cell>
          <cell r="EO56" t="str">
            <v>2nd</v>
          </cell>
          <cell r="EP56">
            <v>96</v>
          </cell>
          <cell r="EQ56">
            <v>0</v>
          </cell>
          <cell r="ER56">
            <v>100</v>
          </cell>
          <cell r="ES56" t="str">
            <v>4th</v>
          </cell>
          <cell r="ET56">
            <v>42</v>
          </cell>
          <cell r="EU56">
            <v>5</v>
          </cell>
          <cell r="EV56">
            <v>70</v>
          </cell>
          <cell r="EW56" t="str">
            <v>21st</v>
          </cell>
          <cell r="EX56">
            <v>68</v>
          </cell>
          <cell r="EY56">
            <v>0</v>
          </cell>
          <cell r="EZ56">
            <v>86</v>
          </cell>
          <cell r="FA56" t="str">
            <v>17th</v>
          </cell>
          <cell r="FB56">
            <v>0</v>
          </cell>
          <cell r="FC56">
            <v>0</v>
          </cell>
          <cell r="FD56">
            <v>0</v>
          </cell>
          <cell r="FE56" t="str">
            <v>1st</v>
          </cell>
          <cell r="FF56">
            <v>34</v>
          </cell>
          <cell r="FG56">
            <v>19</v>
          </cell>
          <cell r="FH56">
            <v>81</v>
          </cell>
          <cell r="FI56" t="str">
            <v>37th</v>
          </cell>
          <cell r="FJ56">
            <v>85</v>
          </cell>
          <cell r="FK56">
            <v>0</v>
          </cell>
          <cell r="FL56">
            <v>95</v>
          </cell>
          <cell r="FM56" t="str">
            <v>21st</v>
          </cell>
          <cell r="FN56">
            <v>75</v>
          </cell>
          <cell r="FO56">
            <v>0</v>
          </cell>
          <cell r="FP56">
            <v>84</v>
          </cell>
          <cell r="FQ56" t="str">
            <v>7th</v>
          </cell>
          <cell r="FR56">
            <v>66</v>
          </cell>
          <cell r="FS56">
            <v>0</v>
          </cell>
          <cell r="FT56">
            <v>82</v>
          </cell>
          <cell r="FU56" t="str">
            <v>9th</v>
          </cell>
          <cell r="FV56">
            <v>71</v>
          </cell>
          <cell r="FW56">
            <v>0</v>
          </cell>
          <cell r="FX56">
            <v>85</v>
          </cell>
          <cell r="FY56" t="str">
            <v>11th</v>
          </cell>
          <cell r="FZ56">
            <v>90</v>
          </cell>
          <cell r="GA56">
            <v>0</v>
          </cell>
          <cell r="GB56">
            <v>95</v>
          </cell>
          <cell r="GC56" t="str">
            <v>7th</v>
          </cell>
          <cell r="GD56">
            <v>47</v>
          </cell>
          <cell r="GE56">
            <v>24</v>
          </cell>
          <cell r="GF56">
            <v>71</v>
          </cell>
          <cell r="GG56" t="str">
            <v>32nd</v>
          </cell>
        </row>
        <row r="57">
          <cell r="A57" t="str">
            <v>BDS/22/079</v>
          </cell>
          <cell r="B57" t="str">
            <v xml:space="preserve">AJUZIE JUNIOR </v>
          </cell>
          <cell r="C57">
            <v>0</v>
          </cell>
          <cell r="D57">
            <v>0</v>
          </cell>
          <cell r="E57">
            <v>0</v>
          </cell>
          <cell r="F57">
            <v>18</v>
          </cell>
          <cell r="G57">
            <v>20</v>
          </cell>
          <cell r="H57">
            <v>48</v>
          </cell>
          <cell r="I57">
            <v>86</v>
          </cell>
          <cell r="J57">
            <v>86</v>
          </cell>
          <cell r="K57" t="str">
            <v>A</v>
          </cell>
          <cell r="L57">
            <v>20</v>
          </cell>
          <cell r="M57">
            <v>15</v>
          </cell>
          <cell r="N57">
            <v>37</v>
          </cell>
          <cell r="O57">
            <v>72</v>
          </cell>
          <cell r="P57">
            <v>72</v>
          </cell>
          <cell r="Q57" t="str">
            <v>B1</v>
          </cell>
          <cell r="R57">
            <v>10</v>
          </cell>
          <cell r="S57">
            <v>10</v>
          </cell>
          <cell r="T57">
            <v>31</v>
          </cell>
          <cell r="U57">
            <v>51</v>
          </cell>
          <cell r="V57">
            <v>51</v>
          </cell>
          <cell r="W57" t="str">
            <v>C4</v>
          </cell>
          <cell r="X57">
            <v>14</v>
          </cell>
          <cell r="Y57">
            <v>14</v>
          </cell>
          <cell r="Z57">
            <v>37</v>
          </cell>
          <cell r="AA57">
            <v>65</v>
          </cell>
          <cell r="AB57">
            <v>65</v>
          </cell>
          <cell r="AC57" t="str">
            <v>B2</v>
          </cell>
          <cell r="AD57">
            <v>10</v>
          </cell>
          <cell r="AE57">
            <v>10</v>
          </cell>
          <cell r="AF57">
            <v>21</v>
          </cell>
          <cell r="AG57">
            <v>41</v>
          </cell>
          <cell r="AH57">
            <v>41</v>
          </cell>
          <cell r="AI57" t="str">
            <v>D</v>
          </cell>
          <cell r="AJ57">
            <v>18</v>
          </cell>
          <cell r="AK57">
            <v>18</v>
          </cell>
          <cell r="AL57">
            <v>45</v>
          </cell>
          <cell r="AM57">
            <v>81</v>
          </cell>
          <cell r="AN57">
            <v>81</v>
          </cell>
          <cell r="AO57" t="str">
            <v>A</v>
          </cell>
          <cell r="AP57">
            <v>10</v>
          </cell>
          <cell r="AQ57">
            <v>10</v>
          </cell>
          <cell r="AR57">
            <v>58</v>
          </cell>
          <cell r="AS57">
            <v>78</v>
          </cell>
          <cell r="AT57">
            <v>78</v>
          </cell>
          <cell r="AU57" t="str">
            <v>B1</v>
          </cell>
          <cell r="AV57">
            <v>20</v>
          </cell>
          <cell r="AW57">
            <v>20</v>
          </cell>
          <cell r="AX57">
            <v>48</v>
          </cell>
          <cell r="AY57">
            <v>88</v>
          </cell>
          <cell r="AZ57">
            <v>88</v>
          </cell>
          <cell r="BA57" t="str">
            <v>A</v>
          </cell>
          <cell r="BB57">
            <v>5</v>
          </cell>
          <cell r="BC57">
            <v>6</v>
          </cell>
          <cell r="BD57">
            <v>15</v>
          </cell>
          <cell r="BE57">
            <v>26</v>
          </cell>
          <cell r="BF57">
            <v>26</v>
          </cell>
          <cell r="BG57" t="str">
            <v>F9</v>
          </cell>
          <cell r="BH57">
            <v>0</v>
          </cell>
          <cell r="BI57">
            <v>0</v>
          </cell>
          <cell r="BJ57">
            <v>40</v>
          </cell>
          <cell r="BK57">
            <v>40</v>
          </cell>
          <cell r="BL57">
            <v>40</v>
          </cell>
          <cell r="BM57" t="str">
            <v>E8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 t="str">
            <v>F9</v>
          </cell>
          <cell r="BT57">
            <v>5</v>
          </cell>
          <cell r="BU57">
            <v>17</v>
          </cell>
          <cell r="BV57">
            <v>31</v>
          </cell>
          <cell r="BW57">
            <v>53</v>
          </cell>
          <cell r="BX57">
            <v>53</v>
          </cell>
          <cell r="BY57" t="str">
            <v>C4</v>
          </cell>
          <cell r="BZ57">
            <v>15</v>
          </cell>
          <cell r="CA57">
            <v>20</v>
          </cell>
          <cell r="CB57">
            <v>50</v>
          </cell>
          <cell r="CC57">
            <v>85</v>
          </cell>
          <cell r="CD57">
            <v>85</v>
          </cell>
          <cell r="CE57" t="str">
            <v>A</v>
          </cell>
          <cell r="CF57">
            <v>2</v>
          </cell>
          <cell r="CG57">
            <v>3</v>
          </cell>
          <cell r="CH57">
            <v>46</v>
          </cell>
          <cell r="CI57">
            <v>51</v>
          </cell>
          <cell r="CJ57">
            <v>51</v>
          </cell>
          <cell r="CK57" t="str">
            <v>C4</v>
          </cell>
          <cell r="CL57">
            <v>20</v>
          </cell>
          <cell r="CM57">
            <v>9</v>
          </cell>
          <cell r="CN57">
            <v>37</v>
          </cell>
          <cell r="CO57">
            <v>66</v>
          </cell>
          <cell r="CP57">
            <v>66</v>
          </cell>
          <cell r="CQ57" t="str">
            <v>B2</v>
          </cell>
          <cell r="CR57">
            <v>12</v>
          </cell>
          <cell r="CS57">
            <v>20</v>
          </cell>
          <cell r="CT57">
            <v>41</v>
          </cell>
          <cell r="CU57">
            <v>73</v>
          </cell>
          <cell r="CV57">
            <v>73</v>
          </cell>
          <cell r="CW57" t="str">
            <v>B1</v>
          </cell>
          <cell r="CX57">
            <v>15</v>
          </cell>
          <cell r="CY57">
            <v>15</v>
          </cell>
          <cell r="CZ57">
            <v>50</v>
          </cell>
          <cell r="DA57">
            <v>80</v>
          </cell>
          <cell r="DB57">
            <v>80</v>
          </cell>
          <cell r="DC57" t="str">
            <v>B1</v>
          </cell>
          <cell r="DD57">
            <v>16</v>
          </cell>
          <cell r="DE57">
            <v>17</v>
          </cell>
          <cell r="DF57">
            <v>30</v>
          </cell>
          <cell r="DG57">
            <v>63</v>
          </cell>
          <cell r="DH57">
            <v>63</v>
          </cell>
          <cell r="DI57" t="str">
            <v>B2</v>
          </cell>
          <cell r="DJ57">
            <v>1099</v>
          </cell>
          <cell r="DK57">
            <v>1099</v>
          </cell>
          <cell r="DL57">
            <v>0.64647058823529402</v>
          </cell>
          <cell r="DM57" t="str">
            <v>19th</v>
          </cell>
          <cell r="DN57">
            <v>86</v>
          </cell>
          <cell r="DO57">
            <v>26</v>
          </cell>
          <cell r="DP57">
            <v>96</v>
          </cell>
          <cell r="DQ57" t="str">
            <v>13th</v>
          </cell>
          <cell r="DR57">
            <v>72</v>
          </cell>
          <cell r="DS57">
            <v>0</v>
          </cell>
          <cell r="DT57">
            <v>90</v>
          </cell>
          <cell r="DU57" t="str">
            <v>5th</v>
          </cell>
          <cell r="DV57">
            <v>51</v>
          </cell>
          <cell r="DW57">
            <v>0</v>
          </cell>
          <cell r="DX57">
            <v>78</v>
          </cell>
          <cell r="DY57" t="str">
            <v>29th</v>
          </cell>
          <cell r="DZ57">
            <v>65</v>
          </cell>
          <cell r="EA57">
            <v>10</v>
          </cell>
          <cell r="EB57">
            <v>93</v>
          </cell>
          <cell r="EC57" t="str">
            <v>14th</v>
          </cell>
          <cell r="ED57">
            <v>41</v>
          </cell>
          <cell r="EE57">
            <v>0</v>
          </cell>
          <cell r="EF57">
            <v>78</v>
          </cell>
          <cell r="EG57" t="str">
            <v>35th</v>
          </cell>
          <cell r="EH57">
            <v>81</v>
          </cell>
          <cell r="EI57">
            <v>36</v>
          </cell>
          <cell r="EJ57">
            <v>85</v>
          </cell>
          <cell r="EK57" t="str">
            <v>4th</v>
          </cell>
          <cell r="EL57">
            <v>78</v>
          </cell>
          <cell r="EM57">
            <v>0</v>
          </cell>
          <cell r="EN57">
            <v>87</v>
          </cell>
          <cell r="EO57" t="str">
            <v>18th</v>
          </cell>
          <cell r="EP57">
            <v>88</v>
          </cell>
          <cell r="EQ57">
            <v>0</v>
          </cell>
          <cell r="ER57">
            <v>100</v>
          </cell>
          <cell r="ES57" t="str">
            <v>8th</v>
          </cell>
          <cell r="ET57">
            <v>26</v>
          </cell>
          <cell r="EU57">
            <v>5</v>
          </cell>
          <cell r="EV57">
            <v>70</v>
          </cell>
          <cell r="EW57" t="str">
            <v>40th</v>
          </cell>
          <cell r="EX57">
            <v>40</v>
          </cell>
          <cell r="EY57">
            <v>0</v>
          </cell>
          <cell r="EZ57">
            <v>86</v>
          </cell>
          <cell r="FA57" t="str">
            <v>42nd</v>
          </cell>
          <cell r="FB57">
            <v>0</v>
          </cell>
          <cell r="FC57">
            <v>0</v>
          </cell>
          <cell r="FD57">
            <v>0</v>
          </cell>
          <cell r="FE57" t="str">
            <v>1st</v>
          </cell>
          <cell r="FF57">
            <v>53</v>
          </cell>
          <cell r="FG57">
            <v>19</v>
          </cell>
          <cell r="FH57">
            <v>81</v>
          </cell>
          <cell r="FI57" t="str">
            <v>20th</v>
          </cell>
          <cell r="FJ57">
            <v>85</v>
          </cell>
          <cell r="FK57">
            <v>0</v>
          </cell>
          <cell r="FL57">
            <v>95</v>
          </cell>
          <cell r="FM57" t="str">
            <v>21st</v>
          </cell>
          <cell r="FN57">
            <v>51</v>
          </cell>
          <cell r="FO57">
            <v>0</v>
          </cell>
          <cell r="FP57">
            <v>84</v>
          </cell>
          <cell r="FQ57" t="str">
            <v>36th</v>
          </cell>
          <cell r="FR57">
            <v>66</v>
          </cell>
          <cell r="FS57">
            <v>0</v>
          </cell>
          <cell r="FT57">
            <v>82</v>
          </cell>
          <cell r="FU57" t="str">
            <v>9th</v>
          </cell>
          <cell r="FV57">
            <v>73</v>
          </cell>
          <cell r="FW57">
            <v>0</v>
          </cell>
          <cell r="FX57">
            <v>85</v>
          </cell>
          <cell r="FY57" t="str">
            <v>6th</v>
          </cell>
          <cell r="FZ57">
            <v>80</v>
          </cell>
          <cell r="GA57">
            <v>0</v>
          </cell>
          <cell r="GB57">
            <v>95</v>
          </cell>
          <cell r="GC57" t="str">
            <v>44th</v>
          </cell>
          <cell r="GD57">
            <v>63</v>
          </cell>
          <cell r="GE57">
            <v>24</v>
          </cell>
          <cell r="GF57">
            <v>71</v>
          </cell>
          <cell r="GG57" t="str">
            <v>6th</v>
          </cell>
        </row>
        <row r="58">
          <cell r="A58" t="str">
            <v>BDS/22/080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F9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 t="str">
            <v>F9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 t="str">
            <v>F9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 t="str">
            <v>F9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 t="str">
            <v>F9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 t="str">
            <v>F9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 t="str">
            <v>F9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F9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 t="str">
            <v>F9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 t="str">
            <v>F9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 t="str">
            <v>F9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 t="str">
            <v>F9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 t="str">
            <v>F9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 t="str">
            <v>F9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 t="str">
            <v>F9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 t="str">
            <v>F9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 t="str">
            <v>F9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 t="str">
            <v>F9</v>
          </cell>
          <cell r="DJ58">
            <v>0</v>
          </cell>
          <cell r="DK58">
            <v>0</v>
          </cell>
          <cell r="DL58">
            <v>0</v>
          </cell>
          <cell r="DM58" t="e">
            <v>#VALUE!</v>
          </cell>
          <cell r="DN58">
            <v>0</v>
          </cell>
          <cell r="DO58">
            <v>26</v>
          </cell>
          <cell r="DP58">
            <v>96</v>
          </cell>
          <cell r="DQ58" t="e">
            <v>#VALUE!</v>
          </cell>
          <cell r="DR58">
            <v>0</v>
          </cell>
          <cell r="DS58">
            <v>0</v>
          </cell>
          <cell r="DT58">
            <v>90</v>
          </cell>
          <cell r="DU58" t="e">
            <v>#VALUE!</v>
          </cell>
          <cell r="DV58">
            <v>0</v>
          </cell>
          <cell r="DW58">
            <v>0</v>
          </cell>
          <cell r="DX58">
            <v>78</v>
          </cell>
          <cell r="DY58" t="e">
            <v>#VALUE!</v>
          </cell>
          <cell r="DZ58">
            <v>0</v>
          </cell>
          <cell r="EA58">
            <v>10</v>
          </cell>
          <cell r="EB58">
            <v>93</v>
          </cell>
          <cell r="EC58" t="e">
            <v>#VALUE!</v>
          </cell>
          <cell r="ED58">
            <v>0</v>
          </cell>
          <cell r="EE58">
            <v>0</v>
          </cell>
          <cell r="EF58">
            <v>78</v>
          </cell>
          <cell r="EG58" t="e">
            <v>#VALUE!</v>
          </cell>
          <cell r="EH58">
            <v>0</v>
          </cell>
          <cell r="EI58">
            <v>36</v>
          </cell>
          <cell r="EJ58">
            <v>85</v>
          </cell>
          <cell r="EK58" t="e">
            <v>#VALUE!</v>
          </cell>
          <cell r="EL58">
            <v>0</v>
          </cell>
          <cell r="EM58">
            <v>0</v>
          </cell>
          <cell r="EN58">
            <v>87</v>
          </cell>
          <cell r="EO58" t="e">
            <v>#VALUE!</v>
          </cell>
          <cell r="EP58">
            <v>0</v>
          </cell>
          <cell r="EQ58">
            <v>0</v>
          </cell>
          <cell r="ER58">
            <v>100</v>
          </cell>
          <cell r="ES58" t="e">
            <v>#VALUE!</v>
          </cell>
          <cell r="ET58">
            <v>0</v>
          </cell>
          <cell r="EU58">
            <v>5</v>
          </cell>
          <cell r="EV58">
            <v>70</v>
          </cell>
          <cell r="EW58" t="e">
            <v>#VALUE!</v>
          </cell>
          <cell r="EX58">
            <v>0</v>
          </cell>
          <cell r="EY58">
            <v>0</v>
          </cell>
          <cell r="EZ58">
            <v>86</v>
          </cell>
          <cell r="FA58" t="e">
            <v>#VALUE!</v>
          </cell>
          <cell r="FB58">
            <v>0</v>
          </cell>
          <cell r="FC58">
            <v>0</v>
          </cell>
          <cell r="FD58">
            <v>0</v>
          </cell>
          <cell r="FE58" t="e">
            <v>#VALUE!</v>
          </cell>
          <cell r="FF58">
            <v>0</v>
          </cell>
          <cell r="FG58">
            <v>19</v>
          </cell>
          <cell r="FH58">
            <v>81</v>
          </cell>
          <cell r="FI58" t="e">
            <v>#VALUE!</v>
          </cell>
          <cell r="FJ58">
            <v>0</v>
          </cell>
          <cell r="FK58">
            <v>0</v>
          </cell>
          <cell r="FL58">
            <v>95</v>
          </cell>
          <cell r="FM58" t="e">
            <v>#VALUE!</v>
          </cell>
          <cell r="FN58">
            <v>0</v>
          </cell>
          <cell r="FO58">
            <v>0</v>
          </cell>
          <cell r="FP58">
            <v>84</v>
          </cell>
          <cell r="FQ58" t="e">
            <v>#VALUE!</v>
          </cell>
          <cell r="FR58">
            <v>0</v>
          </cell>
          <cell r="FS58">
            <v>0</v>
          </cell>
          <cell r="FT58">
            <v>82</v>
          </cell>
          <cell r="FU58" t="e">
            <v>#VALUE!</v>
          </cell>
          <cell r="FV58">
            <v>0</v>
          </cell>
          <cell r="FW58">
            <v>0</v>
          </cell>
          <cell r="FX58">
            <v>85</v>
          </cell>
          <cell r="FY58" t="e">
            <v>#VALUE!</v>
          </cell>
          <cell r="FZ58">
            <v>0</v>
          </cell>
          <cell r="GA58">
            <v>0</v>
          </cell>
          <cell r="GB58">
            <v>95</v>
          </cell>
          <cell r="GC58" t="e">
            <v>#VALUE!</v>
          </cell>
          <cell r="GD58">
            <v>0</v>
          </cell>
          <cell r="GE58">
            <v>24</v>
          </cell>
          <cell r="GF58">
            <v>71</v>
          </cell>
          <cell r="GG58" t="e">
            <v>#VALUE!</v>
          </cell>
        </row>
        <row r="59">
          <cell r="A59" t="str">
            <v>BDS/22/081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F9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 t="str">
            <v>F9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 t="str">
            <v>F9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 t="str">
            <v>F9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 t="str">
            <v>F9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 t="str">
            <v>F9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 t="str">
            <v>F9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F9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 t="str">
            <v>F9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 t="str">
            <v>F9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 t="str">
            <v>F9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 t="str">
            <v>F9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 t="str">
            <v>F9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 t="str">
            <v>F9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 t="str">
            <v>F9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 t="str">
            <v>F9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 t="str">
            <v>F9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 t="str">
            <v>F9</v>
          </cell>
          <cell r="DJ59">
            <v>0</v>
          </cell>
          <cell r="DK59">
            <v>0</v>
          </cell>
          <cell r="DL59">
            <v>0</v>
          </cell>
          <cell r="DM59" t="e">
            <v>#VALUE!</v>
          </cell>
          <cell r="DN59">
            <v>0</v>
          </cell>
          <cell r="DO59">
            <v>26</v>
          </cell>
          <cell r="DP59">
            <v>96</v>
          </cell>
          <cell r="DQ59" t="e">
            <v>#VALUE!</v>
          </cell>
          <cell r="DR59">
            <v>0</v>
          </cell>
          <cell r="DS59">
            <v>0</v>
          </cell>
          <cell r="DT59">
            <v>90</v>
          </cell>
          <cell r="DU59" t="e">
            <v>#VALUE!</v>
          </cell>
          <cell r="DV59">
            <v>0</v>
          </cell>
          <cell r="DW59">
            <v>0</v>
          </cell>
          <cell r="DX59">
            <v>78</v>
          </cell>
          <cell r="DY59" t="e">
            <v>#VALUE!</v>
          </cell>
          <cell r="DZ59">
            <v>0</v>
          </cell>
          <cell r="EA59">
            <v>10</v>
          </cell>
          <cell r="EB59">
            <v>93</v>
          </cell>
          <cell r="EC59" t="e">
            <v>#VALUE!</v>
          </cell>
          <cell r="ED59">
            <v>0</v>
          </cell>
          <cell r="EE59">
            <v>0</v>
          </cell>
          <cell r="EF59">
            <v>78</v>
          </cell>
          <cell r="EG59" t="e">
            <v>#VALUE!</v>
          </cell>
          <cell r="EH59">
            <v>0</v>
          </cell>
          <cell r="EI59">
            <v>36</v>
          </cell>
          <cell r="EJ59">
            <v>85</v>
          </cell>
          <cell r="EK59" t="e">
            <v>#VALUE!</v>
          </cell>
          <cell r="EL59">
            <v>0</v>
          </cell>
          <cell r="EM59">
            <v>0</v>
          </cell>
          <cell r="EN59">
            <v>87</v>
          </cell>
          <cell r="EO59" t="e">
            <v>#VALUE!</v>
          </cell>
          <cell r="EP59">
            <v>0</v>
          </cell>
          <cell r="EQ59">
            <v>0</v>
          </cell>
          <cell r="ER59">
            <v>100</v>
          </cell>
          <cell r="ES59" t="e">
            <v>#VALUE!</v>
          </cell>
          <cell r="ET59">
            <v>0</v>
          </cell>
          <cell r="EU59">
            <v>5</v>
          </cell>
          <cell r="EV59">
            <v>70</v>
          </cell>
          <cell r="EW59" t="e">
            <v>#VALUE!</v>
          </cell>
          <cell r="EX59">
            <v>0</v>
          </cell>
          <cell r="EY59">
            <v>0</v>
          </cell>
          <cell r="EZ59">
            <v>86</v>
          </cell>
          <cell r="FA59" t="e">
            <v>#VALUE!</v>
          </cell>
          <cell r="FB59">
            <v>0</v>
          </cell>
          <cell r="FC59">
            <v>0</v>
          </cell>
          <cell r="FD59">
            <v>0</v>
          </cell>
          <cell r="FE59" t="e">
            <v>#VALUE!</v>
          </cell>
          <cell r="FF59">
            <v>0</v>
          </cell>
          <cell r="FG59">
            <v>19</v>
          </cell>
          <cell r="FH59">
            <v>81</v>
          </cell>
          <cell r="FI59" t="e">
            <v>#VALUE!</v>
          </cell>
          <cell r="FJ59">
            <v>0</v>
          </cell>
          <cell r="FK59">
            <v>0</v>
          </cell>
          <cell r="FL59">
            <v>95</v>
          </cell>
          <cell r="FM59" t="e">
            <v>#VALUE!</v>
          </cell>
          <cell r="FN59">
            <v>0</v>
          </cell>
          <cell r="FO59">
            <v>0</v>
          </cell>
          <cell r="FP59">
            <v>84</v>
          </cell>
          <cell r="FQ59" t="e">
            <v>#VALUE!</v>
          </cell>
          <cell r="FR59">
            <v>0</v>
          </cell>
          <cell r="FS59">
            <v>0</v>
          </cell>
          <cell r="FT59">
            <v>82</v>
          </cell>
          <cell r="FU59" t="e">
            <v>#VALUE!</v>
          </cell>
          <cell r="FV59">
            <v>0</v>
          </cell>
          <cell r="FW59">
            <v>0</v>
          </cell>
          <cell r="FX59">
            <v>85</v>
          </cell>
          <cell r="FY59" t="e">
            <v>#VALUE!</v>
          </cell>
          <cell r="FZ59">
            <v>0</v>
          </cell>
          <cell r="GA59">
            <v>0</v>
          </cell>
          <cell r="GB59">
            <v>95</v>
          </cell>
          <cell r="GC59" t="e">
            <v>#VALUE!</v>
          </cell>
          <cell r="GD59">
            <v>0</v>
          </cell>
          <cell r="GE59">
            <v>24</v>
          </cell>
          <cell r="GF59">
            <v>71</v>
          </cell>
          <cell r="GG59" t="e">
            <v>#VALUE!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F9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 t="str">
            <v>F9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 t="str">
            <v>F9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 t="str">
            <v>F9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 t="str">
            <v>F9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 t="str">
            <v>F9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 t="str">
            <v>F9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F9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 t="str">
            <v>F9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 t="str">
            <v>F9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 t="str">
            <v>F9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 t="str">
            <v>F9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 t="str">
            <v>F9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 t="str">
            <v>F9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 t="str">
            <v>F9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 t="str">
            <v>F9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 t="str">
            <v>F9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 t="str">
            <v>F9</v>
          </cell>
          <cell r="DJ60">
            <v>0</v>
          </cell>
          <cell r="DK60">
            <v>0</v>
          </cell>
          <cell r="DL60">
            <v>0</v>
          </cell>
          <cell r="DM60" t="e">
            <v>#VALUE!</v>
          </cell>
          <cell r="DN60">
            <v>0</v>
          </cell>
          <cell r="DO60">
            <v>26</v>
          </cell>
          <cell r="DP60">
            <v>96</v>
          </cell>
          <cell r="DQ60" t="e">
            <v>#VALUE!</v>
          </cell>
          <cell r="DR60">
            <v>0</v>
          </cell>
          <cell r="DS60">
            <v>0</v>
          </cell>
          <cell r="DT60">
            <v>90</v>
          </cell>
          <cell r="DU60" t="e">
            <v>#VALUE!</v>
          </cell>
          <cell r="DV60">
            <v>0</v>
          </cell>
          <cell r="DW60">
            <v>0</v>
          </cell>
          <cell r="DX60">
            <v>78</v>
          </cell>
          <cell r="DY60" t="e">
            <v>#VALUE!</v>
          </cell>
          <cell r="DZ60">
            <v>0</v>
          </cell>
          <cell r="EA60">
            <v>10</v>
          </cell>
          <cell r="EB60">
            <v>93</v>
          </cell>
          <cell r="EC60" t="e">
            <v>#VALUE!</v>
          </cell>
          <cell r="ED60">
            <v>0</v>
          </cell>
          <cell r="EE60">
            <v>0</v>
          </cell>
          <cell r="EF60">
            <v>78</v>
          </cell>
          <cell r="EG60" t="e">
            <v>#VALUE!</v>
          </cell>
          <cell r="EH60">
            <v>0</v>
          </cell>
          <cell r="EI60">
            <v>36</v>
          </cell>
          <cell r="EJ60">
            <v>85</v>
          </cell>
          <cell r="EK60" t="e">
            <v>#VALUE!</v>
          </cell>
          <cell r="EL60">
            <v>0</v>
          </cell>
          <cell r="EM60">
            <v>0</v>
          </cell>
          <cell r="EN60">
            <v>87</v>
          </cell>
          <cell r="EO60" t="e">
            <v>#VALUE!</v>
          </cell>
          <cell r="EP60">
            <v>0</v>
          </cell>
          <cell r="EQ60">
            <v>0</v>
          </cell>
          <cell r="ER60">
            <v>100</v>
          </cell>
          <cell r="ES60" t="e">
            <v>#VALUE!</v>
          </cell>
          <cell r="ET60">
            <v>0</v>
          </cell>
          <cell r="EU60">
            <v>5</v>
          </cell>
          <cell r="EV60">
            <v>70</v>
          </cell>
          <cell r="EW60" t="e">
            <v>#VALUE!</v>
          </cell>
          <cell r="EX60">
            <v>0</v>
          </cell>
          <cell r="EY60">
            <v>0</v>
          </cell>
          <cell r="EZ60">
            <v>86</v>
          </cell>
          <cell r="FA60" t="e">
            <v>#VALUE!</v>
          </cell>
          <cell r="FB60">
            <v>0</v>
          </cell>
          <cell r="FC60">
            <v>0</v>
          </cell>
          <cell r="FD60">
            <v>0</v>
          </cell>
          <cell r="FE60" t="e">
            <v>#VALUE!</v>
          </cell>
          <cell r="FF60">
            <v>0</v>
          </cell>
          <cell r="FG60">
            <v>19</v>
          </cell>
          <cell r="FH60">
            <v>81</v>
          </cell>
          <cell r="FI60" t="e">
            <v>#VALUE!</v>
          </cell>
          <cell r="FJ60">
            <v>0</v>
          </cell>
          <cell r="FK60">
            <v>0</v>
          </cell>
          <cell r="FL60">
            <v>95</v>
          </cell>
          <cell r="FM60" t="e">
            <v>#VALUE!</v>
          </cell>
          <cell r="FN60">
            <v>0</v>
          </cell>
          <cell r="FO60">
            <v>0</v>
          </cell>
          <cell r="FP60">
            <v>84</v>
          </cell>
          <cell r="FQ60" t="e">
            <v>#VALUE!</v>
          </cell>
          <cell r="FR60">
            <v>0</v>
          </cell>
          <cell r="FS60">
            <v>0</v>
          </cell>
          <cell r="FT60">
            <v>82</v>
          </cell>
          <cell r="FU60" t="e">
            <v>#VALUE!</v>
          </cell>
          <cell r="FV60">
            <v>0</v>
          </cell>
          <cell r="FW60">
            <v>0</v>
          </cell>
          <cell r="FX60">
            <v>85</v>
          </cell>
          <cell r="FY60" t="e">
            <v>#VALUE!</v>
          </cell>
          <cell r="FZ60">
            <v>0</v>
          </cell>
          <cell r="GA60">
            <v>0</v>
          </cell>
          <cell r="GB60">
            <v>95</v>
          </cell>
          <cell r="GC60" t="e">
            <v>#VALUE!</v>
          </cell>
          <cell r="GD60">
            <v>0</v>
          </cell>
          <cell r="GE60">
            <v>24</v>
          </cell>
          <cell r="GF60">
            <v>71</v>
          </cell>
          <cell r="GG60" t="e">
            <v>#VALUE!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F9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 t="str">
            <v>F9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 t="str">
            <v>F9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 t="str">
            <v>F9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 t="str">
            <v>F9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 t="str">
            <v>F9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 t="str">
            <v>F9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F9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>F9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 t="str">
            <v>F9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 t="str">
            <v>F9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 t="str">
            <v>F9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 t="str">
            <v>F9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 t="str">
            <v>F9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 t="str">
            <v>F9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 t="str">
            <v>F9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 t="str">
            <v>F9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 t="str">
            <v>F9</v>
          </cell>
          <cell r="DJ61">
            <v>0</v>
          </cell>
          <cell r="DK61">
            <v>0</v>
          </cell>
          <cell r="DL61">
            <v>0</v>
          </cell>
          <cell r="DM61" t="e">
            <v>#VALUE!</v>
          </cell>
          <cell r="DN61">
            <v>0</v>
          </cell>
          <cell r="DO61">
            <v>26</v>
          </cell>
          <cell r="DP61">
            <v>96</v>
          </cell>
          <cell r="DQ61" t="e">
            <v>#VALUE!</v>
          </cell>
          <cell r="DR61">
            <v>0</v>
          </cell>
          <cell r="DS61">
            <v>0</v>
          </cell>
          <cell r="DT61">
            <v>90</v>
          </cell>
          <cell r="DU61" t="e">
            <v>#VALUE!</v>
          </cell>
          <cell r="DV61">
            <v>0</v>
          </cell>
          <cell r="DW61">
            <v>0</v>
          </cell>
          <cell r="DX61">
            <v>78</v>
          </cell>
          <cell r="DY61" t="e">
            <v>#VALUE!</v>
          </cell>
          <cell r="DZ61">
            <v>0</v>
          </cell>
          <cell r="EA61">
            <v>10</v>
          </cell>
          <cell r="EB61">
            <v>93</v>
          </cell>
          <cell r="EC61" t="e">
            <v>#VALUE!</v>
          </cell>
          <cell r="ED61">
            <v>0</v>
          </cell>
          <cell r="EE61">
            <v>0</v>
          </cell>
          <cell r="EF61">
            <v>78</v>
          </cell>
          <cell r="EG61" t="e">
            <v>#VALUE!</v>
          </cell>
          <cell r="EH61">
            <v>0</v>
          </cell>
          <cell r="EI61">
            <v>36</v>
          </cell>
          <cell r="EJ61">
            <v>85</v>
          </cell>
          <cell r="EK61" t="e">
            <v>#VALUE!</v>
          </cell>
          <cell r="EL61">
            <v>0</v>
          </cell>
          <cell r="EM61">
            <v>0</v>
          </cell>
          <cell r="EN61">
            <v>87</v>
          </cell>
          <cell r="EO61" t="e">
            <v>#VALUE!</v>
          </cell>
          <cell r="EP61">
            <v>0</v>
          </cell>
          <cell r="EQ61">
            <v>0</v>
          </cell>
          <cell r="ER61">
            <v>100</v>
          </cell>
          <cell r="ES61" t="e">
            <v>#VALUE!</v>
          </cell>
          <cell r="ET61">
            <v>0</v>
          </cell>
          <cell r="EU61">
            <v>5</v>
          </cell>
          <cell r="EV61">
            <v>70</v>
          </cell>
          <cell r="EW61" t="e">
            <v>#VALUE!</v>
          </cell>
          <cell r="EX61">
            <v>0</v>
          </cell>
          <cell r="EY61">
            <v>0</v>
          </cell>
          <cell r="EZ61">
            <v>86</v>
          </cell>
          <cell r="FA61" t="e">
            <v>#VALUE!</v>
          </cell>
          <cell r="FB61">
            <v>0</v>
          </cell>
          <cell r="FC61">
            <v>0</v>
          </cell>
          <cell r="FD61">
            <v>0</v>
          </cell>
          <cell r="FE61" t="e">
            <v>#VALUE!</v>
          </cell>
          <cell r="FF61">
            <v>0</v>
          </cell>
          <cell r="FG61">
            <v>19</v>
          </cell>
          <cell r="FH61">
            <v>81</v>
          </cell>
          <cell r="FI61" t="e">
            <v>#VALUE!</v>
          </cell>
          <cell r="FJ61">
            <v>0</v>
          </cell>
          <cell r="FK61">
            <v>0</v>
          </cell>
          <cell r="FL61">
            <v>95</v>
          </cell>
          <cell r="FM61" t="e">
            <v>#VALUE!</v>
          </cell>
          <cell r="FN61">
            <v>0</v>
          </cell>
          <cell r="FO61">
            <v>0</v>
          </cell>
          <cell r="FP61">
            <v>84</v>
          </cell>
          <cell r="FQ61" t="e">
            <v>#VALUE!</v>
          </cell>
          <cell r="FR61">
            <v>0</v>
          </cell>
          <cell r="FS61">
            <v>0</v>
          </cell>
          <cell r="FT61">
            <v>82</v>
          </cell>
          <cell r="FU61" t="e">
            <v>#VALUE!</v>
          </cell>
          <cell r="FV61">
            <v>0</v>
          </cell>
          <cell r="FW61">
            <v>0</v>
          </cell>
          <cell r="FX61">
            <v>85</v>
          </cell>
          <cell r="FY61" t="e">
            <v>#VALUE!</v>
          </cell>
          <cell r="FZ61">
            <v>0</v>
          </cell>
          <cell r="GA61">
            <v>0</v>
          </cell>
          <cell r="GB61">
            <v>95</v>
          </cell>
          <cell r="GC61" t="e">
            <v>#VALUE!</v>
          </cell>
          <cell r="GD61">
            <v>0</v>
          </cell>
          <cell r="GE61">
            <v>24</v>
          </cell>
          <cell r="GF61">
            <v>71</v>
          </cell>
          <cell r="GG61" t="e">
            <v>#VALUE!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F9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 t="str">
            <v>F9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F9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 t="str">
            <v>F9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 t="str">
            <v>F9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 t="str">
            <v>F9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 t="str">
            <v>F9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F9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 t="str">
            <v>F9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 t="str">
            <v>F9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 t="str">
            <v>F9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 t="str">
            <v>F9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 t="str">
            <v>F9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 t="str">
            <v>F9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 t="str">
            <v>F9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 t="str">
            <v>F9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 t="str">
            <v>F9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 t="str">
            <v>F9</v>
          </cell>
          <cell r="DJ62">
            <v>0</v>
          </cell>
          <cell r="DK62">
            <v>0</v>
          </cell>
          <cell r="DL62">
            <v>0</v>
          </cell>
          <cell r="DM62" t="e">
            <v>#VALUE!</v>
          </cell>
          <cell r="DN62">
            <v>0</v>
          </cell>
          <cell r="DO62">
            <v>26</v>
          </cell>
          <cell r="DP62">
            <v>96</v>
          </cell>
          <cell r="DQ62" t="e">
            <v>#VALUE!</v>
          </cell>
          <cell r="DR62">
            <v>0</v>
          </cell>
          <cell r="DS62">
            <v>0</v>
          </cell>
          <cell r="DT62">
            <v>90</v>
          </cell>
          <cell r="DU62" t="e">
            <v>#VALUE!</v>
          </cell>
          <cell r="DV62">
            <v>0</v>
          </cell>
          <cell r="DW62">
            <v>0</v>
          </cell>
          <cell r="DX62">
            <v>78</v>
          </cell>
          <cell r="DY62" t="e">
            <v>#VALUE!</v>
          </cell>
          <cell r="DZ62">
            <v>0</v>
          </cell>
          <cell r="EA62">
            <v>10</v>
          </cell>
          <cell r="EB62">
            <v>93</v>
          </cell>
          <cell r="EC62" t="e">
            <v>#VALUE!</v>
          </cell>
          <cell r="ED62">
            <v>0</v>
          </cell>
          <cell r="EE62">
            <v>0</v>
          </cell>
          <cell r="EF62">
            <v>78</v>
          </cell>
          <cell r="EG62" t="e">
            <v>#VALUE!</v>
          </cell>
          <cell r="EH62">
            <v>0</v>
          </cell>
          <cell r="EI62">
            <v>36</v>
          </cell>
          <cell r="EJ62">
            <v>85</v>
          </cell>
          <cell r="EK62" t="e">
            <v>#VALUE!</v>
          </cell>
          <cell r="EL62">
            <v>0</v>
          </cell>
          <cell r="EM62">
            <v>0</v>
          </cell>
          <cell r="EN62">
            <v>87</v>
          </cell>
          <cell r="EO62" t="e">
            <v>#VALUE!</v>
          </cell>
          <cell r="EP62">
            <v>0</v>
          </cell>
          <cell r="EQ62">
            <v>0</v>
          </cell>
          <cell r="ER62">
            <v>100</v>
          </cell>
          <cell r="ES62" t="e">
            <v>#VALUE!</v>
          </cell>
          <cell r="ET62">
            <v>0</v>
          </cell>
          <cell r="EU62">
            <v>5</v>
          </cell>
          <cell r="EV62">
            <v>70</v>
          </cell>
          <cell r="EW62" t="e">
            <v>#VALUE!</v>
          </cell>
          <cell r="EX62">
            <v>0</v>
          </cell>
          <cell r="EY62">
            <v>0</v>
          </cell>
          <cell r="EZ62">
            <v>86</v>
          </cell>
          <cell r="FA62" t="e">
            <v>#VALUE!</v>
          </cell>
          <cell r="FB62">
            <v>0</v>
          </cell>
          <cell r="FC62">
            <v>0</v>
          </cell>
          <cell r="FD62">
            <v>0</v>
          </cell>
          <cell r="FE62" t="e">
            <v>#VALUE!</v>
          </cell>
          <cell r="FF62">
            <v>0</v>
          </cell>
          <cell r="FG62">
            <v>19</v>
          </cell>
          <cell r="FH62">
            <v>81</v>
          </cell>
          <cell r="FI62" t="e">
            <v>#VALUE!</v>
          </cell>
          <cell r="FJ62">
            <v>0</v>
          </cell>
          <cell r="FK62">
            <v>0</v>
          </cell>
          <cell r="FL62">
            <v>95</v>
          </cell>
          <cell r="FM62" t="e">
            <v>#VALUE!</v>
          </cell>
          <cell r="FN62">
            <v>0</v>
          </cell>
          <cell r="FO62">
            <v>0</v>
          </cell>
          <cell r="FP62">
            <v>84</v>
          </cell>
          <cell r="FQ62" t="e">
            <v>#VALUE!</v>
          </cell>
          <cell r="FR62">
            <v>0</v>
          </cell>
          <cell r="FS62">
            <v>0</v>
          </cell>
          <cell r="FT62">
            <v>82</v>
          </cell>
          <cell r="FU62" t="e">
            <v>#VALUE!</v>
          </cell>
          <cell r="FV62">
            <v>0</v>
          </cell>
          <cell r="FW62">
            <v>0</v>
          </cell>
          <cell r="FX62">
            <v>85</v>
          </cell>
          <cell r="FY62" t="e">
            <v>#VALUE!</v>
          </cell>
          <cell r="FZ62">
            <v>0</v>
          </cell>
          <cell r="GA62">
            <v>0</v>
          </cell>
          <cell r="GB62">
            <v>95</v>
          </cell>
          <cell r="GC62" t="e">
            <v>#VALUE!</v>
          </cell>
          <cell r="GD62">
            <v>0</v>
          </cell>
          <cell r="GE62">
            <v>24</v>
          </cell>
          <cell r="GF62">
            <v>71</v>
          </cell>
          <cell r="GG62" t="e">
            <v>#VALUE!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F9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 t="str">
            <v>F9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 t="str">
            <v>F9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 t="str">
            <v>F9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 t="str">
            <v>F9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 t="str">
            <v>F9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 t="str">
            <v>F9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F9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 t="str">
            <v>F9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 t="str">
            <v>F9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 t="str">
            <v>F9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 t="str">
            <v>F9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 t="str">
            <v>F9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 t="str">
            <v>F9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 t="str">
            <v>F9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 t="str">
            <v>F9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 t="str">
            <v>F9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 t="str">
            <v>F9</v>
          </cell>
          <cell r="DJ63">
            <v>0</v>
          </cell>
          <cell r="DK63">
            <v>0</v>
          </cell>
          <cell r="DL63">
            <v>0</v>
          </cell>
          <cell r="DM63" t="e">
            <v>#VALUE!</v>
          </cell>
          <cell r="DN63">
            <v>0</v>
          </cell>
          <cell r="DO63">
            <v>26</v>
          </cell>
          <cell r="DP63">
            <v>96</v>
          </cell>
          <cell r="DQ63" t="e">
            <v>#VALUE!</v>
          </cell>
          <cell r="DR63">
            <v>0</v>
          </cell>
          <cell r="DS63">
            <v>0</v>
          </cell>
          <cell r="DT63">
            <v>90</v>
          </cell>
          <cell r="DU63" t="e">
            <v>#VALUE!</v>
          </cell>
          <cell r="DV63">
            <v>0</v>
          </cell>
          <cell r="DW63">
            <v>0</v>
          </cell>
          <cell r="DX63">
            <v>78</v>
          </cell>
          <cell r="DY63" t="e">
            <v>#VALUE!</v>
          </cell>
          <cell r="DZ63">
            <v>0</v>
          </cell>
          <cell r="EA63">
            <v>10</v>
          </cell>
          <cell r="EB63">
            <v>93</v>
          </cell>
          <cell r="EC63" t="e">
            <v>#VALUE!</v>
          </cell>
          <cell r="ED63">
            <v>0</v>
          </cell>
          <cell r="EE63">
            <v>0</v>
          </cell>
          <cell r="EF63">
            <v>78</v>
          </cell>
          <cell r="EG63" t="e">
            <v>#VALUE!</v>
          </cell>
          <cell r="EH63">
            <v>0</v>
          </cell>
          <cell r="EI63">
            <v>36</v>
          </cell>
          <cell r="EJ63">
            <v>85</v>
          </cell>
          <cell r="EK63" t="e">
            <v>#VALUE!</v>
          </cell>
          <cell r="EL63">
            <v>0</v>
          </cell>
          <cell r="EM63">
            <v>0</v>
          </cell>
          <cell r="EN63">
            <v>87</v>
          </cell>
          <cell r="EO63" t="e">
            <v>#VALUE!</v>
          </cell>
          <cell r="EP63">
            <v>0</v>
          </cell>
          <cell r="EQ63">
            <v>0</v>
          </cell>
          <cell r="ER63">
            <v>100</v>
          </cell>
          <cell r="ES63" t="e">
            <v>#VALUE!</v>
          </cell>
          <cell r="ET63">
            <v>0</v>
          </cell>
          <cell r="EU63">
            <v>5</v>
          </cell>
          <cell r="EV63">
            <v>70</v>
          </cell>
          <cell r="EW63" t="e">
            <v>#VALUE!</v>
          </cell>
          <cell r="EX63">
            <v>0</v>
          </cell>
          <cell r="EY63">
            <v>0</v>
          </cell>
          <cell r="EZ63">
            <v>86</v>
          </cell>
          <cell r="FA63" t="e">
            <v>#VALUE!</v>
          </cell>
          <cell r="FB63">
            <v>0</v>
          </cell>
          <cell r="FC63">
            <v>0</v>
          </cell>
          <cell r="FD63">
            <v>0</v>
          </cell>
          <cell r="FE63" t="e">
            <v>#VALUE!</v>
          </cell>
          <cell r="FF63">
            <v>0</v>
          </cell>
          <cell r="FG63">
            <v>19</v>
          </cell>
          <cell r="FH63">
            <v>81</v>
          </cell>
          <cell r="FI63" t="e">
            <v>#VALUE!</v>
          </cell>
          <cell r="FJ63">
            <v>0</v>
          </cell>
          <cell r="FK63">
            <v>0</v>
          </cell>
          <cell r="FL63">
            <v>95</v>
          </cell>
          <cell r="FM63" t="e">
            <v>#VALUE!</v>
          </cell>
          <cell r="FN63">
            <v>0</v>
          </cell>
          <cell r="FO63">
            <v>0</v>
          </cell>
          <cell r="FP63">
            <v>84</v>
          </cell>
          <cell r="FQ63" t="e">
            <v>#VALUE!</v>
          </cell>
          <cell r="FR63">
            <v>0</v>
          </cell>
          <cell r="FS63">
            <v>0</v>
          </cell>
          <cell r="FT63">
            <v>82</v>
          </cell>
          <cell r="FU63" t="e">
            <v>#VALUE!</v>
          </cell>
          <cell r="FV63">
            <v>0</v>
          </cell>
          <cell r="FW63">
            <v>0</v>
          </cell>
          <cell r="FX63">
            <v>85</v>
          </cell>
          <cell r="FY63" t="e">
            <v>#VALUE!</v>
          </cell>
          <cell r="FZ63">
            <v>0</v>
          </cell>
          <cell r="GA63">
            <v>0</v>
          </cell>
          <cell r="GB63">
            <v>95</v>
          </cell>
          <cell r="GC63" t="e">
            <v>#VALUE!</v>
          </cell>
          <cell r="GD63">
            <v>0</v>
          </cell>
          <cell r="GE63">
            <v>24</v>
          </cell>
          <cell r="GF63">
            <v>71</v>
          </cell>
          <cell r="GG63" t="e">
            <v>#VALUE!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F9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 t="str">
            <v>F9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 t="str">
            <v>F9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 t="str">
            <v>F9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F9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 t="str">
            <v>F9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 t="str">
            <v>F9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F9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 t="str">
            <v>F9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 t="str">
            <v>F9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 t="str">
            <v>F9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 t="str">
            <v>F9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 t="str">
            <v>F9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 t="str">
            <v>F9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 t="str">
            <v>F9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 t="str">
            <v>F9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 t="str">
            <v>F9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 t="str">
            <v>F9</v>
          </cell>
          <cell r="DJ64">
            <v>0</v>
          </cell>
          <cell r="DK64">
            <v>0</v>
          </cell>
          <cell r="DL64">
            <v>0</v>
          </cell>
          <cell r="DM64" t="e">
            <v>#VALUE!</v>
          </cell>
          <cell r="DN64">
            <v>0</v>
          </cell>
          <cell r="DO64">
            <v>26</v>
          </cell>
          <cell r="DP64">
            <v>96</v>
          </cell>
          <cell r="DQ64" t="e">
            <v>#VALUE!</v>
          </cell>
          <cell r="DR64">
            <v>0</v>
          </cell>
          <cell r="DS64">
            <v>0</v>
          </cell>
          <cell r="DT64">
            <v>90</v>
          </cell>
          <cell r="DU64" t="e">
            <v>#VALUE!</v>
          </cell>
          <cell r="DV64">
            <v>0</v>
          </cell>
          <cell r="DW64">
            <v>0</v>
          </cell>
          <cell r="DX64">
            <v>78</v>
          </cell>
          <cell r="DY64" t="e">
            <v>#VALUE!</v>
          </cell>
          <cell r="DZ64">
            <v>0</v>
          </cell>
          <cell r="EA64">
            <v>10</v>
          </cell>
          <cell r="EB64">
            <v>93</v>
          </cell>
          <cell r="EC64" t="e">
            <v>#VALUE!</v>
          </cell>
          <cell r="ED64">
            <v>0</v>
          </cell>
          <cell r="EE64">
            <v>0</v>
          </cell>
          <cell r="EF64">
            <v>78</v>
          </cell>
          <cell r="EG64" t="e">
            <v>#VALUE!</v>
          </cell>
          <cell r="EH64">
            <v>0</v>
          </cell>
          <cell r="EI64">
            <v>36</v>
          </cell>
          <cell r="EJ64">
            <v>85</v>
          </cell>
          <cell r="EK64" t="e">
            <v>#VALUE!</v>
          </cell>
          <cell r="EL64">
            <v>0</v>
          </cell>
          <cell r="EM64">
            <v>0</v>
          </cell>
          <cell r="EN64">
            <v>87</v>
          </cell>
          <cell r="EO64" t="e">
            <v>#VALUE!</v>
          </cell>
          <cell r="EP64">
            <v>0</v>
          </cell>
          <cell r="EQ64">
            <v>0</v>
          </cell>
          <cell r="ER64">
            <v>100</v>
          </cell>
          <cell r="ES64" t="e">
            <v>#VALUE!</v>
          </cell>
          <cell r="ET64">
            <v>0</v>
          </cell>
          <cell r="EU64">
            <v>5</v>
          </cell>
          <cell r="EV64">
            <v>70</v>
          </cell>
          <cell r="EW64" t="e">
            <v>#VALUE!</v>
          </cell>
          <cell r="EX64">
            <v>0</v>
          </cell>
          <cell r="EY64">
            <v>0</v>
          </cell>
          <cell r="EZ64">
            <v>86</v>
          </cell>
          <cell r="FA64" t="e">
            <v>#VALUE!</v>
          </cell>
          <cell r="FB64">
            <v>0</v>
          </cell>
          <cell r="FC64">
            <v>0</v>
          </cell>
          <cell r="FD64">
            <v>0</v>
          </cell>
          <cell r="FE64" t="e">
            <v>#VALUE!</v>
          </cell>
          <cell r="FF64">
            <v>0</v>
          </cell>
          <cell r="FG64">
            <v>19</v>
          </cell>
          <cell r="FH64">
            <v>81</v>
          </cell>
          <cell r="FI64" t="e">
            <v>#VALUE!</v>
          </cell>
          <cell r="FJ64">
            <v>0</v>
          </cell>
          <cell r="FK64">
            <v>0</v>
          </cell>
          <cell r="FL64">
            <v>95</v>
          </cell>
          <cell r="FM64" t="e">
            <v>#VALUE!</v>
          </cell>
          <cell r="FN64">
            <v>0</v>
          </cell>
          <cell r="FO64">
            <v>0</v>
          </cell>
          <cell r="FP64">
            <v>84</v>
          </cell>
          <cell r="FQ64" t="e">
            <v>#VALUE!</v>
          </cell>
          <cell r="FR64">
            <v>0</v>
          </cell>
          <cell r="FS64">
            <v>0</v>
          </cell>
          <cell r="FT64">
            <v>82</v>
          </cell>
          <cell r="FU64" t="e">
            <v>#VALUE!</v>
          </cell>
          <cell r="FV64">
            <v>0</v>
          </cell>
          <cell r="FW64">
            <v>0</v>
          </cell>
          <cell r="FX64">
            <v>85</v>
          </cell>
          <cell r="FY64" t="e">
            <v>#VALUE!</v>
          </cell>
          <cell r="FZ64">
            <v>0</v>
          </cell>
          <cell r="GA64">
            <v>0</v>
          </cell>
          <cell r="GB64">
            <v>95</v>
          </cell>
          <cell r="GC64" t="e">
            <v>#VALUE!</v>
          </cell>
          <cell r="GD64">
            <v>0</v>
          </cell>
          <cell r="GE64">
            <v>24</v>
          </cell>
          <cell r="GF64">
            <v>71</v>
          </cell>
          <cell r="GG64" t="e">
            <v>#VALUE!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F9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 t="str">
            <v>F9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 t="str">
            <v>F9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 t="str">
            <v>F9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 t="str">
            <v>F9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 t="str">
            <v>F9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 t="str">
            <v>F9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F9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 t="str">
            <v>F9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 t="str">
            <v>F9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 t="str">
            <v>F9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 t="str">
            <v>F9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 t="str">
            <v>F9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 t="str">
            <v>F9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 t="str">
            <v>F9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 t="str">
            <v>F9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 t="str">
            <v>F9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 t="str">
            <v>F9</v>
          </cell>
          <cell r="DJ65">
            <v>0</v>
          </cell>
          <cell r="DK65">
            <v>0</v>
          </cell>
          <cell r="DL65">
            <v>0</v>
          </cell>
          <cell r="DM65" t="e">
            <v>#VALUE!</v>
          </cell>
          <cell r="DN65">
            <v>0</v>
          </cell>
          <cell r="DO65">
            <v>26</v>
          </cell>
          <cell r="DP65">
            <v>96</v>
          </cell>
          <cell r="DQ65" t="e">
            <v>#VALUE!</v>
          </cell>
          <cell r="DR65">
            <v>0</v>
          </cell>
          <cell r="DS65">
            <v>0</v>
          </cell>
          <cell r="DT65">
            <v>90</v>
          </cell>
          <cell r="DU65" t="e">
            <v>#VALUE!</v>
          </cell>
          <cell r="DV65">
            <v>0</v>
          </cell>
          <cell r="DW65">
            <v>0</v>
          </cell>
          <cell r="DX65">
            <v>78</v>
          </cell>
          <cell r="DY65" t="e">
            <v>#VALUE!</v>
          </cell>
          <cell r="DZ65">
            <v>0</v>
          </cell>
          <cell r="EA65">
            <v>10</v>
          </cell>
          <cell r="EB65">
            <v>93</v>
          </cell>
          <cell r="EC65" t="e">
            <v>#VALUE!</v>
          </cell>
          <cell r="ED65">
            <v>0</v>
          </cell>
          <cell r="EE65">
            <v>0</v>
          </cell>
          <cell r="EF65">
            <v>78</v>
          </cell>
          <cell r="EG65" t="e">
            <v>#VALUE!</v>
          </cell>
          <cell r="EH65">
            <v>0</v>
          </cell>
          <cell r="EI65">
            <v>36</v>
          </cell>
          <cell r="EJ65">
            <v>85</v>
          </cell>
          <cell r="EK65" t="e">
            <v>#VALUE!</v>
          </cell>
          <cell r="EL65">
            <v>0</v>
          </cell>
          <cell r="EM65">
            <v>0</v>
          </cell>
          <cell r="EN65">
            <v>87</v>
          </cell>
          <cell r="EO65" t="e">
            <v>#VALUE!</v>
          </cell>
          <cell r="EP65">
            <v>0</v>
          </cell>
          <cell r="EQ65">
            <v>0</v>
          </cell>
          <cell r="ER65">
            <v>100</v>
          </cell>
          <cell r="ES65" t="e">
            <v>#VALUE!</v>
          </cell>
          <cell r="ET65">
            <v>0</v>
          </cell>
          <cell r="EU65">
            <v>5</v>
          </cell>
          <cell r="EV65">
            <v>70</v>
          </cell>
          <cell r="EW65" t="e">
            <v>#VALUE!</v>
          </cell>
          <cell r="EX65">
            <v>0</v>
          </cell>
          <cell r="EY65">
            <v>0</v>
          </cell>
          <cell r="EZ65">
            <v>86</v>
          </cell>
          <cell r="FA65" t="e">
            <v>#VALUE!</v>
          </cell>
          <cell r="FB65">
            <v>0</v>
          </cell>
          <cell r="FC65">
            <v>0</v>
          </cell>
          <cell r="FD65">
            <v>0</v>
          </cell>
          <cell r="FE65" t="e">
            <v>#VALUE!</v>
          </cell>
          <cell r="FF65">
            <v>0</v>
          </cell>
          <cell r="FG65">
            <v>19</v>
          </cell>
          <cell r="FH65">
            <v>81</v>
          </cell>
          <cell r="FI65" t="e">
            <v>#VALUE!</v>
          </cell>
          <cell r="FJ65">
            <v>0</v>
          </cell>
          <cell r="FK65">
            <v>0</v>
          </cell>
          <cell r="FL65">
            <v>95</v>
          </cell>
          <cell r="FM65" t="e">
            <v>#VALUE!</v>
          </cell>
          <cell r="FN65">
            <v>0</v>
          </cell>
          <cell r="FO65">
            <v>0</v>
          </cell>
          <cell r="FP65">
            <v>84</v>
          </cell>
          <cell r="FQ65" t="e">
            <v>#VALUE!</v>
          </cell>
          <cell r="FR65">
            <v>0</v>
          </cell>
          <cell r="FS65">
            <v>0</v>
          </cell>
          <cell r="FT65">
            <v>82</v>
          </cell>
          <cell r="FU65" t="e">
            <v>#VALUE!</v>
          </cell>
          <cell r="FV65">
            <v>0</v>
          </cell>
          <cell r="FW65">
            <v>0</v>
          </cell>
          <cell r="FX65">
            <v>85</v>
          </cell>
          <cell r="FY65" t="e">
            <v>#VALUE!</v>
          </cell>
          <cell r="FZ65">
            <v>0</v>
          </cell>
          <cell r="GA65">
            <v>0</v>
          </cell>
          <cell r="GB65">
            <v>95</v>
          </cell>
          <cell r="GC65" t="e">
            <v>#VALUE!</v>
          </cell>
          <cell r="GD65">
            <v>0</v>
          </cell>
          <cell r="GE65">
            <v>24</v>
          </cell>
          <cell r="GF65">
            <v>71</v>
          </cell>
          <cell r="GG65" t="e">
            <v>#VALUE!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F9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 t="str">
            <v>F9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F9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 t="str">
            <v>F9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 t="str">
            <v>F9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 t="str">
            <v>F9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 t="str">
            <v>F9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F9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 t="str">
            <v>F9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 t="str">
            <v>F9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 t="str">
            <v>F9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 t="str">
            <v>F9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 t="str">
            <v>F9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 t="str">
            <v>F9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 t="str">
            <v>F9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 t="str">
            <v>F9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 t="str">
            <v>F9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 t="str">
            <v>F9</v>
          </cell>
          <cell r="DJ66">
            <v>0</v>
          </cell>
          <cell r="DK66">
            <v>0</v>
          </cell>
          <cell r="DL66">
            <v>0</v>
          </cell>
          <cell r="DM66" t="e">
            <v>#VALUE!</v>
          </cell>
          <cell r="DN66">
            <v>0</v>
          </cell>
          <cell r="DO66">
            <v>26</v>
          </cell>
          <cell r="DP66">
            <v>96</v>
          </cell>
          <cell r="DQ66" t="e">
            <v>#VALUE!</v>
          </cell>
          <cell r="DR66">
            <v>0</v>
          </cell>
          <cell r="DS66">
            <v>0</v>
          </cell>
          <cell r="DT66">
            <v>90</v>
          </cell>
          <cell r="DU66" t="e">
            <v>#VALUE!</v>
          </cell>
          <cell r="DV66">
            <v>0</v>
          </cell>
          <cell r="DW66">
            <v>0</v>
          </cell>
          <cell r="DX66">
            <v>78</v>
          </cell>
          <cell r="DY66" t="e">
            <v>#VALUE!</v>
          </cell>
          <cell r="DZ66">
            <v>0</v>
          </cell>
          <cell r="EA66">
            <v>10</v>
          </cell>
          <cell r="EB66">
            <v>93</v>
          </cell>
          <cell r="EC66" t="e">
            <v>#VALUE!</v>
          </cell>
          <cell r="ED66">
            <v>0</v>
          </cell>
          <cell r="EE66">
            <v>0</v>
          </cell>
          <cell r="EF66">
            <v>78</v>
          </cell>
          <cell r="EG66" t="e">
            <v>#VALUE!</v>
          </cell>
          <cell r="EH66">
            <v>0</v>
          </cell>
          <cell r="EI66">
            <v>36</v>
          </cell>
          <cell r="EJ66">
            <v>85</v>
          </cell>
          <cell r="EK66" t="e">
            <v>#VALUE!</v>
          </cell>
          <cell r="EL66">
            <v>0</v>
          </cell>
          <cell r="EM66">
            <v>0</v>
          </cell>
          <cell r="EN66">
            <v>87</v>
          </cell>
          <cell r="EO66" t="e">
            <v>#VALUE!</v>
          </cell>
          <cell r="EP66">
            <v>0</v>
          </cell>
          <cell r="EQ66">
            <v>0</v>
          </cell>
          <cell r="ER66">
            <v>100</v>
          </cell>
          <cell r="ES66" t="e">
            <v>#VALUE!</v>
          </cell>
          <cell r="ET66">
            <v>0</v>
          </cell>
          <cell r="EU66">
            <v>5</v>
          </cell>
          <cell r="EV66">
            <v>70</v>
          </cell>
          <cell r="EW66" t="e">
            <v>#VALUE!</v>
          </cell>
          <cell r="EX66">
            <v>0</v>
          </cell>
          <cell r="EY66">
            <v>0</v>
          </cell>
          <cell r="EZ66">
            <v>86</v>
          </cell>
          <cell r="FA66" t="e">
            <v>#VALUE!</v>
          </cell>
          <cell r="FB66">
            <v>0</v>
          </cell>
          <cell r="FC66">
            <v>0</v>
          </cell>
          <cell r="FD66">
            <v>0</v>
          </cell>
          <cell r="FE66" t="e">
            <v>#VALUE!</v>
          </cell>
          <cell r="FF66">
            <v>0</v>
          </cell>
          <cell r="FG66">
            <v>19</v>
          </cell>
          <cell r="FH66">
            <v>81</v>
          </cell>
          <cell r="FI66" t="e">
            <v>#VALUE!</v>
          </cell>
          <cell r="FJ66">
            <v>0</v>
          </cell>
          <cell r="FK66">
            <v>0</v>
          </cell>
          <cell r="FL66">
            <v>95</v>
          </cell>
          <cell r="FM66" t="e">
            <v>#VALUE!</v>
          </cell>
          <cell r="FN66">
            <v>0</v>
          </cell>
          <cell r="FO66">
            <v>0</v>
          </cell>
          <cell r="FP66">
            <v>84</v>
          </cell>
          <cell r="FQ66" t="e">
            <v>#VALUE!</v>
          </cell>
          <cell r="FR66">
            <v>0</v>
          </cell>
          <cell r="FS66">
            <v>0</v>
          </cell>
          <cell r="FT66">
            <v>82</v>
          </cell>
          <cell r="FU66" t="e">
            <v>#VALUE!</v>
          </cell>
          <cell r="FV66">
            <v>0</v>
          </cell>
          <cell r="FW66">
            <v>0</v>
          </cell>
          <cell r="FX66">
            <v>85</v>
          </cell>
          <cell r="FY66" t="e">
            <v>#VALUE!</v>
          </cell>
          <cell r="FZ66">
            <v>0</v>
          </cell>
          <cell r="GA66">
            <v>0</v>
          </cell>
          <cell r="GB66">
            <v>95</v>
          </cell>
          <cell r="GC66" t="e">
            <v>#VALUE!</v>
          </cell>
          <cell r="GD66">
            <v>0</v>
          </cell>
          <cell r="GE66">
            <v>24</v>
          </cell>
          <cell r="GF66">
            <v>71</v>
          </cell>
          <cell r="GG66" t="e">
            <v>#VALUE!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F9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 t="str">
            <v>F9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 t="str">
            <v>F9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 t="str">
            <v>F9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str">
            <v>F9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 t="str">
            <v>F9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 t="str">
            <v>F9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F9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 t="str">
            <v>F9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 t="str">
            <v>F9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 t="str">
            <v>F9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 t="str">
            <v>F9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 t="str">
            <v>F9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 t="str">
            <v>F9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 t="str">
            <v>F9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 t="str">
            <v>F9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 t="str">
            <v>F9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 t="str">
            <v>F9</v>
          </cell>
          <cell r="DJ67">
            <v>0</v>
          </cell>
          <cell r="DK67">
            <v>0</v>
          </cell>
          <cell r="DL67">
            <v>0</v>
          </cell>
          <cell r="DM67" t="e">
            <v>#VALUE!</v>
          </cell>
          <cell r="DN67">
            <v>0</v>
          </cell>
          <cell r="DO67">
            <v>26</v>
          </cell>
          <cell r="DP67">
            <v>96</v>
          </cell>
          <cell r="DQ67" t="e">
            <v>#VALUE!</v>
          </cell>
          <cell r="DR67">
            <v>0</v>
          </cell>
          <cell r="DS67">
            <v>0</v>
          </cell>
          <cell r="DT67">
            <v>90</v>
          </cell>
          <cell r="DU67" t="e">
            <v>#VALUE!</v>
          </cell>
          <cell r="DV67">
            <v>0</v>
          </cell>
          <cell r="DW67">
            <v>0</v>
          </cell>
          <cell r="DX67">
            <v>78</v>
          </cell>
          <cell r="DY67" t="e">
            <v>#VALUE!</v>
          </cell>
          <cell r="DZ67">
            <v>0</v>
          </cell>
          <cell r="EA67">
            <v>10</v>
          </cell>
          <cell r="EB67">
            <v>93</v>
          </cell>
          <cell r="EC67" t="e">
            <v>#VALUE!</v>
          </cell>
          <cell r="ED67">
            <v>0</v>
          </cell>
          <cell r="EE67">
            <v>0</v>
          </cell>
          <cell r="EF67">
            <v>78</v>
          </cell>
          <cell r="EG67" t="e">
            <v>#VALUE!</v>
          </cell>
          <cell r="EH67">
            <v>0</v>
          </cell>
          <cell r="EI67">
            <v>36</v>
          </cell>
          <cell r="EJ67">
            <v>85</v>
          </cell>
          <cell r="EK67" t="e">
            <v>#VALUE!</v>
          </cell>
          <cell r="EL67">
            <v>0</v>
          </cell>
          <cell r="EM67">
            <v>0</v>
          </cell>
          <cell r="EN67">
            <v>87</v>
          </cell>
          <cell r="EO67" t="e">
            <v>#VALUE!</v>
          </cell>
          <cell r="EP67">
            <v>0</v>
          </cell>
          <cell r="EQ67">
            <v>0</v>
          </cell>
          <cell r="ER67">
            <v>100</v>
          </cell>
          <cell r="ES67" t="e">
            <v>#VALUE!</v>
          </cell>
          <cell r="ET67">
            <v>0</v>
          </cell>
          <cell r="EU67">
            <v>5</v>
          </cell>
          <cell r="EV67">
            <v>70</v>
          </cell>
          <cell r="EW67" t="e">
            <v>#VALUE!</v>
          </cell>
          <cell r="EX67">
            <v>0</v>
          </cell>
          <cell r="EY67">
            <v>0</v>
          </cell>
          <cell r="EZ67">
            <v>86</v>
          </cell>
          <cell r="FA67" t="e">
            <v>#VALUE!</v>
          </cell>
          <cell r="FB67">
            <v>0</v>
          </cell>
          <cell r="FC67">
            <v>0</v>
          </cell>
          <cell r="FD67">
            <v>0</v>
          </cell>
          <cell r="FE67" t="e">
            <v>#VALUE!</v>
          </cell>
          <cell r="FF67">
            <v>0</v>
          </cell>
          <cell r="FG67">
            <v>19</v>
          </cell>
          <cell r="FH67">
            <v>81</v>
          </cell>
          <cell r="FI67" t="e">
            <v>#VALUE!</v>
          </cell>
          <cell r="FJ67">
            <v>0</v>
          </cell>
          <cell r="FK67">
            <v>0</v>
          </cell>
          <cell r="FL67">
            <v>95</v>
          </cell>
          <cell r="FM67" t="e">
            <v>#VALUE!</v>
          </cell>
          <cell r="FN67">
            <v>0</v>
          </cell>
          <cell r="FO67">
            <v>0</v>
          </cell>
          <cell r="FP67">
            <v>84</v>
          </cell>
          <cell r="FQ67" t="e">
            <v>#VALUE!</v>
          </cell>
          <cell r="FR67">
            <v>0</v>
          </cell>
          <cell r="FS67">
            <v>0</v>
          </cell>
          <cell r="FT67">
            <v>82</v>
          </cell>
          <cell r="FU67" t="e">
            <v>#VALUE!</v>
          </cell>
          <cell r="FV67">
            <v>0</v>
          </cell>
          <cell r="FW67">
            <v>0</v>
          </cell>
          <cell r="FX67">
            <v>85</v>
          </cell>
          <cell r="FY67" t="e">
            <v>#VALUE!</v>
          </cell>
          <cell r="FZ67">
            <v>0</v>
          </cell>
          <cell r="GA67">
            <v>0</v>
          </cell>
          <cell r="GB67">
            <v>95</v>
          </cell>
          <cell r="GC67" t="e">
            <v>#VALUE!</v>
          </cell>
          <cell r="GD67">
            <v>0</v>
          </cell>
          <cell r="GE67">
            <v>24</v>
          </cell>
          <cell r="GF67">
            <v>71</v>
          </cell>
          <cell r="GG67" t="e">
            <v>#VALUE!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F9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 t="str">
            <v>F9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 t="str">
            <v>F9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 t="str">
            <v>F9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str">
            <v>F9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 t="str">
            <v>F9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 t="str">
            <v>F9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F9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 t="str">
            <v>F9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 t="str">
            <v>F9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 t="str">
            <v>F9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 t="str">
            <v>F9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 t="str">
            <v>F9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 t="str">
            <v>F9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 t="str">
            <v>F9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 t="str">
            <v>F9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 t="str">
            <v>F9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 t="str">
            <v>F9</v>
          </cell>
          <cell r="DJ68">
            <v>0</v>
          </cell>
          <cell r="DK68">
            <v>0</v>
          </cell>
          <cell r="DL68">
            <v>0</v>
          </cell>
          <cell r="DM68" t="e">
            <v>#VALUE!</v>
          </cell>
          <cell r="DN68">
            <v>0</v>
          </cell>
          <cell r="DO68">
            <v>26</v>
          </cell>
          <cell r="DP68">
            <v>96</v>
          </cell>
          <cell r="DQ68" t="e">
            <v>#VALUE!</v>
          </cell>
          <cell r="DR68">
            <v>0</v>
          </cell>
          <cell r="DS68">
            <v>0</v>
          </cell>
          <cell r="DT68">
            <v>90</v>
          </cell>
          <cell r="DU68" t="e">
            <v>#VALUE!</v>
          </cell>
          <cell r="DV68">
            <v>0</v>
          </cell>
          <cell r="DW68">
            <v>0</v>
          </cell>
          <cell r="DX68">
            <v>78</v>
          </cell>
          <cell r="DY68" t="e">
            <v>#VALUE!</v>
          </cell>
          <cell r="DZ68">
            <v>0</v>
          </cell>
          <cell r="EA68">
            <v>10</v>
          </cell>
          <cell r="EB68">
            <v>93</v>
          </cell>
          <cell r="EC68" t="e">
            <v>#VALUE!</v>
          </cell>
          <cell r="ED68">
            <v>0</v>
          </cell>
          <cell r="EE68">
            <v>0</v>
          </cell>
          <cell r="EF68">
            <v>78</v>
          </cell>
          <cell r="EG68" t="e">
            <v>#VALUE!</v>
          </cell>
          <cell r="EH68">
            <v>0</v>
          </cell>
          <cell r="EI68">
            <v>36</v>
          </cell>
          <cell r="EJ68">
            <v>85</v>
          </cell>
          <cell r="EK68" t="e">
            <v>#VALUE!</v>
          </cell>
          <cell r="EL68">
            <v>0</v>
          </cell>
          <cell r="EM68">
            <v>0</v>
          </cell>
          <cell r="EN68">
            <v>87</v>
          </cell>
          <cell r="EO68" t="e">
            <v>#VALUE!</v>
          </cell>
          <cell r="EP68">
            <v>0</v>
          </cell>
          <cell r="EQ68">
            <v>0</v>
          </cell>
          <cell r="ER68">
            <v>100</v>
          </cell>
          <cell r="ES68" t="e">
            <v>#VALUE!</v>
          </cell>
          <cell r="ET68">
            <v>0</v>
          </cell>
          <cell r="EU68">
            <v>5</v>
          </cell>
          <cell r="EV68">
            <v>70</v>
          </cell>
          <cell r="EW68" t="e">
            <v>#VALUE!</v>
          </cell>
          <cell r="EX68">
            <v>0</v>
          </cell>
          <cell r="EY68">
            <v>0</v>
          </cell>
          <cell r="EZ68">
            <v>86</v>
          </cell>
          <cell r="FA68" t="e">
            <v>#VALUE!</v>
          </cell>
          <cell r="FB68">
            <v>0</v>
          </cell>
          <cell r="FC68">
            <v>0</v>
          </cell>
          <cell r="FD68">
            <v>0</v>
          </cell>
          <cell r="FE68" t="e">
            <v>#VALUE!</v>
          </cell>
          <cell r="FF68">
            <v>0</v>
          </cell>
          <cell r="FG68">
            <v>19</v>
          </cell>
          <cell r="FH68">
            <v>81</v>
          </cell>
          <cell r="FI68" t="e">
            <v>#VALUE!</v>
          </cell>
          <cell r="FJ68">
            <v>0</v>
          </cell>
          <cell r="FK68">
            <v>0</v>
          </cell>
          <cell r="FL68">
            <v>95</v>
          </cell>
          <cell r="FM68" t="e">
            <v>#VALUE!</v>
          </cell>
          <cell r="FN68">
            <v>0</v>
          </cell>
          <cell r="FO68">
            <v>0</v>
          </cell>
          <cell r="FP68">
            <v>84</v>
          </cell>
          <cell r="FQ68" t="e">
            <v>#VALUE!</v>
          </cell>
          <cell r="FR68">
            <v>0</v>
          </cell>
          <cell r="FS68">
            <v>0</v>
          </cell>
          <cell r="FT68">
            <v>82</v>
          </cell>
          <cell r="FU68" t="e">
            <v>#VALUE!</v>
          </cell>
          <cell r="FV68">
            <v>0</v>
          </cell>
          <cell r="FW68">
            <v>0</v>
          </cell>
          <cell r="FX68">
            <v>85</v>
          </cell>
          <cell r="FY68" t="e">
            <v>#VALUE!</v>
          </cell>
          <cell r="FZ68">
            <v>0</v>
          </cell>
          <cell r="GA68">
            <v>0</v>
          </cell>
          <cell r="GB68">
            <v>95</v>
          </cell>
          <cell r="GC68" t="e">
            <v>#VALUE!</v>
          </cell>
          <cell r="GD68">
            <v>0</v>
          </cell>
          <cell r="GE68">
            <v>24</v>
          </cell>
          <cell r="GF68">
            <v>71</v>
          </cell>
          <cell r="GG68" t="e">
            <v>#VALUE!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F9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str">
            <v>F9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 t="str">
            <v>F9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 t="str">
            <v>F9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F9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 t="str">
            <v>F9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 t="str">
            <v>F9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F9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 t="str">
            <v>F9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 t="str">
            <v>F9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 t="str">
            <v>F9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 t="str">
            <v>F9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 t="str">
            <v>F9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 t="str">
            <v>F9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 t="str">
            <v>F9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 t="str">
            <v>F9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 t="str">
            <v>F9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 t="str">
            <v>F9</v>
          </cell>
          <cell r="DJ69">
            <v>0</v>
          </cell>
          <cell r="DK69">
            <v>0</v>
          </cell>
          <cell r="DL69">
            <v>0</v>
          </cell>
          <cell r="DM69" t="e">
            <v>#VALUE!</v>
          </cell>
          <cell r="DN69">
            <v>0</v>
          </cell>
          <cell r="DO69">
            <v>26</v>
          </cell>
          <cell r="DP69">
            <v>96</v>
          </cell>
          <cell r="DQ69" t="e">
            <v>#VALUE!</v>
          </cell>
          <cell r="DR69">
            <v>0</v>
          </cell>
          <cell r="DS69">
            <v>0</v>
          </cell>
          <cell r="DT69">
            <v>90</v>
          </cell>
          <cell r="DU69" t="e">
            <v>#VALUE!</v>
          </cell>
          <cell r="DV69">
            <v>0</v>
          </cell>
          <cell r="DW69">
            <v>0</v>
          </cell>
          <cell r="DX69">
            <v>78</v>
          </cell>
          <cell r="DY69" t="e">
            <v>#VALUE!</v>
          </cell>
          <cell r="DZ69">
            <v>0</v>
          </cell>
          <cell r="EA69">
            <v>10</v>
          </cell>
          <cell r="EB69">
            <v>93</v>
          </cell>
          <cell r="EC69" t="e">
            <v>#VALUE!</v>
          </cell>
          <cell r="ED69">
            <v>0</v>
          </cell>
          <cell r="EE69">
            <v>0</v>
          </cell>
          <cell r="EF69">
            <v>78</v>
          </cell>
          <cell r="EG69" t="e">
            <v>#VALUE!</v>
          </cell>
          <cell r="EH69">
            <v>0</v>
          </cell>
          <cell r="EI69">
            <v>36</v>
          </cell>
          <cell r="EJ69">
            <v>85</v>
          </cell>
          <cell r="EK69" t="e">
            <v>#VALUE!</v>
          </cell>
          <cell r="EL69">
            <v>0</v>
          </cell>
          <cell r="EM69">
            <v>0</v>
          </cell>
          <cell r="EN69">
            <v>87</v>
          </cell>
          <cell r="EO69" t="e">
            <v>#VALUE!</v>
          </cell>
          <cell r="EP69">
            <v>0</v>
          </cell>
          <cell r="EQ69">
            <v>0</v>
          </cell>
          <cell r="ER69">
            <v>100</v>
          </cell>
          <cell r="ES69" t="e">
            <v>#VALUE!</v>
          </cell>
          <cell r="ET69">
            <v>0</v>
          </cell>
          <cell r="EU69">
            <v>5</v>
          </cell>
          <cell r="EV69">
            <v>70</v>
          </cell>
          <cell r="EW69" t="e">
            <v>#VALUE!</v>
          </cell>
          <cell r="EX69">
            <v>0</v>
          </cell>
          <cell r="EY69">
            <v>0</v>
          </cell>
          <cell r="EZ69">
            <v>86</v>
          </cell>
          <cell r="FA69" t="e">
            <v>#VALUE!</v>
          </cell>
          <cell r="FB69">
            <v>0</v>
          </cell>
          <cell r="FC69">
            <v>0</v>
          </cell>
          <cell r="FD69">
            <v>0</v>
          </cell>
          <cell r="FE69" t="e">
            <v>#VALUE!</v>
          </cell>
          <cell r="FF69">
            <v>0</v>
          </cell>
          <cell r="FG69">
            <v>19</v>
          </cell>
          <cell r="FH69">
            <v>81</v>
          </cell>
          <cell r="FI69" t="e">
            <v>#VALUE!</v>
          </cell>
          <cell r="FJ69">
            <v>0</v>
          </cell>
          <cell r="FK69">
            <v>0</v>
          </cell>
          <cell r="FL69">
            <v>95</v>
          </cell>
          <cell r="FM69" t="e">
            <v>#VALUE!</v>
          </cell>
          <cell r="FN69">
            <v>0</v>
          </cell>
          <cell r="FO69">
            <v>0</v>
          </cell>
          <cell r="FP69">
            <v>84</v>
          </cell>
          <cell r="FQ69" t="e">
            <v>#VALUE!</v>
          </cell>
          <cell r="FR69">
            <v>0</v>
          </cell>
          <cell r="FS69">
            <v>0</v>
          </cell>
          <cell r="FT69">
            <v>82</v>
          </cell>
          <cell r="FU69" t="e">
            <v>#VALUE!</v>
          </cell>
          <cell r="FV69">
            <v>0</v>
          </cell>
          <cell r="FW69">
            <v>0</v>
          </cell>
          <cell r="FX69">
            <v>85</v>
          </cell>
          <cell r="FY69" t="e">
            <v>#VALUE!</v>
          </cell>
          <cell r="FZ69">
            <v>0</v>
          </cell>
          <cell r="GA69">
            <v>0</v>
          </cell>
          <cell r="GB69">
            <v>95</v>
          </cell>
          <cell r="GC69" t="e">
            <v>#VALUE!</v>
          </cell>
          <cell r="GD69">
            <v>0</v>
          </cell>
          <cell r="GE69">
            <v>24</v>
          </cell>
          <cell r="GF69">
            <v>71</v>
          </cell>
          <cell r="GG69" t="e">
            <v>#VALUE!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F9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 t="str">
            <v>F9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 t="str">
            <v>F9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 t="str">
            <v>F9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F9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 t="str">
            <v>F9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 t="str">
            <v>F9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 t="str">
            <v>F9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 t="str">
            <v>F9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 t="str">
            <v>F9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 t="str">
            <v>F9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 t="str">
            <v>F9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 t="str">
            <v>F9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 t="str">
            <v>F9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 t="str">
            <v>F9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 t="str">
            <v>F9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 t="str">
            <v>F9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 t="str">
            <v>F9</v>
          </cell>
          <cell r="DJ70">
            <v>0</v>
          </cell>
          <cell r="DK70">
            <v>0</v>
          </cell>
          <cell r="DL70">
            <v>0</v>
          </cell>
          <cell r="DM70" t="e">
            <v>#VALUE!</v>
          </cell>
          <cell r="DN70">
            <v>0</v>
          </cell>
          <cell r="DO70">
            <v>26</v>
          </cell>
          <cell r="DP70">
            <v>96</v>
          </cell>
          <cell r="DQ70" t="e">
            <v>#VALUE!</v>
          </cell>
          <cell r="DR70">
            <v>0</v>
          </cell>
          <cell r="DS70">
            <v>0</v>
          </cell>
          <cell r="DT70">
            <v>90</v>
          </cell>
          <cell r="DU70" t="e">
            <v>#VALUE!</v>
          </cell>
          <cell r="DV70">
            <v>0</v>
          </cell>
          <cell r="DW70">
            <v>0</v>
          </cell>
          <cell r="DX70">
            <v>78</v>
          </cell>
          <cell r="DY70" t="e">
            <v>#VALUE!</v>
          </cell>
          <cell r="DZ70">
            <v>0</v>
          </cell>
          <cell r="EA70">
            <v>10</v>
          </cell>
          <cell r="EB70">
            <v>93</v>
          </cell>
          <cell r="EC70" t="e">
            <v>#VALUE!</v>
          </cell>
          <cell r="ED70">
            <v>0</v>
          </cell>
          <cell r="EE70">
            <v>0</v>
          </cell>
          <cell r="EF70">
            <v>78</v>
          </cell>
          <cell r="EG70" t="e">
            <v>#VALUE!</v>
          </cell>
          <cell r="EH70">
            <v>0</v>
          </cell>
          <cell r="EI70">
            <v>36</v>
          </cell>
          <cell r="EJ70">
            <v>85</v>
          </cell>
          <cell r="EK70" t="e">
            <v>#VALUE!</v>
          </cell>
          <cell r="EL70">
            <v>0</v>
          </cell>
          <cell r="EM70">
            <v>0</v>
          </cell>
          <cell r="EN70">
            <v>87</v>
          </cell>
          <cell r="EO70" t="e">
            <v>#VALUE!</v>
          </cell>
          <cell r="EP70">
            <v>0</v>
          </cell>
          <cell r="EQ70">
            <v>0</v>
          </cell>
          <cell r="ER70">
            <v>100</v>
          </cell>
          <cell r="ES70" t="e">
            <v>#VALUE!</v>
          </cell>
          <cell r="ET70">
            <v>0</v>
          </cell>
          <cell r="EU70">
            <v>5</v>
          </cell>
          <cell r="EV70">
            <v>70</v>
          </cell>
          <cell r="EW70" t="e">
            <v>#VALUE!</v>
          </cell>
          <cell r="EX70">
            <v>0</v>
          </cell>
          <cell r="EY70">
            <v>0</v>
          </cell>
          <cell r="EZ70">
            <v>86</v>
          </cell>
          <cell r="FA70" t="e">
            <v>#VALUE!</v>
          </cell>
          <cell r="FB70">
            <v>0</v>
          </cell>
          <cell r="FC70">
            <v>0</v>
          </cell>
          <cell r="FD70">
            <v>0</v>
          </cell>
          <cell r="FE70" t="e">
            <v>#VALUE!</v>
          </cell>
          <cell r="FF70">
            <v>0</v>
          </cell>
          <cell r="FG70">
            <v>19</v>
          </cell>
          <cell r="FH70">
            <v>81</v>
          </cell>
          <cell r="FI70" t="e">
            <v>#VALUE!</v>
          </cell>
          <cell r="FJ70">
            <v>0</v>
          </cell>
          <cell r="FK70">
            <v>0</v>
          </cell>
          <cell r="FL70">
            <v>95</v>
          </cell>
          <cell r="FM70" t="e">
            <v>#VALUE!</v>
          </cell>
          <cell r="FN70">
            <v>0</v>
          </cell>
          <cell r="FO70">
            <v>0</v>
          </cell>
          <cell r="FP70">
            <v>84</v>
          </cell>
          <cell r="FQ70" t="e">
            <v>#VALUE!</v>
          </cell>
          <cell r="FR70">
            <v>0</v>
          </cell>
          <cell r="FS70">
            <v>0</v>
          </cell>
          <cell r="FT70">
            <v>82</v>
          </cell>
          <cell r="FU70" t="e">
            <v>#VALUE!</v>
          </cell>
          <cell r="FV70">
            <v>0</v>
          </cell>
          <cell r="FW70">
            <v>0</v>
          </cell>
          <cell r="FX70">
            <v>85</v>
          </cell>
          <cell r="FY70" t="e">
            <v>#VALUE!</v>
          </cell>
          <cell r="FZ70">
            <v>0</v>
          </cell>
          <cell r="GA70">
            <v>0</v>
          </cell>
          <cell r="GB70">
            <v>95</v>
          </cell>
          <cell r="GC70" t="e">
            <v>#VALUE!</v>
          </cell>
          <cell r="GD70">
            <v>0</v>
          </cell>
          <cell r="GE70">
            <v>24</v>
          </cell>
          <cell r="GF70">
            <v>71</v>
          </cell>
          <cell r="GG70" t="e">
            <v>#VALUE!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F9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str">
            <v>F9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 t="str">
            <v>F9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 t="str">
            <v>F9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 t="str">
            <v>F9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 t="str">
            <v>F9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 t="str">
            <v>F9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F9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 t="str">
            <v>F9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 t="str">
            <v>F9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 t="str">
            <v>F9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 t="str">
            <v>F9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 t="str">
            <v>F9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 t="str">
            <v>F9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 t="str">
            <v>F9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 t="str">
            <v>F9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 t="str">
            <v>F9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 t="str">
            <v>F9</v>
          </cell>
          <cell r="DJ71">
            <v>0</v>
          </cell>
          <cell r="DK71">
            <v>0</v>
          </cell>
          <cell r="DL71">
            <v>0</v>
          </cell>
          <cell r="DM71" t="e">
            <v>#VALUE!</v>
          </cell>
          <cell r="DN71">
            <v>0</v>
          </cell>
          <cell r="DO71">
            <v>26</v>
          </cell>
          <cell r="DP71">
            <v>96</v>
          </cell>
          <cell r="DQ71" t="e">
            <v>#VALUE!</v>
          </cell>
          <cell r="DR71">
            <v>0</v>
          </cell>
          <cell r="DS71">
            <v>0</v>
          </cell>
          <cell r="DT71">
            <v>90</v>
          </cell>
          <cell r="DU71" t="e">
            <v>#VALUE!</v>
          </cell>
          <cell r="DV71">
            <v>0</v>
          </cell>
          <cell r="DW71">
            <v>0</v>
          </cell>
          <cell r="DX71">
            <v>78</v>
          </cell>
          <cell r="DY71" t="e">
            <v>#VALUE!</v>
          </cell>
          <cell r="DZ71">
            <v>0</v>
          </cell>
          <cell r="EA71">
            <v>10</v>
          </cell>
          <cell r="EB71">
            <v>93</v>
          </cell>
          <cell r="EC71" t="e">
            <v>#VALUE!</v>
          </cell>
          <cell r="ED71">
            <v>0</v>
          </cell>
          <cell r="EE71">
            <v>0</v>
          </cell>
          <cell r="EF71">
            <v>78</v>
          </cell>
          <cell r="EG71" t="e">
            <v>#VALUE!</v>
          </cell>
          <cell r="EH71">
            <v>0</v>
          </cell>
          <cell r="EI71">
            <v>36</v>
          </cell>
          <cell r="EJ71">
            <v>85</v>
          </cell>
          <cell r="EK71" t="e">
            <v>#VALUE!</v>
          </cell>
          <cell r="EL71">
            <v>0</v>
          </cell>
          <cell r="EM71">
            <v>0</v>
          </cell>
          <cell r="EN71">
            <v>87</v>
          </cell>
          <cell r="EO71" t="e">
            <v>#VALUE!</v>
          </cell>
          <cell r="EP71">
            <v>0</v>
          </cell>
          <cell r="EQ71">
            <v>0</v>
          </cell>
          <cell r="ER71">
            <v>100</v>
          </cell>
          <cell r="ES71" t="e">
            <v>#VALUE!</v>
          </cell>
          <cell r="ET71">
            <v>0</v>
          </cell>
          <cell r="EU71">
            <v>5</v>
          </cell>
          <cell r="EV71">
            <v>70</v>
          </cell>
          <cell r="EW71" t="e">
            <v>#VALUE!</v>
          </cell>
          <cell r="EX71">
            <v>0</v>
          </cell>
          <cell r="EY71">
            <v>0</v>
          </cell>
          <cell r="EZ71">
            <v>86</v>
          </cell>
          <cell r="FA71" t="e">
            <v>#VALUE!</v>
          </cell>
          <cell r="FB71">
            <v>0</v>
          </cell>
          <cell r="FC71">
            <v>0</v>
          </cell>
          <cell r="FD71">
            <v>0</v>
          </cell>
          <cell r="FE71" t="e">
            <v>#VALUE!</v>
          </cell>
          <cell r="FF71">
            <v>0</v>
          </cell>
          <cell r="FG71">
            <v>19</v>
          </cell>
          <cell r="FH71">
            <v>81</v>
          </cell>
          <cell r="FI71" t="e">
            <v>#VALUE!</v>
          </cell>
          <cell r="FJ71">
            <v>0</v>
          </cell>
          <cell r="FK71">
            <v>0</v>
          </cell>
          <cell r="FL71">
            <v>95</v>
          </cell>
          <cell r="FM71" t="e">
            <v>#VALUE!</v>
          </cell>
          <cell r="FN71">
            <v>0</v>
          </cell>
          <cell r="FO71">
            <v>0</v>
          </cell>
          <cell r="FP71">
            <v>84</v>
          </cell>
          <cell r="FQ71" t="e">
            <v>#VALUE!</v>
          </cell>
          <cell r="FR71">
            <v>0</v>
          </cell>
          <cell r="FS71">
            <v>0</v>
          </cell>
          <cell r="FT71">
            <v>82</v>
          </cell>
          <cell r="FU71" t="e">
            <v>#VALUE!</v>
          </cell>
          <cell r="FV71">
            <v>0</v>
          </cell>
          <cell r="FW71">
            <v>0</v>
          </cell>
          <cell r="FX71">
            <v>85</v>
          </cell>
          <cell r="FY71" t="e">
            <v>#VALUE!</v>
          </cell>
          <cell r="FZ71">
            <v>0</v>
          </cell>
          <cell r="GA71">
            <v>0</v>
          </cell>
          <cell r="GB71">
            <v>95</v>
          </cell>
          <cell r="GC71" t="e">
            <v>#VALUE!</v>
          </cell>
          <cell r="GD71">
            <v>0</v>
          </cell>
          <cell r="GE71">
            <v>24</v>
          </cell>
          <cell r="GF71">
            <v>71</v>
          </cell>
          <cell r="GG71" t="e">
            <v>#VALUE!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F9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 t="str">
            <v>F9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 t="str">
            <v>F9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 t="str">
            <v>F9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str">
            <v>F9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 t="str">
            <v>F9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 t="str">
            <v>F9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F9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 t="str">
            <v>F9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 t="str">
            <v>F9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 t="str">
            <v>F9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 t="str">
            <v>F9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 t="str">
            <v>F9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 t="str">
            <v>F9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 t="str">
            <v>F9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 t="str">
            <v>F9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 t="str">
            <v>F9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 t="str">
            <v>F9</v>
          </cell>
          <cell r="DJ72">
            <v>0</v>
          </cell>
          <cell r="DK72">
            <v>0</v>
          </cell>
          <cell r="DL72">
            <v>0</v>
          </cell>
          <cell r="DM72" t="e">
            <v>#VALUE!</v>
          </cell>
          <cell r="DN72">
            <v>0</v>
          </cell>
          <cell r="DO72">
            <v>26</v>
          </cell>
          <cell r="DP72">
            <v>96</v>
          </cell>
          <cell r="DQ72" t="e">
            <v>#VALUE!</v>
          </cell>
          <cell r="DR72">
            <v>0</v>
          </cell>
          <cell r="DS72">
            <v>0</v>
          </cell>
          <cell r="DT72">
            <v>90</v>
          </cell>
          <cell r="DU72" t="e">
            <v>#VALUE!</v>
          </cell>
          <cell r="DV72">
            <v>0</v>
          </cell>
          <cell r="DW72">
            <v>0</v>
          </cell>
          <cell r="DX72">
            <v>78</v>
          </cell>
          <cell r="DY72" t="e">
            <v>#VALUE!</v>
          </cell>
          <cell r="DZ72">
            <v>0</v>
          </cell>
          <cell r="EA72">
            <v>10</v>
          </cell>
          <cell r="EB72">
            <v>93</v>
          </cell>
          <cell r="EC72" t="e">
            <v>#VALUE!</v>
          </cell>
          <cell r="ED72">
            <v>0</v>
          </cell>
          <cell r="EE72">
            <v>0</v>
          </cell>
          <cell r="EF72">
            <v>78</v>
          </cell>
          <cell r="EG72" t="e">
            <v>#VALUE!</v>
          </cell>
          <cell r="EH72">
            <v>0</v>
          </cell>
          <cell r="EI72">
            <v>36</v>
          </cell>
          <cell r="EJ72">
            <v>85</v>
          </cell>
          <cell r="EK72" t="e">
            <v>#VALUE!</v>
          </cell>
          <cell r="EL72">
            <v>0</v>
          </cell>
          <cell r="EM72">
            <v>0</v>
          </cell>
          <cell r="EN72">
            <v>87</v>
          </cell>
          <cell r="EO72" t="e">
            <v>#VALUE!</v>
          </cell>
          <cell r="EP72">
            <v>0</v>
          </cell>
          <cell r="EQ72">
            <v>0</v>
          </cell>
          <cell r="ER72">
            <v>100</v>
          </cell>
          <cell r="ES72" t="e">
            <v>#VALUE!</v>
          </cell>
          <cell r="ET72">
            <v>0</v>
          </cell>
          <cell r="EU72">
            <v>5</v>
          </cell>
          <cell r="EV72">
            <v>70</v>
          </cell>
          <cell r="EW72" t="e">
            <v>#VALUE!</v>
          </cell>
          <cell r="EX72">
            <v>0</v>
          </cell>
          <cell r="EY72">
            <v>0</v>
          </cell>
          <cell r="EZ72">
            <v>86</v>
          </cell>
          <cell r="FA72" t="e">
            <v>#VALUE!</v>
          </cell>
          <cell r="FB72">
            <v>0</v>
          </cell>
          <cell r="FC72">
            <v>0</v>
          </cell>
          <cell r="FD72">
            <v>0</v>
          </cell>
          <cell r="FE72" t="e">
            <v>#VALUE!</v>
          </cell>
          <cell r="FF72">
            <v>0</v>
          </cell>
          <cell r="FG72">
            <v>19</v>
          </cell>
          <cell r="FH72">
            <v>81</v>
          </cell>
          <cell r="FI72" t="e">
            <v>#VALUE!</v>
          </cell>
          <cell r="FJ72">
            <v>0</v>
          </cell>
          <cell r="FK72">
            <v>0</v>
          </cell>
          <cell r="FL72">
            <v>95</v>
          </cell>
          <cell r="FM72" t="e">
            <v>#VALUE!</v>
          </cell>
          <cell r="FN72">
            <v>0</v>
          </cell>
          <cell r="FO72">
            <v>0</v>
          </cell>
          <cell r="FP72">
            <v>84</v>
          </cell>
          <cell r="FQ72" t="e">
            <v>#VALUE!</v>
          </cell>
          <cell r="FR72">
            <v>0</v>
          </cell>
          <cell r="FS72">
            <v>0</v>
          </cell>
          <cell r="FT72">
            <v>82</v>
          </cell>
          <cell r="FU72" t="e">
            <v>#VALUE!</v>
          </cell>
          <cell r="FV72">
            <v>0</v>
          </cell>
          <cell r="FW72">
            <v>0</v>
          </cell>
          <cell r="FX72">
            <v>85</v>
          </cell>
          <cell r="FY72" t="e">
            <v>#VALUE!</v>
          </cell>
          <cell r="FZ72">
            <v>0</v>
          </cell>
          <cell r="GA72">
            <v>0</v>
          </cell>
          <cell r="GB72">
            <v>95</v>
          </cell>
          <cell r="GC72" t="e">
            <v>#VALUE!</v>
          </cell>
          <cell r="GD72">
            <v>0</v>
          </cell>
          <cell r="GE72">
            <v>24</v>
          </cell>
          <cell r="GF72">
            <v>71</v>
          </cell>
          <cell r="GG72" t="e">
            <v>#VALUE!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F9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 t="str">
            <v>F9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 t="str">
            <v>F9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 t="str">
            <v>F9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str">
            <v>F9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 t="str">
            <v>F9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 t="str">
            <v>F9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 t="str">
            <v>F9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 t="str">
            <v>F9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 t="str">
            <v>F9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 t="str">
            <v>F9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 t="str">
            <v>F9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 t="str">
            <v>F9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 t="str">
            <v>F9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 t="str">
            <v>F9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 t="str">
            <v>F9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 t="str">
            <v>F9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 t="str">
            <v>F9</v>
          </cell>
          <cell r="DJ73">
            <v>0</v>
          </cell>
          <cell r="DK73">
            <v>0</v>
          </cell>
          <cell r="DL73">
            <v>0</v>
          </cell>
          <cell r="DM73" t="e">
            <v>#VALUE!</v>
          </cell>
          <cell r="DN73">
            <v>0</v>
          </cell>
          <cell r="DO73">
            <v>26</v>
          </cell>
          <cell r="DP73">
            <v>96</v>
          </cell>
          <cell r="DQ73" t="e">
            <v>#VALUE!</v>
          </cell>
          <cell r="DR73">
            <v>0</v>
          </cell>
          <cell r="DS73">
            <v>0</v>
          </cell>
          <cell r="DT73">
            <v>90</v>
          </cell>
          <cell r="DU73" t="e">
            <v>#VALUE!</v>
          </cell>
          <cell r="DV73">
            <v>0</v>
          </cell>
          <cell r="DW73">
            <v>0</v>
          </cell>
          <cell r="DX73">
            <v>78</v>
          </cell>
          <cell r="DY73" t="e">
            <v>#VALUE!</v>
          </cell>
          <cell r="DZ73">
            <v>0</v>
          </cell>
          <cell r="EA73">
            <v>10</v>
          </cell>
          <cell r="EB73">
            <v>93</v>
          </cell>
          <cell r="EC73" t="e">
            <v>#VALUE!</v>
          </cell>
          <cell r="ED73">
            <v>0</v>
          </cell>
          <cell r="EE73">
            <v>0</v>
          </cell>
          <cell r="EF73">
            <v>78</v>
          </cell>
          <cell r="EG73" t="e">
            <v>#VALUE!</v>
          </cell>
          <cell r="EH73">
            <v>0</v>
          </cell>
          <cell r="EI73">
            <v>36</v>
          </cell>
          <cell r="EJ73">
            <v>85</v>
          </cell>
          <cell r="EK73" t="e">
            <v>#VALUE!</v>
          </cell>
          <cell r="EL73">
            <v>0</v>
          </cell>
          <cell r="EM73">
            <v>0</v>
          </cell>
          <cell r="EN73">
            <v>87</v>
          </cell>
          <cell r="EO73" t="e">
            <v>#VALUE!</v>
          </cell>
          <cell r="EP73">
            <v>0</v>
          </cell>
          <cell r="EQ73">
            <v>0</v>
          </cell>
          <cell r="ER73">
            <v>100</v>
          </cell>
          <cell r="ES73" t="e">
            <v>#VALUE!</v>
          </cell>
          <cell r="ET73">
            <v>0</v>
          </cell>
          <cell r="EU73">
            <v>5</v>
          </cell>
          <cell r="EV73">
            <v>70</v>
          </cell>
          <cell r="EW73" t="e">
            <v>#VALUE!</v>
          </cell>
          <cell r="EX73">
            <v>0</v>
          </cell>
          <cell r="EY73">
            <v>0</v>
          </cell>
          <cell r="EZ73">
            <v>86</v>
          </cell>
          <cell r="FA73" t="e">
            <v>#VALUE!</v>
          </cell>
          <cell r="FB73">
            <v>0</v>
          </cell>
          <cell r="FC73">
            <v>0</v>
          </cell>
          <cell r="FD73">
            <v>0</v>
          </cell>
          <cell r="FE73" t="e">
            <v>#VALUE!</v>
          </cell>
          <cell r="FF73">
            <v>0</v>
          </cell>
          <cell r="FG73">
            <v>19</v>
          </cell>
          <cell r="FH73">
            <v>81</v>
          </cell>
          <cell r="FI73" t="e">
            <v>#VALUE!</v>
          </cell>
          <cell r="FJ73">
            <v>0</v>
          </cell>
          <cell r="FK73">
            <v>0</v>
          </cell>
          <cell r="FL73">
            <v>95</v>
          </cell>
          <cell r="FM73" t="e">
            <v>#VALUE!</v>
          </cell>
          <cell r="FN73">
            <v>0</v>
          </cell>
          <cell r="FO73">
            <v>0</v>
          </cell>
          <cell r="FP73">
            <v>84</v>
          </cell>
          <cell r="FQ73" t="e">
            <v>#VALUE!</v>
          </cell>
          <cell r="FR73">
            <v>0</v>
          </cell>
          <cell r="FS73">
            <v>0</v>
          </cell>
          <cell r="FT73">
            <v>82</v>
          </cell>
          <cell r="FU73" t="e">
            <v>#VALUE!</v>
          </cell>
          <cell r="FV73">
            <v>0</v>
          </cell>
          <cell r="FW73">
            <v>0</v>
          </cell>
          <cell r="FX73">
            <v>85</v>
          </cell>
          <cell r="FY73" t="e">
            <v>#VALUE!</v>
          </cell>
          <cell r="FZ73">
            <v>0</v>
          </cell>
          <cell r="GA73">
            <v>0</v>
          </cell>
          <cell r="GB73">
            <v>95</v>
          </cell>
          <cell r="GC73" t="e">
            <v>#VALUE!</v>
          </cell>
          <cell r="GD73">
            <v>0</v>
          </cell>
          <cell r="GE73">
            <v>24</v>
          </cell>
          <cell r="GF73">
            <v>71</v>
          </cell>
          <cell r="GG73" t="e">
            <v>#VALUE!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F9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 t="str">
            <v>F9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 t="str">
            <v>F9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 t="str">
            <v>F9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F9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 t="str">
            <v>F9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 t="str">
            <v>F9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 t="str">
            <v>F9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 t="str">
            <v>F9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 t="str">
            <v>F9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 t="str">
            <v>F9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 t="str">
            <v>F9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 t="str">
            <v>F9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 t="str">
            <v>F9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 t="str">
            <v>F9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 t="str">
            <v>F9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 t="str">
            <v>F9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 t="str">
            <v>F9</v>
          </cell>
          <cell r="DJ74">
            <v>0</v>
          </cell>
          <cell r="DK74">
            <v>0</v>
          </cell>
          <cell r="DL74">
            <v>0</v>
          </cell>
          <cell r="DM74" t="e">
            <v>#VALUE!</v>
          </cell>
          <cell r="DN74">
            <v>0</v>
          </cell>
          <cell r="DO74">
            <v>26</v>
          </cell>
          <cell r="DP74">
            <v>96</v>
          </cell>
          <cell r="DQ74" t="e">
            <v>#VALUE!</v>
          </cell>
          <cell r="DR74">
            <v>0</v>
          </cell>
          <cell r="DS74">
            <v>0</v>
          </cell>
          <cell r="DT74">
            <v>90</v>
          </cell>
          <cell r="DU74" t="e">
            <v>#VALUE!</v>
          </cell>
          <cell r="DV74">
            <v>0</v>
          </cell>
          <cell r="DW74">
            <v>0</v>
          </cell>
          <cell r="DX74">
            <v>78</v>
          </cell>
          <cell r="DY74" t="e">
            <v>#VALUE!</v>
          </cell>
          <cell r="DZ74">
            <v>0</v>
          </cell>
          <cell r="EA74">
            <v>10</v>
          </cell>
          <cell r="EB74">
            <v>93</v>
          </cell>
          <cell r="EC74" t="e">
            <v>#VALUE!</v>
          </cell>
          <cell r="ED74">
            <v>0</v>
          </cell>
          <cell r="EE74">
            <v>0</v>
          </cell>
          <cell r="EF74">
            <v>78</v>
          </cell>
          <cell r="EG74" t="e">
            <v>#VALUE!</v>
          </cell>
          <cell r="EH74">
            <v>0</v>
          </cell>
          <cell r="EI74">
            <v>36</v>
          </cell>
          <cell r="EJ74">
            <v>85</v>
          </cell>
          <cell r="EK74" t="e">
            <v>#VALUE!</v>
          </cell>
          <cell r="EL74">
            <v>0</v>
          </cell>
          <cell r="EM74">
            <v>0</v>
          </cell>
          <cell r="EN74">
            <v>87</v>
          </cell>
          <cell r="EO74" t="e">
            <v>#VALUE!</v>
          </cell>
          <cell r="EP74">
            <v>0</v>
          </cell>
          <cell r="EQ74">
            <v>0</v>
          </cell>
          <cell r="ER74">
            <v>100</v>
          </cell>
          <cell r="ES74" t="e">
            <v>#VALUE!</v>
          </cell>
          <cell r="ET74">
            <v>0</v>
          </cell>
          <cell r="EU74">
            <v>5</v>
          </cell>
          <cell r="EV74">
            <v>70</v>
          </cell>
          <cell r="EW74" t="e">
            <v>#VALUE!</v>
          </cell>
          <cell r="EX74">
            <v>0</v>
          </cell>
          <cell r="EY74">
            <v>0</v>
          </cell>
          <cell r="EZ74">
            <v>86</v>
          </cell>
          <cell r="FA74" t="e">
            <v>#VALUE!</v>
          </cell>
          <cell r="FB74">
            <v>0</v>
          </cell>
          <cell r="FC74">
            <v>0</v>
          </cell>
          <cell r="FD74">
            <v>0</v>
          </cell>
          <cell r="FE74" t="e">
            <v>#VALUE!</v>
          </cell>
          <cell r="FF74">
            <v>0</v>
          </cell>
          <cell r="FG74">
            <v>19</v>
          </cell>
          <cell r="FH74">
            <v>81</v>
          </cell>
          <cell r="FI74" t="e">
            <v>#VALUE!</v>
          </cell>
          <cell r="FJ74">
            <v>0</v>
          </cell>
          <cell r="FK74">
            <v>0</v>
          </cell>
          <cell r="FL74">
            <v>95</v>
          </cell>
          <cell r="FM74" t="e">
            <v>#VALUE!</v>
          </cell>
          <cell r="FN74">
            <v>0</v>
          </cell>
          <cell r="FO74">
            <v>0</v>
          </cell>
          <cell r="FP74">
            <v>84</v>
          </cell>
          <cell r="FQ74" t="e">
            <v>#VALUE!</v>
          </cell>
          <cell r="FR74">
            <v>0</v>
          </cell>
          <cell r="FS74">
            <v>0</v>
          </cell>
          <cell r="FT74">
            <v>82</v>
          </cell>
          <cell r="FU74" t="e">
            <v>#VALUE!</v>
          </cell>
          <cell r="FV74">
            <v>0</v>
          </cell>
          <cell r="FW74">
            <v>0</v>
          </cell>
          <cell r="FX74">
            <v>85</v>
          </cell>
          <cell r="FY74" t="e">
            <v>#VALUE!</v>
          </cell>
          <cell r="FZ74">
            <v>0</v>
          </cell>
          <cell r="GA74">
            <v>0</v>
          </cell>
          <cell r="GB74">
            <v>95</v>
          </cell>
          <cell r="GC74" t="e">
            <v>#VALUE!</v>
          </cell>
          <cell r="GD74">
            <v>0</v>
          </cell>
          <cell r="GE74">
            <v>24</v>
          </cell>
          <cell r="GF74">
            <v>71</v>
          </cell>
          <cell r="GG74" t="e">
            <v>#VALUE!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F9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 t="str">
            <v>F9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 t="str">
            <v>F9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 t="str">
            <v>F9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str">
            <v>F9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 t="str">
            <v>F9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 t="str">
            <v>F9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F9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 t="str">
            <v>F9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 t="str">
            <v>F9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 t="str">
            <v>F9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 t="str">
            <v>F9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 t="str">
            <v>F9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 t="str">
            <v>F9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 t="str">
            <v>F9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 t="str">
            <v>F9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 t="str">
            <v>F9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 t="str">
            <v>F9</v>
          </cell>
          <cell r="DJ75">
            <v>0</v>
          </cell>
          <cell r="DK75">
            <v>0</v>
          </cell>
          <cell r="DL75">
            <v>0</v>
          </cell>
          <cell r="DM75" t="e">
            <v>#VALUE!</v>
          </cell>
          <cell r="DN75">
            <v>0</v>
          </cell>
          <cell r="DO75">
            <v>26</v>
          </cell>
          <cell r="DP75">
            <v>96</v>
          </cell>
          <cell r="DQ75" t="e">
            <v>#VALUE!</v>
          </cell>
          <cell r="DR75">
            <v>0</v>
          </cell>
          <cell r="DS75">
            <v>0</v>
          </cell>
          <cell r="DT75">
            <v>90</v>
          </cell>
          <cell r="DU75" t="e">
            <v>#VALUE!</v>
          </cell>
          <cell r="DV75">
            <v>0</v>
          </cell>
          <cell r="DW75">
            <v>0</v>
          </cell>
          <cell r="DX75">
            <v>78</v>
          </cell>
          <cell r="DY75" t="e">
            <v>#VALUE!</v>
          </cell>
          <cell r="DZ75">
            <v>0</v>
          </cell>
          <cell r="EA75">
            <v>10</v>
          </cell>
          <cell r="EB75">
            <v>93</v>
          </cell>
          <cell r="EC75" t="e">
            <v>#VALUE!</v>
          </cell>
          <cell r="ED75">
            <v>0</v>
          </cell>
          <cell r="EE75">
            <v>0</v>
          </cell>
          <cell r="EF75">
            <v>78</v>
          </cell>
          <cell r="EG75" t="e">
            <v>#VALUE!</v>
          </cell>
          <cell r="EH75">
            <v>0</v>
          </cell>
          <cell r="EI75">
            <v>36</v>
          </cell>
          <cell r="EJ75">
            <v>85</v>
          </cell>
          <cell r="EK75" t="e">
            <v>#VALUE!</v>
          </cell>
          <cell r="EL75">
            <v>0</v>
          </cell>
          <cell r="EM75">
            <v>0</v>
          </cell>
          <cell r="EN75">
            <v>87</v>
          </cell>
          <cell r="EO75" t="e">
            <v>#VALUE!</v>
          </cell>
          <cell r="EP75">
            <v>0</v>
          </cell>
          <cell r="EQ75">
            <v>0</v>
          </cell>
          <cell r="ER75">
            <v>100</v>
          </cell>
          <cell r="ES75" t="e">
            <v>#VALUE!</v>
          </cell>
          <cell r="ET75">
            <v>0</v>
          </cell>
          <cell r="EU75">
            <v>5</v>
          </cell>
          <cell r="EV75">
            <v>70</v>
          </cell>
          <cell r="EW75" t="e">
            <v>#VALUE!</v>
          </cell>
          <cell r="EX75">
            <v>0</v>
          </cell>
          <cell r="EY75">
            <v>0</v>
          </cell>
          <cell r="EZ75">
            <v>86</v>
          </cell>
          <cell r="FA75" t="e">
            <v>#VALUE!</v>
          </cell>
          <cell r="FB75">
            <v>0</v>
          </cell>
          <cell r="FC75">
            <v>0</v>
          </cell>
          <cell r="FD75">
            <v>0</v>
          </cell>
          <cell r="FE75" t="e">
            <v>#VALUE!</v>
          </cell>
          <cell r="FF75">
            <v>0</v>
          </cell>
          <cell r="FG75">
            <v>19</v>
          </cell>
          <cell r="FH75">
            <v>81</v>
          </cell>
          <cell r="FI75" t="e">
            <v>#VALUE!</v>
          </cell>
          <cell r="FJ75">
            <v>0</v>
          </cell>
          <cell r="FK75">
            <v>0</v>
          </cell>
          <cell r="FL75">
            <v>95</v>
          </cell>
          <cell r="FM75" t="e">
            <v>#VALUE!</v>
          </cell>
          <cell r="FN75">
            <v>0</v>
          </cell>
          <cell r="FO75">
            <v>0</v>
          </cell>
          <cell r="FP75">
            <v>84</v>
          </cell>
          <cell r="FQ75" t="e">
            <v>#VALUE!</v>
          </cell>
          <cell r="FR75">
            <v>0</v>
          </cell>
          <cell r="FS75">
            <v>0</v>
          </cell>
          <cell r="FT75">
            <v>82</v>
          </cell>
          <cell r="FU75" t="e">
            <v>#VALUE!</v>
          </cell>
          <cell r="FV75">
            <v>0</v>
          </cell>
          <cell r="FW75">
            <v>0</v>
          </cell>
          <cell r="FX75">
            <v>85</v>
          </cell>
          <cell r="FY75" t="e">
            <v>#VALUE!</v>
          </cell>
          <cell r="FZ75">
            <v>0</v>
          </cell>
          <cell r="GA75">
            <v>0</v>
          </cell>
          <cell r="GB75">
            <v>95</v>
          </cell>
          <cell r="GC75" t="e">
            <v>#VALUE!</v>
          </cell>
          <cell r="GD75">
            <v>0</v>
          </cell>
          <cell r="GE75">
            <v>24</v>
          </cell>
          <cell r="GF75">
            <v>71</v>
          </cell>
          <cell r="GG75" t="e">
            <v>#VALUE!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F9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 t="str">
            <v>F9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 t="str">
            <v>F9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 t="str">
            <v>F9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str">
            <v>F9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 t="str">
            <v>F9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 t="str">
            <v>F9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F9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 t="str">
            <v>F9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 t="str">
            <v>F9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 t="str">
            <v>F9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 t="str">
            <v>F9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 t="str">
            <v>F9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 t="str">
            <v>F9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 t="str">
            <v>F9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 t="str">
            <v>F9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 t="str">
            <v>F9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 t="str">
            <v>F9</v>
          </cell>
          <cell r="DJ76">
            <v>0</v>
          </cell>
          <cell r="DK76">
            <v>0</v>
          </cell>
          <cell r="DL76">
            <v>0</v>
          </cell>
          <cell r="DM76" t="e">
            <v>#VALUE!</v>
          </cell>
          <cell r="DN76">
            <v>0</v>
          </cell>
          <cell r="DO76">
            <v>26</v>
          </cell>
          <cell r="DP76">
            <v>96</v>
          </cell>
          <cell r="DQ76" t="e">
            <v>#VALUE!</v>
          </cell>
          <cell r="DR76">
            <v>0</v>
          </cell>
          <cell r="DS76">
            <v>0</v>
          </cell>
          <cell r="DT76">
            <v>90</v>
          </cell>
          <cell r="DU76" t="e">
            <v>#VALUE!</v>
          </cell>
          <cell r="DV76">
            <v>0</v>
          </cell>
          <cell r="DW76">
            <v>0</v>
          </cell>
          <cell r="DX76">
            <v>78</v>
          </cell>
          <cell r="DY76" t="e">
            <v>#VALUE!</v>
          </cell>
          <cell r="DZ76">
            <v>0</v>
          </cell>
          <cell r="EA76">
            <v>10</v>
          </cell>
          <cell r="EB76">
            <v>93</v>
          </cell>
          <cell r="EC76" t="e">
            <v>#VALUE!</v>
          </cell>
          <cell r="ED76">
            <v>0</v>
          </cell>
          <cell r="EE76">
            <v>0</v>
          </cell>
          <cell r="EF76">
            <v>78</v>
          </cell>
          <cell r="EG76" t="e">
            <v>#VALUE!</v>
          </cell>
          <cell r="EH76">
            <v>0</v>
          </cell>
          <cell r="EI76">
            <v>36</v>
          </cell>
          <cell r="EJ76">
            <v>85</v>
          </cell>
          <cell r="EK76" t="e">
            <v>#VALUE!</v>
          </cell>
          <cell r="EL76">
            <v>0</v>
          </cell>
          <cell r="EM76">
            <v>0</v>
          </cell>
          <cell r="EN76">
            <v>87</v>
          </cell>
          <cell r="EO76" t="e">
            <v>#VALUE!</v>
          </cell>
          <cell r="EP76">
            <v>0</v>
          </cell>
          <cell r="EQ76">
            <v>0</v>
          </cell>
          <cell r="ER76">
            <v>100</v>
          </cell>
          <cell r="ES76" t="e">
            <v>#VALUE!</v>
          </cell>
          <cell r="ET76">
            <v>0</v>
          </cell>
          <cell r="EU76">
            <v>5</v>
          </cell>
          <cell r="EV76">
            <v>70</v>
          </cell>
          <cell r="EW76" t="e">
            <v>#VALUE!</v>
          </cell>
          <cell r="EX76">
            <v>0</v>
          </cell>
          <cell r="EY76">
            <v>0</v>
          </cell>
          <cell r="EZ76">
            <v>86</v>
          </cell>
          <cell r="FA76" t="e">
            <v>#VALUE!</v>
          </cell>
          <cell r="FB76">
            <v>0</v>
          </cell>
          <cell r="FC76">
            <v>0</v>
          </cell>
          <cell r="FD76">
            <v>0</v>
          </cell>
          <cell r="FE76" t="e">
            <v>#VALUE!</v>
          </cell>
          <cell r="FF76">
            <v>0</v>
          </cell>
          <cell r="FG76">
            <v>19</v>
          </cell>
          <cell r="FH76">
            <v>81</v>
          </cell>
          <cell r="FI76" t="e">
            <v>#VALUE!</v>
          </cell>
          <cell r="FJ76">
            <v>0</v>
          </cell>
          <cell r="FK76">
            <v>0</v>
          </cell>
          <cell r="FL76">
            <v>95</v>
          </cell>
          <cell r="FM76" t="e">
            <v>#VALUE!</v>
          </cell>
          <cell r="FN76">
            <v>0</v>
          </cell>
          <cell r="FO76">
            <v>0</v>
          </cell>
          <cell r="FP76">
            <v>84</v>
          </cell>
          <cell r="FQ76" t="e">
            <v>#VALUE!</v>
          </cell>
          <cell r="FR76">
            <v>0</v>
          </cell>
          <cell r="FS76">
            <v>0</v>
          </cell>
          <cell r="FT76">
            <v>82</v>
          </cell>
          <cell r="FU76" t="e">
            <v>#VALUE!</v>
          </cell>
          <cell r="FV76">
            <v>0</v>
          </cell>
          <cell r="FW76">
            <v>0</v>
          </cell>
          <cell r="FX76">
            <v>85</v>
          </cell>
          <cell r="FY76" t="e">
            <v>#VALUE!</v>
          </cell>
          <cell r="FZ76">
            <v>0</v>
          </cell>
          <cell r="GA76">
            <v>0</v>
          </cell>
          <cell r="GB76">
            <v>95</v>
          </cell>
          <cell r="GC76" t="e">
            <v>#VALUE!</v>
          </cell>
          <cell r="GD76">
            <v>0</v>
          </cell>
          <cell r="GE76">
            <v>24</v>
          </cell>
          <cell r="GF76">
            <v>71</v>
          </cell>
          <cell r="GG76" t="e">
            <v>#VALUE!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F9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 t="str">
            <v>F9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 t="str">
            <v>F9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 t="str">
            <v>F9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str">
            <v>F9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 t="str">
            <v>F9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 t="str">
            <v>F9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F9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 t="str">
            <v>F9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 t="str">
            <v>F9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 t="str">
            <v>F9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 t="str">
            <v>F9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 t="str">
            <v>F9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 t="str">
            <v>F9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 t="str">
            <v>F9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 t="str">
            <v>F9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 t="str">
            <v>F9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 t="str">
            <v>F9</v>
          </cell>
          <cell r="DJ77">
            <v>0</v>
          </cell>
          <cell r="DK77">
            <v>0</v>
          </cell>
          <cell r="DL77">
            <v>0</v>
          </cell>
          <cell r="DM77" t="e">
            <v>#VALUE!</v>
          </cell>
          <cell r="DN77">
            <v>0</v>
          </cell>
          <cell r="DO77">
            <v>26</v>
          </cell>
          <cell r="DP77">
            <v>96</v>
          </cell>
          <cell r="DQ77" t="e">
            <v>#VALUE!</v>
          </cell>
          <cell r="DR77">
            <v>0</v>
          </cell>
          <cell r="DS77">
            <v>0</v>
          </cell>
          <cell r="DT77">
            <v>90</v>
          </cell>
          <cell r="DU77" t="e">
            <v>#VALUE!</v>
          </cell>
          <cell r="DV77">
            <v>0</v>
          </cell>
          <cell r="DW77">
            <v>0</v>
          </cell>
          <cell r="DX77">
            <v>78</v>
          </cell>
          <cell r="DY77" t="e">
            <v>#VALUE!</v>
          </cell>
          <cell r="DZ77">
            <v>0</v>
          </cell>
          <cell r="EA77">
            <v>10</v>
          </cell>
          <cell r="EB77">
            <v>93</v>
          </cell>
          <cell r="EC77" t="e">
            <v>#VALUE!</v>
          </cell>
          <cell r="ED77">
            <v>0</v>
          </cell>
          <cell r="EE77">
            <v>0</v>
          </cell>
          <cell r="EF77">
            <v>78</v>
          </cell>
          <cell r="EG77" t="e">
            <v>#VALUE!</v>
          </cell>
          <cell r="EH77">
            <v>0</v>
          </cell>
          <cell r="EI77">
            <v>36</v>
          </cell>
          <cell r="EJ77">
            <v>85</v>
          </cell>
          <cell r="EK77" t="e">
            <v>#VALUE!</v>
          </cell>
          <cell r="EL77">
            <v>0</v>
          </cell>
          <cell r="EM77">
            <v>0</v>
          </cell>
          <cell r="EN77">
            <v>87</v>
          </cell>
          <cell r="EO77" t="e">
            <v>#VALUE!</v>
          </cell>
          <cell r="EP77">
            <v>0</v>
          </cell>
          <cell r="EQ77">
            <v>0</v>
          </cell>
          <cell r="ER77">
            <v>100</v>
          </cell>
          <cell r="ES77" t="e">
            <v>#VALUE!</v>
          </cell>
          <cell r="ET77">
            <v>0</v>
          </cell>
          <cell r="EU77">
            <v>5</v>
          </cell>
          <cell r="EV77">
            <v>70</v>
          </cell>
          <cell r="EW77" t="e">
            <v>#VALUE!</v>
          </cell>
          <cell r="EX77">
            <v>0</v>
          </cell>
          <cell r="EY77">
            <v>0</v>
          </cell>
          <cell r="EZ77">
            <v>86</v>
          </cell>
          <cell r="FA77" t="e">
            <v>#VALUE!</v>
          </cell>
          <cell r="FB77">
            <v>0</v>
          </cell>
          <cell r="FC77">
            <v>0</v>
          </cell>
          <cell r="FD77">
            <v>0</v>
          </cell>
          <cell r="FE77" t="e">
            <v>#VALUE!</v>
          </cell>
          <cell r="FF77">
            <v>0</v>
          </cell>
          <cell r="FG77">
            <v>19</v>
          </cell>
          <cell r="FH77">
            <v>81</v>
          </cell>
          <cell r="FI77" t="e">
            <v>#VALUE!</v>
          </cell>
          <cell r="FJ77">
            <v>0</v>
          </cell>
          <cell r="FK77">
            <v>0</v>
          </cell>
          <cell r="FL77">
            <v>95</v>
          </cell>
          <cell r="FM77" t="e">
            <v>#VALUE!</v>
          </cell>
          <cell r="FN77">
            <v>0</v>
          </cell>
          <cell r="FO77">
            <v>0</v>
          </cell>
          <cell r="FP77">
            <v>84</v>
          </cell>
          <cell r="FQ77" t="e">
            <v>#VALUE!</v>
          </cell>
          <cell r="FR77">
            <v>0</v>
          </cell>
          <cell r="FS77">
            <v>0</v>
          </cell>
          <cell r="FT77">
            <v>82</v>
          </cell>
          <cell r="FU77" t="e">
            <v>#VALUE!</v>
          </cell>
          <cell r="FV77">
            <v>0</v>
          </cell>
          <cell r="FW77">
            <v>0</v>
          </cell>
          <cell r="FX77">
            <v>85</v>
          </cell>
          <cell r="FY77" t="e">
            <v>#VALUE!</v>
          </cell>
          <cell r="FZ77">
            <v>0</v>
          </cell>
          <cell r="GA77">
            <v>0</v>
          </cell>
          <cell r="GB77">
            <v>95</v>
          </cell>
          <cell r="GC77" t="e">
            <v>#VALUE!</v>
          </cell>
          <cell r="GD77">
            <v>0</v>
          </cell>
          <cell r="GE77">
            <v>24</v>
          </cell>
          <cell r="GF77">
            <v>71</v>
          </cell>
          <cell r="GG77" t="e">
            <v>#VALUE!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F9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str">
            <v>F9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 t="str">
            <v>F9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 t="str">
            <v>F9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str">
            <v>F9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 t="str">
            <v>F9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 t="str">
            <v>F9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F9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 t="str">
            <v>F9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 t="str">
            <v>F9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 t="str">
            <v>F9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 t="str">
            <v>F9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 t="str">
            <v>F9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 t="str">
            <v>F9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 t="str">
            <v>F9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 t="str">
            <v>F9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 t="str">
            <v>F9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 t="str">
            <v>F9</v>
          </cell>
          <cell r="DJ78">
            <v>0</v>
          </cell>
          <cell r="DK78">
            <v>0</v>
          </cell>
          <cell r="DL78">
            <v>0</v>
          </cell>
          <cell r="DM78" t="e">
            <v>#VALUE!</v>
          </cell>
          <cell r="DN78">
            <v>0</v>
          </cell>
          <cell r="DO78">
            <v>26</v>
          </cell>
          <cell r="DP78">
            <v>96</v>
          </cell>
          <cell r="DQ78" t="e">
            <v>#VALUE!</v>
          </cell>
          <cell r="DR78">
            <v>0</v>
          </cell>
          <cell r="DS78">
            <v>0</v>
          </cell>
          <cell r="DT78">
            <v>90</v>
          </cell>
          <cell r="DU78" t="e">
            <v>#VALUE!</v>
          </cell>
          <cell r="DV78">
            <v>0</v>
          </cell>
          <cell r="DW78">
            <v>0</v>
          </cell>
          <cell r="DX78">
            <v>78</v>
          </cell>
          <cell r="DY78" t="e">
            <v>#VALUE!</v>
          </cell>
          <cell r="DZ78">
            <v>0</v>
          </cell>
          <cell r="EA78">
            <v>10</v>
          </cell>
          <cell r="EB78">
            <v>93</v>
          </cell>
          <cell r="EC78" t="e">
            <v>#VALUE!</v>
          </cell>
          <cell r="ED78">
            <v>0</v>
          </cell>
          <cell r="EE78">
            <v>0</v>
          </cell>
          <cell r="EF78">
            <v>78</v>
          </cell>
          <cell r="EG78" t="e">
            <v>#VALUE!</v>
          </cell>
          <cell r="EH78">
            <v>0</v>
          </cell>
          <cell r="EI78">
            <v>36</v>
          </cell>
          <cell r="EJ78">
            <v>85</v>
          </cell>
          <cell r="EK78" t="e">
            <v>#VALUE!</v>
          </cell>
          <cell r="EL78">
            <v>0</v>
          </cell>
          <cell r="EM78">
            <v>0</v>
          </cell>
          <cell r="EN78">
            <v>87</v>
          </cell>
          <cell r="EO78" t="e">
            <v>#VALUE!</v>
          </cell>
          <cell r="EP78">
            <v>0</v>
          </cell>
          <cell r="EQ78">
            <v>0</v>
          </cell>
          <cell r="ER78">
            <v>100</v>
          </cell>
          <cell r="ES78" t="e">
            <v>#VALUE!</v>
          </cell>
          <cell r="ET78">
            <v>0</v>
          </cell>
          <cell r="EU78">
            <v>5</v>
          </cell>
          <cell r="EV78">
            <v>70</v>
          </cell>
          <cell r="EW78" t="e">
            <v>#VALUE!</v>
          </cell>
          <cell r="EX78">
            <v>0</v>
          </cell>
          <cell r="EY78">
            <v>0</v>
          </cell>
          <cell r="EZ78">
            <v>86</v>
          </cell>
          <cell r="FA78" t="e">
            <v>#VALUE!</v>
          </cell>
          <cell r="FB78">
            <v>0</v>
          </cell>
          <cell r="FC78">
            <v>0</v>
          </cell>
          <cell r="FD78">
            <v>0</v>
          </cell>
          <cell r="FE78" t="e">
            <v>#VALUE!</v>
          </cell>
          <cell r="FF78">
            <v>0</v>
          </cell>
          <cell r="FG78">
            <v>19</v>
          </cell>
          <cell r="FH78">
            <v>81</v>
          </cell>
          <cell r="FI78" t="e">
            <v>#VALUE!</v>
          </cell>
          <cell r="FJ78">
            <v>0</v>
          </cell>
          <cell r="FK78">
            <v>0</v>
          </cell>
          <cell r="FL78">
            <v>95</v>
          </cell>
          <cell r="FM78" t="e">
            <v>#VALUE!</v>
          </cell>
          <cell r="FN78">
            <v>0</v>
          </cell>
          <cell r="FO78">
            <v>0</v>
          </cell>
          <cell r="FP78">
            <v>84</v>
          </cell>
          <cell r="FQ78" t="e">
            <v>#VALUE!</v>
          </cell>
          <cell r="FR78">
            <v>0</v>
          </cell>
          <cell r="FS78">
            <v>0</v>
          </cell>
          <cell r="FT78">
            <v>82</v>
          </cell>
          <cell r="FU78" t="e">
            <v>#VALUE!</v>
          </cell>
          <cell r="FV78">
            <v>0</v>
          </cell>
          <cell r="FW78">
            <v>0</v>
          </cell>
          <cell r="FX78">
            <v>85</v>
          </cell>
          <cell r="FY78" t="e">
            <v>#VALUE!</v>
          </cell>
          <cell r="FZ78">
            <v>0</v>
          </cell>
          <cell r="GA78">
            <v>0</v>
          </cell>
          <cell r="GB78">
            <v>95</v>
          </cell>
          <cell r="GC78" t="e">
            <v>#VALUE!</v>
          </cell>
          <cell r="GD78">
            <v>0</v>
          </cell>
          <cell r="GE78">
            <v>24</v>
          </cell>
          <cell r="GF78">
            <v>71</v>
          </cell>
          <cell r="GG78" t="e">
            <v>#VALUE!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F9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 t="str">
            <v>F9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 t="str">
            <v>F9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 t="str">
            <v>F9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str">
            <v>F9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 t="str">
            <v>F9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 t="str">
            <v>F9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F9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 t="str">
            <v>F9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 t="str">
            <v>F9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 t="str">
            <v>F9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 t="str">
            <v>F9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 t="str">
            <v>F9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 t="str">
            <v>F9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 t="str">
            <v>F9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 t="str">
            <v>F9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 t="str">
            <v>F9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 t="str">
            <v>F9</v>
          </cell>
          <cell r="DJ79">
            <v>0</v>
          </cell>
          <cell r="DK79">
            <v>0</v>
          </cell>
          <cell r="DL79">
            <v>0</v>
          </cell>
          <cell r="DM79" t="e">
            <v>#VALUE!</v>
          </cell>
          <cell r="DN79">
            <v>0</v>
          </cell>
          <cell r="DO79">
            <v>26</v>
          </cell>
          <cell r="DP79">
            <v>96</v>
          </cell>
          <cell r="DQ79" t="e">
            <v>#VALUE!</v>
          </cell>
          <cell r="DR79">
            <v>0</v>
          </cell>
          <cell r="DS79">
            <v>0</v>
          </cell>
          <cell r="DT79">
            <v>90</v>
          </cell>
          <cell r="DU79" t="e">
            <v>#VALUE!</v>
          </cell>
          <cell r="DV79">
            <v>0</v>
          </cell>
          <cell r="DW79">
            <v>0</v>
          </cell>
          <cell r="DX79">
            <v>78</v>
          </cell>
          <cell r="DY79" t="e">
            <v>#VALUE!</v>
          </cell>
          <cell r="DZ79">
            <v>0</v>
          </cell>
          <cell r="EA79">
            <v>10</v>
          </cell>
          <cell r="EB79">
            <v>93</v>
          </cell>
          <cell r="EC79" t="e">
            <v>#VALUE!</v>
          </cell>
          <cell r="ED79">
            <v>0</v>
          </cell>
          <cell r="EE79">
            <v>0</v>
          </cell>
          <cell r="EF79">
            <v>78</v>
          </cell>
          <cell r="EG79" t="e">
            <v>#VALUE!</v>
          </cell>
          <cell r="EH79">
            <v>0</v>
          </cell>
          <cell r="EI79">
            <v>36</v>
          </cell>
          <cell r="EJ79">
            <v>85</v>
          </cell>
          <cell r="EK79" t="e">
            <v>#VALUE!</v>
          </cell>
          <cell r="EL79">
            <v>0</v>
          </cell>
          <cell r="EM79">
            <v>0</v>
          </cell>
          <cell r="EN79">
            <v>87</v>
          </cell>
          <cell r="EO79" t="e">
            <v>#VALUE!</v>
          </cell>
          <cell r="EP79">
            <v>0</v>
          </cell>
          <cell r="EQ79">
            <v>0</v>
          </cell>
          <cell r="ER79">
            <v>100</v>
          </cell>
          <cell r="ES79" t="e">
            <v>#VALUE!</v>
          </cell>
          <cell r="ET79">
            <v>0</v>
          </cell>
          <cell r="EU79">
            <v>5</v>
          </cell>
          <cell r="EV79">
            <v>70</v>
          </cell>
          <cell r="EW79" t="e">
            <v>#VALUE!</v>
          </cell>
          <cell r="EX79">
            <v>0</v>
          </cell>
          <cell r="EY79">
            <v>0</v>
          </cell>
          <cell r="EZ79">
            <v>86</v>
          </cell>
          <cell r="FA79" t="e">
            <v>#VALUE!</v>
          </cell>
          <cell r="FB79">
            <v>0</v>
          </cell>
          <cell r="FC79">
            <v>0</v>
          </cell>
          <cell r="FD79">
            <v>0</v>
          </cell>
          <cell r="FE79" t="e">
            <v>#VALUE!</v>
          </cell>
          <cell r="FF79">
            <v>0</v>
          </cell>
          <cell r="FG79">
            <v>19</v>
          </cell>
          <cell r="FH79">
            <v>81</v>
          </cell>
          <cell r="FI79" t="e">
            <v>#VALUE!</v>
          </cell>
          <cell r="FJ79">
            <v>0</v>
          </cell>
          <cell r="FK79">
            <v>0</v>
          </cell>
          <cell r="FL79">
            <v>95</v>
          </cell>
          <cell r="FM79" t="e">
            <v>#VALUE!</v>
          </cell>
          <cell r="FN79">
            <v>0</v>
          </cell>
          <cell r="FO79">
            <v>0</v>
          </cell>
          <cell r="FP79">
            <v>84</v>
          </cell>
          <cell r="FQ79" t="e">
            <v>#VALUE!</v>
          </cell>
          <cell r="FR79">
            <v>0</v>
          </cell>
          <cell r="FS79">
            <v>0</v>
          </cell>
          <cell r="FT79">
            <v>82</v>
          </cell>
          <cell r="FU79" t="e">
            <v>#VALUE!</v>
          </cell>
          <cell r="FV79">
            <v>0</v>
          </cell>
          <cell r="FW79">
            <v>0</v>
          </cell>
          <cell r="FX79">
            <v>85</v>
          </cell>
          <cell r="FY79" t="e">
            <v>#VALUE!</v>
          </cell>
          <cell r="FZ79">
            <v>0</v>
          </cell>
          <cell r="GA79">
            <v>0</v>
          </cell>
          <cell r="GB79">
            <v>95</v>
          </cell>
          <cell r="GC79" t="e">
            <v>#VALUE!</v>
          </cell>
          <cell r="GD79">
            <v>0</v>
          </cell>
          <cell r="GE79">
            <v>24</v>
          </cell>
          <cell r="GF79">
            <v>71</v>
          </cell>
          <cell r="GG79" t="e">
            <v>#VALUE!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F9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 t="str">
            <v>F9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 t="str">
            <v>F9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 t="str">
            <v>F9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str">
            <v>F9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 t="str">
            <v>F9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 t="str">
            <v>F9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F9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 t="str">
            <v>F9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 t="str">
            <v>F9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 t="str">
            <v>F9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 t="str">
            <v>F9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 t="str">
            <v>F9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 t="str">
            <v>F9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 t="str">
            <v>F9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 t="str">
            <v>F9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 t="str">
            <v>F9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 t="str">
            <v>F9</v>
          </cell>
          <cell r="DJ80">
            <v>0</v>
          </cell>
          <cell r="DK80">
            <v>0</v>
          </cell>
          <cell r="DL80">
            <v>0</v>
          </cell>
          <cell r="DM80" t="e">
            <v>#VALUE!</v>
          </cell>
          <cell r="DN80">
            <v>0</v>
          </cell>
          <cell r="DO80">
            <v>26</v>
          </cell>
          <cell r="DP80">
            <v>96</v>
          </cell>
          <cell r="DQ80" t="e">
            <v>#VALUE!</v>
          </cell>
          <cell r="DR80">
            <v>0</v>
          </cell>
          <cell r="DS80">
            <v>0</v>
          </cell>
          <cell r="DT80">
            <v>90</v>
          </cell>
          <cell r="DU80" t="e">
            <v>#VALUE!</v>
          </cell>
          <cell r="DV80">
            <v>0</v>
          </cell>
          <cell r="DW80">
            <v>0</v>
          </cell>
          <cell r="DX80">
            <v>78</v>
          </cell>
          <cell r="DY80" t="e">
            <v>#VALUE!</v>
          </cell>
          <cell r="DZ80">
            <v>0</v>
          </cell>
          <cell r="EA80">
            <v>10</v>
          </cell>
          <cell r="EB80">
            <v>93</v>
          </cell>
          <cell r="EC80" t="e">
            <v>#VALUE!</v>
          </cell>
          <cell r="ED80">
            <v>0</v>
          </cell>
          <cell r="EE80">
            <v>0</v>
          </cell>
          <cell r="EF80">
            <v>78</v>
          </cell>
          <cell r="EG80" t="e">
            <v>#VALUE!</v>
          </cell>
          <cell r="EH80">
            <v>0</v>
          </cell>
          <cell r="EI80">
            <v>36</v>
          </cell>
          <cell r="EJ80">
            <v>85</v>
          </cell>
          <cell r="EK80" t="e">
            <v>#VALUE!</v>
          </cell>
          <cell r="EL80">
            <v>0</v>
          </cell>
          <cell r="EM80">
            <v>0</v>
          </cell>
          <cell r="EN80">
            <v>87</v>
          </cell>
          <cell r="EO80" t="e">
            <v>#VALUE!</v>
          </cell>
          <cell r="EP80">
            <v>0</v>
          </cell>
          <cell r="EQ80">
            <v>0</v>
          </cell>
          <cell r="ER80">
            <v>100</v>
          </cell>
          <cell r="ES80" t="e">
            <v>#VALUE!</v>
          </cell>
          <cell r="ET80">
            <v>0</v>
          </cell>
          <cell r="EU80">
            <v>5</v>
          </cell>
          <cell r="EV80">
            <v>70</v>
          </cell>
          <cell r="EW80" t="e">
            <v>#VALUE!</v>
          </cell>
          <cell r="EX80">
            <v>0</v>
          </cell>
          <cell r="EY80">
            <v>0</v>
          </cell>
          <cell r="EZ80">
            <v>86</v>
          </cell>
          <cell r="FA80" t="e">
            <v>#VALUE!</v>
          </cell>
          <cell r="FB80">
            <v>0</v>
          </cell>
          <cell r="FC80">
            <v>0</v>
          </cell>
          <cell r="FD80">
            <v>0</v>
          </cell>
          <cell r="FE80" t="e">
            <v>#VALUE!</v>
          </cell>
          <cell r="FF80">
            <v>0</v>
          </cell>
          <cell r="FG80">
            <v>19</v>
          </cell>
          <cell r="FH80">
            <v>81</v>
          </cell>
          <cell r="FI80" t="e">
            <v>#VALUE!</v>
          </cell>
          <cell r="FJ80">
            <v>0</v>
          </cell>
          <cell r="FK80">
            <v>0</v>
          </cell>
          <cell r="FL80">
            <v>95</v>
          </cell>
          <cell r="FM80" t="e">
            <v>#VALUE!</v>
          </cell>
          <cell r="FN80">
            <v>0</v>
          </cell>
          <cell r="FO80">
            <v>0</v>
          </cell>
          <cell r="FP80">
            <v>84</v>
          </cell>
          <cell r="FQ80" t="e">
            <v>#VALUE!</v>
          </cell>
          <cell r="FR80">
            <v>0</v>
          </cell>
          <cell r="FS80">
            <v>0</v>
          </cell>
          <cell r="FT80">
            <v>82</v>
          </cell>
          <cell r="FU80" t="e">
            <v>#VALUE!</v>
          </cell>
          <cell r="FV80">
            <v>0</v>
          </cell>
          <cell r="FW80">
            <v>0</v>
          </cell>
          <cell r="FX80">
            <v>85</v>
          </cell>
          <cell r="FY80" t="e">
            <v>#VALUE!</v>
          </cell>
          <cell r="FZ80">
            <v>0</v>
          </cell>
          <cell r="GA80">
            <v>0</v>
          </cell>
          <cell r="GB80">
            <v>95</v>
          </cell>
          <cell r="GC80" t="e">
            <v>#VALUE!</v>
          </cell>
          <cell r="GD80">
            <v>0</v>
          </cell>
          <cell r="GE80">
            <v>24</v>
          </cell>
          <cell r="GF80">
            <v>71</v>
          </cell>
          <cell r="GG80" t="e">
            <v>#VALUE!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F9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 t="str">
            <v>F9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 t="str">
            <v>F9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 t="str">
            <v>F9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str">
            <v>F9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 t="str">
            <v>F9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 t="str">
            <v>F9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F9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 t="str">
            <v>F9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 t="str">
            <v>F9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 t="str">
            <v>F9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 t="str">
            <v>F9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 t="str">
            <v>F9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 t="str">
            <v>F9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 t="str">
            <v>F9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 t="str">
            <v>F9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 t="str">
            <v>F9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 t="str">
            <v>F9</v>
          </cell>
          <cell r="DJ81">
            <v>0</v>
          </cell>
          <cell r="DK81">
            <v>0</v>
          </cell>
          <cell r="DL81">
            <v>0</v>
          </cell>
          <cell r="DM81" t="e">
            <v>#VALUE!</v>
          </cell>
          <cell r="DN81">
            <v>0</v>
          </cell>
          <cell r="DO81">
            <v>26</v>
          </cell>
          <cell r="DP81">
            <v>96</v>
          </cell>
          <cell r="DQ81" t="e">
            <v>#VALUE!</v>
          </cell>
          <cell r="DR81">
            <v>0</v>
          </cell>
          <cell r="DS81">
            <v>0</v>
          </cell>
          <cell r="DT81">
            <v>90</v>
          </cell>
          <cell r="DU81" t="e">
            <v>#VALUE!</v>
          </cell>
          <cell r="DV81">
            <v>0</v>
          </cell>
          <cell r="DW81">
            <v>0</v>
          </cell>
          <cell r="DX81">
            <v>78</v>
          </cell>
          <cell r="DY81" t="e">
            <v>#VALUE!</v>
          </cell>
          <cell r="DZ81">
            <v>0</v>
          </cell>
          <cell r="EA81">
            <v>10</v>
          </cell>
          <cell r="EB81">
            <v>93</v>
          </cell>
          <cell r="EC81" t="e">
            <v>#VALUE!</v>
          </cell>
          <cell r="ED81">
            <v>0</v>
          </cell>
          <cell r="EE81">
            <v>0</v>
          </cell>
          <cell r="EF81">
            <v>78</v>
          </cell>
          <cell r="EG81" t="e">
            <v>#VALUE!</v>
          </cell>
          <cell r="EH81">
            <v>0</v>
          </cell>
          <cell r="EI81">
            <v>36</v>
          </cell>
          <cell r="EJ81">
            <v>85</v>
          </cell>
          <cell r="EK81" t="e">
            <v>#VALUE!</v>
          </cell>
          <cell r="EL81">
            <v>0</v>
          </cell>
          <cell r="EM81">
            <v>0</v>
          </cell>
          <cell r="EN81">
            <v>87</v>
          </cell>
          <cell r="EO81" t="e">
            <v>#VALUE!</v>
          </cell>
          <cell r="EP81">
            <v>0</v>
          </cell>
          <cell r="EQ81">
            <v>0</v>
          </cell>
          <cell r="ER81">
            <v>100</v>
          </cell>
          <cell r="ES81" t="e">
            <v>#VALUE!</v>
          </cell>
          <cell r="ET81">
            <v>0</v>
          </cell>
          <cell r="EU81">
            <v>5</v>
          </cell>
          <cell r="EV81">
            <v>70</v>
          </cell>
          <cell r="EW81" t="e">
            <v>#VALUE!</v>
          </cell>
          <cell r="EX81">
            <v>0</v>
          </cell>
          <cell r="EY81">
            <v>0</v>
          </cell>
          <cell r="EZ81">
            <v>86</v>
          </cell>
          <cell r="FA81" t="e">
            <v>#VALUE!</v>
          </cell>
          <cell r="FB81">
            <v>0</v>
          </cell>
          <cell r="FC81">
            <v>0</v>
          </cell>
          <cell r="FD81">
            <v>0</v>
          </cell>
          <cell r="FE81" t="e">
            <v>#VALUE!</v>
          </cell>
          <cell r="FF81">
            <v>0</v>
          </cell>
          <cell r="FG81">
            <v>19</v>
          </cell>
          <cell r="FH81">
            <v>81</v>
          </cell>
          <cell r="FI81" t="e">
            <v>#VALUE!</v>
          </cell>
          <cell r="FJ81">
            <v>0</v>
          </cell>
          <cell r="FK81">
            <v>0</v>
          </cell>
          <cell r="FL81">
            <v>95</v>
          </cell>
          <cell r="FM81" t="e">
            <v>#VALUE!</v>
          </cell>
          <cell r="FN81">
            <v>0</v>
          </cell>
          <cell r="FO81">
            <v>0</v>
          </cell>
          <cell r="FP81">
            <v>84</v>
          </cell>
          <cell r="FQ81" t="e">
            <v>#VALUE!</v>
          </cell>
          <cell r="FR81">
            <v>0</v>
          </cell>
          <cell r="FS81">
            <v>0</v>
          </cell>
          <cell r="FT81">
            <v>82</v>
          </cell>
          <cell r="FU81" t="e">
            <v>#VALUE!</v>
          </cell>
          <cell r="FV81">
            <v>0</v>
          </cell>
          <cell r="FW81">
            <v>0</v>
          </cell>
          <cell r="FX81">
            <v>85</v>
          </cell>
          <cell r="FY81" t="e">
            <v>#VALUE!</v>
          </cell>
          <cell r="FZ81">
            <v>0</v>
          </cell>
          <cell r="GA81">
            <v>0</v>
          </cell>
          <cell r="GB81">
            <v>95</v>
          </cell>
          <cell r="GC81" t="e">
            <v>#VALUE!</v>
          </cell>
          <cell r="GD81">
            <v>0</v>
          </cell>
          <cell r="GE81">
            <v>24</v>
          </cell>
          <cell r="GF81">
            <v>71</v>
          </cell>
          <cell r="GG81" t="e">
            <v>#VALUE!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F9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 t="str">
            <v>F9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 t="str">
            <v>F9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 t="str">
            <v>F9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F9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 t="str">
            <v>F9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 t="str">
            <v>F9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 t="str">
            <v>F9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 t="str">
            <v>F9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 t="str">
            <v>F9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 t="str">
            <v>F9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 t="str">
            <v>F9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 t="str">
            <v>F9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 t="str">
            <v>F9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 t="str">
            <v>F9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 t="str">
            <v>F9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 t="str">
            <v>F9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 t="str">
            <v>F9</v>
          </cell>
          <cell r="DJ82">
            <v>0</v>
          </cell>
          <cell r="DK82">
            <v>0</v>
          </cell>
          <cell r="DL82">
            <v>0</v>
          </cell>
          <cell r="DM82" t="e">
            <v>#VALUE!</v>
          </cell>
          <cell r="DN82">
            <v>0</v>
          </cell>
          <cell r="DO82">
            <v>26</v>
          </cell>
          <cell r="DP82">
            <v>96</v>
          </cell>
          <cell r="DQ82" t="e">
            <v>#VALUE!</v>
          </cell>
          <cell r="DR82">
            <v>0</v>
          </cell>
          <cell r="DS82">
            <v>0</v>
          </cell>
          <cell r="DT82">
            <v>90</v>
          </cell>
          <cell r="DU82" t="e">
            <v>#VALUE!</v>
          </cell>
          <cell r="DV82">
            <v>0</v>
          </cell>
          <cell r="DW82">
            <v>0</v>
          </cell>
          <cell r="DX82">
            <v>78</v>
          </cell>
          <cell r="DY82" t="e">
            <v>#VALUE!</v>
          </cell>
          <cell r="DZ82">
            <v>0</v>
          </cell>
          <cell r="EA82">
            <v>10</v>
          </cell>
          <cell r="EB82">
            <v>93</v>
          </cell>
          <cell r="EC82" t="e">
            <v>#VALUE!</v>
          </cell>
          <cell r="ED82">
            <v>0</v>
          </cell>
          <cell r="EE82">
            <v>0</v>
          </cell>
          <cell r="EF82">
            <v>78</v>
          </cell>
          <cell r="EG82" t="e">
            <v>#VALUE!</v>
          </cell>
          <cell r="EH82">
            <v>0</v>
          </cell>
          <cell r="EI82">
            <v>36</v>
          </cell>
          <cell r="EJ82">
            <v>85</v>
          </cell>
          <cell r="EK82" t="e">
            <v>#VALUE!</v>
          </cell>
          <cell r="EL82">
            <v>0</v>
          </cell>
          <cell r="EM82">
            <v>0</v>
          </cell>
          <cell r="EN82">
            <v>87</v>
          </cell>
          <cell r="EO82" t="e">
            <v>#VALUE!</v>
          </cell>
          <cell r="EP82">
            <v>0</v>
          </cell>
          <cell r="EQ82">
            <v>0</v>
          </cell>
          <cell r="ER82">
            <v>100</v>
          </cell>
          <cell r="ES82" t="e">
            <v>#VALUE!</v>
          </cell>
          <cell r="ET82">
            <v>0</v>
          </cell>
          <cell r="EU82">
            <v>5</v>
          </cell>
          <cell r="EV82">
            <v>70</v>
          </cell>
          <cell r="EW82" t="e">
            <v>#VALUE!</v>
          </cell>
          <cell r="EX82">
            <v>0</v>
          </cell>
          <cell r="EY82">
            <v>0</v>
          </cell>
          <cell r="EZ82">
            <v>86</v>
          </cell>
          <cell r="FA82" t="e">
            <v>#VALUE!</v>
          </cell>
          <cell r="FB82">
            <v>0</v>
          </cell>
          <cell r="FC82">
            <v>0</v>
          </cell>
          <cell r="FD82">
            <v>0</v>
          </cell>
          <cell r="FE82" t="e">
            <v>#VALUE!</v>
          </cell>
          <cell r="FF82">
            <v>0</v>
          </cell>
          <cell r="FG82">
            <v>19</v>
          </cell>
          <cell r="FH82">
            <v>81</v>
          </cell>
          <cell r="FI82" t="e">
            <v>#VALUE!</v>
          </cell>
          <cell r="FJ82">
            <v>0</v>
          </cell>
          <cell r="FK82">
            <v>0</v>
          </cell>
          <cell r="FL82">
            <v>95</v>
          </cell>
          <cell r="FM82" t="e">
            <v>#VALUE!</v>
          </cell>
          <cell r="FN82">
            <v>0</v>
          </cell>
          <cell r="FO82">
            <v>0</v>
          </cell>
          <cell r="FP82">
            <v>84</v>
          </cell>
          <cell r="FQ82" t="e">
            <v>#VALUE!</v>
          </cell>
          <cell r="FR82">
            <v>0</v>
          </cell>
          <cell r="FS82">
            <v>0</v>
          </cell>
          <cell r="FT82">
            <v>82</v>
          </cell>
          <cell r="FU82" t="e">
            <v>#VALUE!</v>
          </cell>
          <cell r="FV82">
            <v>0</v>
          </cell>
          <cell r="FW82">
            <v>0</v>
          </cell>
          <cell r="FX82">
            <v>85</v>
          </cell>
          <cell r="FY82" t="e">
            <v>#VALUE!</v>
          </cell>
          <cell r="FZ82">
            <v>0</v>
          </cell>
          <cell r="GA82">
            <v>0</v>
          </cell>
          <cell r="GB82">
            <v>95</v>
          </cell>
          <cell r="GC82" t="e">
            <v>#VALUE!</v>
          </cell>
          <cell r="GD82">
            <v>0</v>
          </cell>
          <cell r="GE82">
            <v>24</v>
          </cell>
          <cell r="GF82">
            <v>71</v>
          </cell>
          <cell r="GG82" t="e">
            <v>#VALUE!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F9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 t="str">
            <v>F9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 t="str">
            <v>F9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 t="str">
            <v>F9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str">
            <v>F9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 t="str">
            <v>F9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 t="str">
            <v>F9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F9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 t="str">
            <v>F9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 t="str">
            <v>F9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 t="str">
            <v>F9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 t="str">
            <v>F9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 t="str">
            <v>F9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 t="str">
            <v>F9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 t="str">
            <v>F9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 t="str">
            <v>F9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 t="str">
            <v>F9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 t="str">
            <v>F9</v>
          </cell>
          <cell r="DJ83">
            <v>0</v>
          </cell>
          <cell r="DK83">
            <v>0</v>
          </cell>
          <cell r="DL83">
            <v>0</v>
          </cell>
          <cell r="DM83" t="e">
            <v>#VALUE!</v>
          </cell>
          <cell r="DN83">
            <v>0</v>
          </cell>
          <cell r="DO83">
            <v>26</v>
          </cell>
          <cell r="DP83">
            <v>96</v>
          </cell>
          <cell r="DQ83" t="e">
            <v>#VALUE!</v>
          </cell>
          <cell r="DR83">
            <v>0</v>
          </cell>
          <cell r="DS83">
            <v>0</v>
          </cell>
          <cell r="DT83">
            <v>90</v>
          </cell>
          <cell r="DU83" t="e">
            <v>#VALUE!</v>
          </cell>
          <cell r="DV83">
            <v>0</v>
          </cell>
          <cell r="DW83">
            <v>0</v>
          </cell>
          <cell r="DX83">
            <v>78</v>
          </cell>
          <cell r="DY83" t="e">
            <v>#VALUE!</v>
          </cell>
          <cell r="DZ83">
            <v>0</v>
          </cell>
          <cell r="EA83">
            <v>10</v>
          </cell>
          <cell r="EB83">
            <v>93</v>
          </cell>
          <cell r="EC83" t="e">
            <v>#VALUE!</v>
          </cell>
          <cell r="ED83">
            <v>0</v>
          </cell>
          <cell r="EE83">
            <v>0</v>
          </cell>
          <cell r="EF83">
            <v>78</v>
          </cell>
          <cell r="EG83" t="e">
            <v>#VALUE!</v>
          </cell>
          <cell r="EH83">
            <v>0</v>
          </cell>
          <cell r="EI83">
            <v>36</v>
          </cell>
          <cell r="EJ83">
            <v>85</v>
          </cell>
          <cell r="EK83" t="e">
            <v>#VALUE!</v>
          </cell>
          <cell r="EL83">
            <v>0</v>
          </cell>
          <cell r="EM83">
            <v>0</v>
          </cell>
          <cell r="EN83">
            <v>87</v>
          </cell>
          <cell r="EO83" t="e">
            <v>#VALUE!</v>
          </cell>
          <cell r="EP83">
            <v>0</v>
          </cell>
          <cell r="EQ83">
            <v>0</v>
          </cell>
          <cell r="ER83">
            <v>100</v>
          </cell>
          <cell r="ES83" t="e">
            <v>#VALUE!</v>
          </cell>
          <cell r="ET83">
            <v>0</v>
          </cell>
          <cell r="EU83">
            <v>5</v>
          </cell>
          <cell r="EV83">
            <v>70</v>
          </cell>
          <cell r="EW83" t="e">
            <v>#VALUE!</v>
          </cell>
          <cell r="EX83">
            <v>0</v>
          </cell>
          <cell r="EY83">
            <v>0</v>
          </cell>
          <cell r="EZ83">
            <v>86</v>
          </cell>
          <cell r="FA83" t="e">
            <v>#VALUE!</v>
          </cell>
          <cell r="FB83">
            <v>0</v>
          </cell>
          <cell r="FC83">
            <v>0</v>
          </cell>
          <cell r="FD83">
            <v>0</v>
          </cell>
          <cell r="FE83" t="e">
            <v>#VALUE!</v>
          </cell>
          <cell r="FF83">
            <v>0</v>
          </cell>
          <cell r="FG83">
            <v>19</v>
          </cell>
          <cell r="FH83">
            <v>81</v>
          </cell>
          <cell r="FI83" t="e">
            <v>#VALUE!</v>
          </cell>
          <cell r="FJ83">
            <v>0</v>
          </cell>
          <cell r="FK83">
            <v>0</v>
          </cell>
          <cell r="FL83">
            <v>95</v>
          </cell>
          <cell r="FM83" t="e">
            <v>#VALUE!</v>
          </cell>
          <cell r="FN83">
            <v>0</v>
          </cell>
          <cell r="FO83">
            <v>0</v>
          </cell>
          <cell r="FP83">
            <v>84</v>
          </cell>
          <cell r="FQ83" t="e">
            <v>#VALUE!</v>
          </cell>
          <cell r="FR83">
            <v>0</v>
          </cell>
          <cell r="FS83">
            <v>0</v>
          </cell>
          <cell r="FT83">
            <v>82</v>
          </cell>
          <cell r="FU83" t="e">
            <v>#VALUE!</v>
          </cell>
          <cell r="FV83">
            <v>0</v>
          </cell>
          <cell r="FW83">
            <v>0</v>
          </cell>
          <cell r="FX83">
            <v>85</v>
          </cell>
          <cell r="FY83" t="e">
            <v>#VALUE!</v>
          </cell>
          <cell r="FZ83">
            <v>0</v>
          </cell>
          <cell r="GA83">
            <v>0</v>
          </cell>
          <cell r="GB83">
            <v>95</v>
          </cell>
          <cell r="GC83" t="e">
            <v>#VALUE!</v>
          </cell>
          <cell r="GD83">
            <v>0</v>
          </cell>
          <cell r="GE83">
            <v>24</v>
          </cell>
          <cell r="GF83">
            <v>71</v>
          </cell>
          <cell r="GG83" t="e">
            <v>#VALUE!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F9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 t="str">
            <v>F9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 t="str">
            <v>F9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 t="str">
            <v>F9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str">
            <v>F9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 t="str">
            <v>F9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 t="str">
            <v>F9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F9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 t="str">
            <v>F9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 t="str">
            <v>F9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 t="str">
            <v>F9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 t="str">
            <v>F9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 t="str">
            <v>F9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 t="str">
            <v>F9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 t="str">
            <v>F9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 t="str">
            <v>F9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 t="str">
            <v>F9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 t="str">
            <v>F9</v>
          </cell>
          <cell r="DJ84">
            <v>0</v>
          </cell>
          <cell r="DK84">
            <v>0</v>
          </cell>
          <cell r="DL84">
            <v>0</v>
          </cell>
          <cell r="DM84" t="e">
            <v>#VALUE!</v>
          </cell>
          <cell r="DN84">
            <v>0</v>
          </cell>
          <cell r="DO84">
            <v>26</v>
          </cell>
          <cell r="DP84">
            <v>96</v>
          </cell>
          <cell r="DQ84" t="e">
            <v>#VALUE!</v>
          </cell>
          <cell r="DR84">
            <v>0</v>
          </cell>
          <cell r="DS84">
            <v>0</v>
          </cell>
          <cell r="DT84">
            <v>90</v>
          </cell>
          <cell r="DU84" t="e">
            <v>#VALUE!</v>
          </cell>
          <cell r="DV84">
            <v>0</v>
          </cell>
          <cell r="DW84">
            <v>0</v>
          </cell>
          <cell r="DX84">
            <v>78</v>
          </cell>
          <cell r="DY84" t="e">
            <v>#VALUE!</v>
          </cell>
          <cell r="DZ84">
            <v>0</v>
          </cell>
          <cell r="EA84">
            <v>10</v>
          </cell>
          <cell r="EB84">
            <v>93</v>
          </cell>
          <cell r="EC84" t="e">
            <v>#VALUE!</v>
          </cell>
          <cell r="ED84">
            <v>0</v>
          </cell>
          <cell r="EE84">
            <v>0</v>
          </cell>
          <cell r="EF84">
            <v>78</v>
          </cell>
          <cell r="EG84" t="e">
            <v>#VALUE!</v>
          </cell>
          <cell r="EH84">
            <v>0</v>
          </cell>
          <cell r="EI84">
            <v>36</v>
          </cell>
          <cell r="EJ84">
            <v>85</v>
          </cell>
          <cell r="EK84" t="e">
            <v>#VALUE!</v>
          </cell>
          <cell r="EL84">
            <v>0</v>
          </cell>
          <cell r="EM84">
            <v>0</v>
          </cell>
          <cell r="EN84">
            <v>87</v>
          </cell>
          <cell r="EO84" t="e">
            <v>#VALUE!</v>
          </cell>
          <cell r="EP84">
            <v>0</v>
          </cell>
          <cell r="EQ84">
            <v>0</v>
          </cell>
          <cell r="ER84">
            <v>100</v>
          </cell>
          <cell r="ES84" t="e">
            <v>#VALUE!</v>
          </cell>
          <cell r="ET84">
            <v>0</v>
          </cell>
          <cell r="EU84">
            <v>5</v>
          </cell>
          <cell r="EV84">
            <v>70</v>
          </cell>
          <cell r="EW84" t="e">
            <v>#VALUE!</v>
          </cell>
          <cell r="EX84">
            <v>0</v>
          </cell>
          <cell r="EY84">
            <v>0</v>
          </cell>
          <cell r="EZ84">
            <v>86</v>
          </cell>
          <cell r="FA84" t="e">
            <v>#VALUE!</v>
          </cell>
          <cell r="FB84">
            <v>0</v>
          </cell>
          <cell r="FC84">
            <v>0</v>
          </cell>
          <cell r="FD84">
            <v>0</v>
          </cell>
          <cell r="FE84" t="e">
            <v>#VALUE!</v>
          </cell>
          <cell r="FF84">
            <v>0</v>
          </cell>
          <cell r="FG84">
            <v>19</v>
          </cell>
          <cell r="FH84">
            <v>81</v>
          </cell>
          <cell r="FI84" t="e">
            <v>#VALUE!</v>
          </cell>
          <cell r="FJ84">
            <v>0</v>
          </cell>
          <cell r="FK84">
            <v>0</v>
          </cell>
          <cell r="FL84">
            <v>95</v>
          </cell>
          <cell r="FM84" t="e">
            <v>#VALUE!</v>
          </cell>
          <cell r="FN84">
            <v>0</v>
          </cell>
          <cell r="FO84">
            <v>0</v>
          </cell>
          <cell r="FP84">
            <v>84</v>
          </cell>
          <cell r="FQ84" t="e">
            <v>#VALUE!</v>
          </cell>
          <cell r="FR84">
            <v>0</v>
          </cell>
          <cell r="FS84">
            <v>0</v>
          </cell>
          <cell r="FT84">
            <v>82</v>
          </cell>
          <cell r="FU84" t="e">
            <v>#VALUE!</v>
          </cell>
          <cell r="FV84">
            <v>0</v>
          </cell>
          <cell r="FW84">
            <v>0</v>
          </cell>
          <cell r="FX84">
            <v>85</v>
          </cell>
          <cell r="FY84" t="e">
            <v>#VALUE!</v>
          </cell>
          <cell r="FZ84">
            <v>0</v>
          </cell>
          <cell r="GA84">
            <v>0</v>
          </cell>
          <cell r="GB84">
            <v>95</v>
          </cell>
          <cell r="GC84" t="e">
            <v>#VALUE!</v>
          </cell>
          <cell r="GD84">
            <v>0</v>
          </cell>
          <cell r="GE84">
            <v>24</v>
          </cell>
          <cell r="GF84">
            <v>71</v>
          </cell>
          <cell r="GG84" t="e">
            <v>#VALUE!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F9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 t="str">
            <v>F9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 t="str">
            <v>F9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 t="str">
            <v>F9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str">
            <v>F9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 t="str">
            <v>F9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 t="str">
            <v>F9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F9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 t="str">
            <v>F9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 t="str">
            <v>F9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 t="str">
            <v>F9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 t="str">
            <v>F9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 t="str">
            <v>F9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 t="str">
            <v>F9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 t="str">
            <v>F9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 t="str">
            <v>F9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 t="str">
            <v>F9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 t="str">
            <v>F9</v>
          </cell>
          <cell r="DJ85">
            <v>0</v>
          </cell>
          <cell r="DK85">
            <v>0</v>
          </cell>
          <cell r="DL85">
            <v>0</v>
          </cell>
          <cell r="DM85" t="e">
            <v>#VALUE!</v>
          </cell>
          <cell r="DN85">
            <v>0</v>
          </cell>
          <cell r="DO85">
            <v>26</v>
          </cell>
          <cell r="DP85">
            <v>96</v>
          </cell>
          <cell r="DQ85" t="e">
            <v>#VALUE!</v>
          </cell>
          <cell r="DR85">
            <v>0</v>
          </cell>
          <cell r="DS85">
            <v>0</v>
          </cell>
          <cell r="DT85">
            <v>90</v>
          </cell>
          <cell r="DU85" t="e">
            <v>#VALUE!</v>
          </cell>
          <cell r="DV85">
            <v>0</v>
          </cell>
          <cell r="DW85">
            <v>0</v>
          </cell>
          <cell r="DX85">
            <v>78</v>
          </cell>
          <cell r="DY85" t="e">
            <v>#VALUE!</v>
          </cell>
          <cell r="DZ85">
            <v>0</v>
          </cell>
          <cell r="EA85">
            <v>10</v>
          </cell>
          <cell r="EB85">
            <v>93</v>
          </cell>
          <cell r="EC85" t="e">
            <v>#VALUE!</v>
          </cell>
          <cell r="ED85">
            <v>0</v>
          </cell>
          <cell r="EE85">
            <v>0</v>
          </cell>
          <cell r="EF85">
            <v>78</v>
          </cell>
          <cell r="EG85" t="e">
            <v>#VALUE!</v>
          </cell>
          <cell r="EH85">
            <v>0</v>
          </cell>
          <cell r="EI85">
            <v>36</v>
          </cell>
          <cell r="EJ85">
            <v>85</v>
          </cell>
          <cell r="EK85" t="e">
            <v>#VALUE!</v>
          </cell>
          <cell r="EL85">
            <v>0</v>
          </cell>
          <cell r="EM85">
            <v>0</v>
          </cell>
          <cell r="EN85">
            <v>87</v>
          </cell>
          <cell r="EO85" t="e">
            <v>#VALUE!</v>
          </cell>
          <cell r="EP85">
            <v>0</v>
          </cell>
          <cell r="EQ85">
            <v>0</v>
          </cell>
          <cell r="ER85">
            <v>100</v>
          </cell>
          <cell r="ES85" t="e">
            <v>#VALUE!</v>
          </cell>
          <cell r="ET85">
            <v>0</v>
          </cell>
          <cell r="EU85">
            <v>5</v>
          </cell>
          <cell r="EV85">
            <v>70</v>
          </cell>
          <cell r="EW85" t="e">
            <v>#VALUE!</v>
          </cell>
          <cell r="EX85">
            <v>0</v>
          </cell>
          <cell r="EY85">
            <v>0</v>
          </cell>
          <cell r="EZ85">
            <v>86</v>
          </cell>
          <cell r="FA85" t="e">
            <v>#VALUE!</v>
          </cell>
          <cell r="FB85">
            <v>0</v>
          </cell>
          <cell r="FC85">
            <v>0</v>
          </cell>
          <cell r="FD85">
            <v>0</v>
          </cell>
          <cell r="FE85" t="e">
            <v>#VALUE!</v>
          </cell>
          <cell r="FF85">
            <v>0</v>
          </cell>
          <cell r="FG85">
            <v>19</v>
          </cell>
          <cell r="FH85">
            <v>81</v>
          </cell>
          <cell r="FI85" t="e">
            <v>#VALUE!</v>
          </cell>
          <cell r="FJ85">
            <v>0</v>
          </cell>
          <cell r="FK85">
            <v>0</v>
          </cell>
          <cell r="FL85">
            <v>95</v>
          </cell>
          <cell r="FM85" t="e">
            <v>#VALUE!</v>
          </cell>
          <cell r="FN85">
            <v>0</v>
          </cell>
          <cell r="FO85">
            <v>0</v>
          </cell>
          <cell r="FP85">
            <v>84</v>
          </cell>
          <cell r="FQ85" t="e">
            <v>#VALUE!</v>
          </cell>
          <cell r="FR85">
            <v>0</v>
          </cell>
          <cell r="FS85">
            <v>0</v>
          </cell>
          <cell r="FT85">
            <v>82</v>
          </cell>
          <cell r="FU85" t="e">
            <v>#VALUE!</v>
          </cell>
          <cell r="FV85">
            <v>0</v>
          </cell>
          <cell r="FW85">
            <v>0</v>
          </cell>
          <cell r="FX85">
            <v>85</v>
          </cell>
          <cell r="FY85" t="e">
            <v>#VALUE!</v>
          </cell>
          <cell r="FZ85">
            <v>0</v>
          </cell>
          <cell r="GA85">
            <v>0</v>
          </cell>
          <cell r="GB85">
            <v>95</v>
          </cell>
          <cell r="GC85" t="e">
            <v>#VALUE!</v>
          </cell>
          <cell r="GD85">
            <v>0</v>
          </cell>
          <cell r="GE85">
            <v>24</v>
          </cell>
          <cell r="GF85">
            <v>71</v>
          </cell>
          <cell r="GG85" t="e">
            <v>#VALUE!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F9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 t="str">
            <v>F9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 t="str">
            <v>F9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 t="str">
            <v>F9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 t="str">
            <v>F9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 t="str">
            <v>F9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 t="str">
            <v>F9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F9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 t="str">
            <v>F9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 t="str">
            <v>F9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 t="str">
            <v>F9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 t="str">
            <v>F9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 t="str">
            <v>F9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 t="str">
            <v>F9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 t="str">
            <v>F9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 t="str">
            <v>F9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 t="str">
            <v>F9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 t="str">
            <v>F9</v>
          </cell>
          <cell r="DJ86">
            <v>0</v>
          </cell>
          <cell r="DK86">
            <v>0</v>
          </cell>
          <cell r="DL86">
            <v>0</v>
          </cell>
          <cell r="DM86" t="e">
            <v>#VALUE!</v>
          </cell>
          <cell r="DN86">
            <v>0</v>
          </cell>
          <cell r="DO86">
            <v>26</v>
          </cell>
          <cell r="DP86">
            <v>96</v>
          </cell>
          <cell r="DQ86" t="e">
            <v>#VALUE!</v>
          </cell>
          <cell r="DR86">
            <v>0</v>
          </cell>
          <cell r="DS86">
            <v>0</v>
          </cell>
          <cell r="DT86">
            <v>90</v>
          </cell>
          <cell r="DU86" t="e">
            <v>#VALUE!</v>
          </cell>
          <cell r="DV86">
            <v>0</v>
          </cell>
          <cell r="DW86">
            <v>0</v>
          </cell>
          <cell r="DX86">
            <v>78</v>
          </cell>
          <cell r="DY86" t="e">
            <v>#VALUE!</v>
          </cell>
          <cell r="DZ86">
            <v>0</v>
          </cell>
          <cell r="EA86">
            <v>10</v>
          </cell>
          <cell r="EB86">
            <v>93</v>
          </cell>
          <cell r="EC86" t="e">
            <v>#VALUE!</v>
          </cell>
          <cell r="ED86">
            <v>0</v>
          </cell>
          <cell r="EE86">
            <v>0</v>
          </cell>
          <cell r="EF86">
            <v>78</v>
          </cell>
          <cell r="EG86" t="e">
            <v>#VALUE!</v>
          </cell>
          <cell r="EH86">
            <v>0</v>
          </cell>
          <cell r="EI86">
            <v>36</v>
          </cell>
          <cell r="EJ86">
            <v>85</v>
          </cell>
          <cell r="EK86" t="e">
            <v>#VALUE!</v>
          </cell>
          <cell r="EL86">
            <v>0</v>
          </cell>
          <cell r="EM86">
            <v>0</v>
          </cell>
          <cell r="EN86">
            <v>87</v>
          </cell>
          <cell r="EO86" t="e">
            <v>#VALUE!</v>
          </cell>
          <cell r="EP86">
            <v>0</v>
          </cell>
          <cell r="EQ86">
            <v>0</v>
          </cell>
          <cell r="ER86">
            <v>100</v>
          </cell>
          <cell r="ES86" t="e">
            <v>#VALUE!</v>
          </cell>
          <cell r="ET86">
            <v>0</v>
          </cell>
          <cell r="EU86">
            <v>5</v>
          </cell>
          <cell r="EV86">
            <v>70</v>
          </cell>
          <cell r="EW86" t="e">
            <v>#VALUE!</v>
          </cell>
          <cell r="EX86">
            <v>0</v>
          </cell>
          <cell r="EY86">
            <v>0</v>
          </cell>
          <cell r="EZ86">
            <v>86</v>
          </cell>
          <cell r="FA86" t="e">
            <v>#VALUE!</v>
          </cell>
          <cell r="FB86">
            <v>0</v>
          </cell>
          <cell r="FC86">
            <v>0</v>
          </cell>
          <cell r="FD86">
            <v>0</v>
          </cell>
          <cell r="FE86" t="e">
            <v>#VALUE!</v>
          </cell>
          <cell r="FF86">
            <v>0</v>
          </cell>
          <cell r="FG86">
            <v>19</v>
          </cell>
          <cell r="FH86">
            <v>81</v>
          </cell>
          <cell r="FI86" t="e">
            <v>#VALUE!</v>
          </cell>
          <cell r="FJ86">
            <v>0</v>
          </cell>
          <cell r="FK86">
            <v>0</v>
          </cell>
          <cell r="FL86">
            <v>95</v>
          </cell>
          <cell r="FM86" t="e">
            <v>#VALUE!</v>
          </cell>
          <cell r="FN86">
            <v>0</v>
          </cell>
          <cell r="FO86">
            <v>0</v>
          </cell>
          <cell r="FP86">
            <v>84</v>
          </cell>
          <cell r="FQ86" t="e">
            <v>#VALUE!</v>
          </cell>
          <cell r="FR86">
            <v>0</v>
          </cell>
          <cell r="FS86">
            <v>0</v>
          </cell>
          <cell r="FT86">
            <v>82</v>
          </cell>
          <cell r="FU86" t="e">
            <v>#VALUE!</v>
          </cell>
          <cell r="FV86">
            <v>0</v>
          </cell>
          <cell r="FW86">
            <v>0</v>
          </cell>
          <cell r="FX86">
            <v>85</v>
          </cell>
          <cell r="FY86" t="e">
            <v>#VALUE!</v>
          </cell>
          <cell r="FZ86">
            <v>0</v>
          </cell>
          <cell r="GA86">
            <v>0</v>
          </cell>
          <cell r="GB86">
            <v>95</v>
          </cell>
          <cell r="GC86" t="e">
            <v>#VALUE!</v>
          </cell>
          <cell r="GD86">
            <v>0</v>
          </cell>
          <cell r="GE86">
            <v>24</v>
          </cell>
          <cell r="GF86">
            <v>71</v>
          </cell>
          <cell r="GG86" t="e">
            <v>#VALUE!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F9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 t="str">
            <v>F9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 t="str">
            <v>F9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 t="str">
            <v>F9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 t="str">
            <v>F9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 t="str">
            <v>F9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 t="str">
            <v>F9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F9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 t="str">
            <v>F9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 t="str">
            <v>F9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 t="str">
            <v>F9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 t="str">
            <v>F9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 t="str">
            <v>F9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 t="str">
            <v>F9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 t="str">
            <v>F9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 t="str">
            <v>F9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 t="str">
            <v>F9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 t="str">
            <v>F9</v>
          </cell>
          <cell r="DJ87">
            <v>0</v>
          </cell>
          <cell r="DK87">
            <v>0</v>
          </cell>
          <cell r="DL87">
            <v>0</v>
          </cell>
          <cell r="DM87" t="e">
            <v>#VALUE!</v>
          </cell>
          <cell r="DN87">
            <v>0</v>
          </cell>
          <cell r="DO87">
            <v>26</v>
          </cell>
          <cell r="DP87">
            <v>96</v>
          </cell>
          <cell r="DQ87" t="e">
            <v>#VALUE!</v>
          </cell>
          <cell r="DR87">
            <v>0</v>
          </cell>
          <cell r="DS87">
            <v>0</v>
          </cell>
          <cell r="DT87">
            <v>90</v>
          </cell>
          <cell r="DU87" t="e">
            <v>#VALUE!</v>
          </cell>
          <cell r="DV87">
            <v>0</v>
          </cell>
          <cell r="DW87">
            <v>0</v>
          </cell>
          <cell r="DX87">
            <v>78</v>
          </cell>
          <cell r="DY87" t="e">
            <v>#VALUE!</v>
          </cell>
          <cell r="DZ87">
            <v>0</v>
          </cell>
          <cell r="EA87">
            <v>10</v>
          </cell>
          <cell r="EB87">
            <v>93</v>
          </cell>
          <cell r="EC87" t="e">
            <v>#VALUE!</v>
          </cell>
          <cell r="ED87">
            <v>0</v>
          </cell>
          <cell r="EE87">
            <v>0</v>
          </cell>
          <cell r="EF87">
            <v>78</v>
          </cell>
          <cell r="EG87" t="e">
            <v>#VALUE!</v>
          </cell>
          <cell r="EH87">
            <v>0</v>
          </cell>
          <cell r="EI87">
            <v>36</v>
          </cell>
          <cell r="EJ87">
            <v>85</v>
          </cell>
          <cell r="EK87" t="e">
            <v>#VALUE!</v>
          </cell>
          <cell r="EL87">
            <v>0</v>
          </cell>
          <cell r="EM87">
            <v>0</v>
          </cell>
          <cell r="EN87">
            <v>87</v>
          </cell>
          <cell r="EO87" t="e">
            <v>#VALUE!</v>
          </cell>
          <cell r="EP87">
            <v>0</v>
          </cell>
          <cell r="EQ87">
            <v>0</v>
          </cell>
          <cell r="ER87">
            <v>100</v>
          </cell>
          <cell r="ES87" t="e">
            <v>#VALUE!</v>
          </cell>
          <cell r="ET87">
            <v>0</v>
          </cell>
          <cell r="EU87">
            <v>5</v>
          </cell>
          <cell r="EV87">
            <v>70</v>
          </cell>
          <cell r="EW87" t="e">
            <v>#VALUE!</v>
          </cell>
          <cell r="EX87">
            <v>0</v>
          </cell>
          <cell r="EY87">
            <v>0</v>
          </cell>
          <cell r="EZ87">
            <v>86</v>
          </cell>
          <cell r="FA87" t="e">
            <v>#VALUE!</v>
          </cell>
          <cell r="FB87">
            <v>0</v>
          </cell>
          <cell r="FC87">
            <v>0</v>
          </cell>
          <cell r="FD87">
            <v>0</v>
          </cell>
          <cell r="FE87" t="e">
            <v>#VALUE!</v>
          </cell>
          <cell r="FF87">
            <v>0</v>
          </cell>
          <cell r="FG87">
            <v>19</v>
          </cell>
          <cell r="FH87">
            <v>81</v>
          </cell>
          <cell r="FI87" t="e">
            <v>#VALUE!</v>
          </cell>
          <cell r="FJ87">
            <v>0</v>
          </cell>
          <cell r="FK87">
            <v>0</v>
          </cell>
          <cell r="FL87">
            <v>95</v>
          </cell>
          <cell r="FM87" t="e">
            <v>#VALUE!</v>
          </cell>
          <cell r="FN87">
            <v>0</v>
          </cell>
          <cell r="FO87">
            <v>0</v>
          </cell>
          <cell r="FP87">
            <v>84</v>
          </cell>
          <cell r="FQ87" t="e">
            <v>#VALUE!</v>
          </cell>
          <cell r="FR87">
            <v>0</v>
          </cell>
          <cell r="FS87">
            <v>0</v>
          </cell>
          <cell r="FT87">
            <v>82</v>
          </cell>
          <cell r="FU87" t="e">
            <v>#VALUE!</v>
          </cell>
          <cell r="FV87">
            <v>0</v>
          </cell>
          <cell r="FW87">
            <v>0</v>
          </cell>
          <cell r="FX87">
            <v>85</v>
          </cell>
          <cell r="FY87" t="e">
            <v>#VALUE!</v>
          </cell>
          <cell r="FZ87">
            <v>0</v>
          </cell>
          <cell r="GA87">
            <v>0</v>
          </cell>
          <cell r="GB87">
            <v>95</v>
          </cell>
          <cell r="GC87" t="e">
            <v>#VALUE!</v>
          </cell>
          <cell r="GD87">
            <v>0</v>
          </cell>
          <cell r="GE87">
            <v>24</v>
          </cell>
          <cell r="GF87">
            <v>71</v>
          </cell>
          <cell r="GG87" t="e">
            <v>#VALUE!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F9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 t="str">
            <v>F9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 t="str">
            <v>F9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 t="str">
            <v>F9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str">
            <v>F9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 t="str">
            <v>F9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 t="str">
            <v>F9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 t="str">
            <v>F9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 t="str">
            <v>F9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 t="str">
            <v>F9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 t="str">
            <v>F9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 t="str">
            <v>F9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 t="str">
            <v>F9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 t="str">
            <v>F9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 t="str">
            <v>F9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 t="str">
            <v>F9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 t="str">
            <v>F9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 t="str">
            <v>F9</v>
          </cell>
          <cell r="DJ88">
            <v>0</v>
          </cell>
          <cell r="DK88">
            <v>0</v>
          </cell>
          <cell r="DL88">
            <v>0</v>
          </cell>
          <cell r="DM88" t="e">
            <v>#VALUE!</v>
          </cell>
          <cell r="DN88">
            <v>0</v>
          </cell>
          <cell r="DO88">
            <v>26</v>
          </cell>
          <cell r="DP88">
            <v>96</v>
          </cell>
          <cell r="DQ88" t="e">
            <v>#VALUE!</v>
          </cell>
          <cell r="DR88">
            <v>0</v>
          </cell>
          <cell r="DS88">
            <v>0</v>
          </cell>
          <cell r="DT88">
            <v>90</v>
          </cell>
          <cell r="DU88" t="e">
            <v>#VALUE!</v>
          </cell>
          <cell r="DV88">
            <v>0</v>
          </cell>
          <cell r="DW88">
            <v>0</v>
          </cell>
          <cell r="DX88">
            <v>78</v>
          </cell>
          <cell r="DY88" t="e">
            <v>#VALUE!</v>
          </cell>
          <cell r="DZ88">
            <v>0</v>
          </cell>
          <cell r="EA88">
            <v>10</v>
          </cell>
          <cell r="EB88">
            <v>93</v>
          </cell>
          <cell r="EC88" t="e">
            <v>#VALUE!</v>
          </cell>
          <cell r="ED88">
            <v>0</v>
          </cell>
          <cell r="EE88">
            <v>0</v>
          </cell>
          <cell r="EF88">
            <v>78</v>
          </cell>
          <cell r="EG88" t="e">
            <v>#VALUE!</v>
          </cell>
          <cell r="EH88">
            <v>0</v>
          </cell>
          <cell r="EI88">
            <v>36</v>
          </cell>
          <cell r="EJ88">
            <v>85</v>
          </cell>
          <cell r="EK88" t="e">
            <v>#VALUE!</v>
          </cell>
          <cell r="EL88">
            <v>0</v>
          </cell>
          <cell r="EM88">
            <v>0</v>
          </cell>
          <cell r="EN88">
            <v>87</v>
          </cell>
          <cell r="EO88" t="e">
            <v>#VALUE!</v>
          </cell>
          <cell r="EP88">
            <v>0</v>
          </cell>
          <cell r="EQ88">
            <v>0</v>
          </cell>
          <cell r="ER88">
            <v>100</v>
          </cell>
          <cell r="ES88" t="e">
            <v>#VALUE!</v>
          </cell>
          <cell r="ET88">
            <v>0</v>
          </cell>
          <cell r="EU88">
            <v>5</v>
          </cell>
          <cell r="EV88">
            <v>70</v>
          </cell>
          <cell r="EW88" t="e">
            <v>#VALUE!</v>
          </cell>
          <cell r="EX88">
            <v>0</v>
          </cell>
          <cell r="EY88">
            <v>0</v>
          </cell>
          <cell r="EZ88">
            <v>86</v>
          </cell>
          <cell r="FA88" t="e">
            <v>#VALUE!</v>
          </cell>
          <cell r="FB88">
            <v>0</v>
          </cell>
          <cell r="FC88">
            <v>0</v>
          </cell>
          <cell r="FD88">
            <v>0</v>
          </cell>
          <cell r="FE88" t="e">
            <v>#VALUE!</v>
          </cell>
          <cell r="FF88">
            <v>0</v>
          </cell>
          <cell r="FG88">
            <v>19</v>
          </cell>
          <cell r="FH88">
            <v>81</v>
          </cell>
          <cell r="FI88" t="e">
            <v>#VALUE!</v>
          </cell>
          <cell r="FJ88">
            <v>0</v>
          </cell>
          <cell r="FK88">
            <v>0</v>
          </cell>
          <cell r="FL88">
            <v>95</v>
          </cell>
          <cell r="FM88" t="e">
            <v>#VALUE!</v>
          </cell>
          <cell r="FN88">
            <v>0</v>
          </cell>
          <cell r="FO88">
            <v>0</v>
          </cell>
          <cell r="FP88">
            <v>84</v>
          </cell>
          <cell r="FQ88" t="e">
            <v>#VALUE!</v>
          </cell>
          <cell r="FR88">
            <v>0</v>
          </cell>
          <cell r="FS88">
            <v>0</v>
          </cell>
          <cell r="FT88">
            <v>82</v>
          </cell>
          <cell r="FU88" t="e">
            <v>#VALUE!</v>
          </cell>
          <cell r="FV88">
            <v>0</v>
          </cell>
          <cell r="FW88">
            <v>0</v>
          </cell>
          <cell r="FX88">
            <v>85</v>
          </cell>
          <cell r="FY88" t="e">
            <v>#VALUE!</v>
          </cell>
          <cell r="FZ88">
            <v>0</v>
          </cell>
          <cell r="GA88">
            <v>0</v>
          </cell>
          <cell r="GB88">
            <v>95</v>
          </cell>
          <cell r="GC88" t="e">
            <v>#VALUE!</v>
          </cell>
          <cell r="GD88">
            <v>0</v>
          </cell>
          <cell r="GE88">
            <v>24</v>
          </cell>
          <cell r="GF88">
            <v>71</v>
          </cell>
          <cell r="GG88" t="e">
            <v>#VALUE!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F9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 t="str">
            <v>F9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 t="str">
            <v>F9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 t="str">
            <v>F9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str">
            <v>F9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 t="str">
            <v>F9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 t="str">
            <v>F9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F9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 t="str">
            <v>F9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 t="str">
            <v>F9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 t="str">
            <v>F9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 t="str">
            <v>F9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 t="str">
            <v>F9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 t="str">
            <v>F9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 t="str">
            <v>F9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 t="str">
            <v>F9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 t="str">
            <v>F9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 t="str">
            <v>F9</v>
          </cell>
          <cell r="DJ89">
            <v>0</v>
          </cell>
          <cell r="DK89">
            <v>0</v>
          </cell>
          <cell r="DL89">
            <v>0</v>
          </cell>
          <cell r="DM89" t="e">
            <v>#VALUE!</v>
          </cell>
          <cell r="DN89">
            <v>0</v>
          </cell>
          <cell r="DO89">
            <v>26</v>
          </cell>
          <cell r="DP89">
            <v>96</v>
          </cell>
          <cell r="DQ89" t="e">
            <v>#VALUE!</v>
          </cell>
          <cell r="DR89">
            <v>0</v>
          </cell>
          <cell r="DS89">
            <v>0</v>
          </cell>
          <cell r="DT89">
            <v>90</v>
          </cell>
          <cell r="DU89" t="e">
            <v>#VALUE!</v>
          </cell>
          <cell r="DV89">
            <v>0</v>
          </cell>
          <cell r="DW89">
            <v>0</v>
          </cell>
          <cell r="DX89">
            <v>78</v>
          </cell>
          <cell r="DY89" t="e">
            <v>#VALUE!</v>
          </cell>
          <cell r="DZ89">
            <v>0</v>
          </cell>
          <cell r="EA89">
            <v>10</v>
          </cell>
          <cell r="EB89">
            <v>93</v>
          </cell>
          <cell r="EC89" t="e">
            <v>#VALUE!</v>
          </cell>
          <cell r="ED89">
            <v>0</v>
          </cell>
          <cell r="EE89">
            <v>0</v>
          </cell>
          <cell r="EF89">
            <v>78</v>
          </cell>
          <cell r="EG89" t="e">
            <v>#VALUE!</v>
          </cell>
          <cell r="EH89">
            <v>0</v>
          </cell>
          <cell r="EI89">
            <v>36</v>
          </cell>
          <cell r="EJ89">
            <v>85</v>
          </cell>
          <cell r="EK89" t="e">
            <v>#VALUE!</v>
          </cell>
          <cell r="EL89">
            <v>0</v>
          </cell>
          <cell r="EM89">
            <v>0</v>
          </cell>
          <cell r="EN89">
            <v>87</v>
          </cell>
          <cell r="EO89" t="e">
            <v>#VALUE!</v>
          </cell>
          <cell r="EP89">
            <v>0</v>
          </cell>
          <cell r="EQ89">
            <v>0</v>
          </cell>
          <cell r="ER89">
            <v>100</v>
          </cell>
          <cell r="ES89" t="e">
            <v>#VALUE!</v>
          </cell>
          <cell r="ET89">
            <v>0</v>
          </cell>
          <cell r="EU89">
            <v>5</v>
          </cell>
          <cell r="EV89">
            <v>70</v>
          </cell>
          <cell r="EW89" t="e">
            <v>#VALUE!</v>
          </cell>
          <cell r="EX89">
            <v>0</v>
          </cell>
          <cell r="EY89">
            <v>0</v>
          </cell>
          <cell r="EZ89">
            <v>86</v>
          </cell>
          <cell r="FA89" t="e">
            <v>#VALUE!</v>
          </cell>
          <cell r="FB89">
            <v>0</v>
          </cell>
          <cell r="FC89">
            <v>0</v>
          </cell>
          <cell r="FD89">
            <v>0</v>
          </cell>
          <cell r="FE89" t="e">
            <v>#VALUE!</v>
          </cell>
          <cell r="FF89">
            <v>0</v>
          </cell>
          <cell r="FG89">
            <v>19</v>
          </cell>
          <cell r="FH89">
            <v>81</v>
          </cell>
          <cell r="FI89" t="e">
            <v>#VALUE!</v>
          </cell>
          <cell r="FJ89">
            <v>0</v>
          </cell>
          <cell r="FK89">
            <v>0</v>
          </cell>
          <cell r="FL89">
            <v>95</v>
          </cell>
          <cell r="FM89" t="e">
            <v>#VALUE!</v>
          </cell>
          <cell r="FN89">
            <v>0</v>
          </cell>
          <cell r="FO89">
            <v>0</v>
          </cell>
          <cell r="FP89">
            <v>84</v>
          </cell>
          <cell r="FQ89" t="e">
            <v>#VALUE!</v>
          </cell>
          <cell r="FR89">
            <v>0</v>
          </cell>
          <cell r="FS89">
            <v>0</v>
          </cell>
          <cell r="FT89">
            <v>82</v>
          </cell>
          <cell r="FU89" t="e">
            <v>#VALUE!</v>
          </cell>
          <cell r="FV89">
            <v>0</v>
          </cell>
          <cell r="FW89">
            <v>0</v>
          </cell>
          <cell r="FX89">
            <v>85</v>
          </cell>
          <cell r="FY89" t="e">
            <v>#VALUE!</v>
          </cell>
          <cell r="FZ89">
            <v>0</v>
          </cell>
          <cell r="GA89">
            <v>0</v>
          </cell>
          <cell r="GB89">
            <v>95</v>
          </cell>
          <cell r="GC89" t="e">
            <v>#VALUE!</v>
          </cell>
          <cell r="GD89">
            <v>0</v>
          </cell>
          <cell r="GE89">
            <v>24</v>
          </cell>
          <cell r="GF89">
            <v>71</v>
          </cell>
          <cell r="GG89" t="e">
            <v>#VALUE!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F9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 t="str">
            <v>F9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 t="str">
            <v>F9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 t="str">
            <v>F9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F9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 t="str">
            <v>F9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 t="str">
            <v>F9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F9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 t="str">
            <v>F9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 t="str">
            <v>F9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 t="str">
            <v>F9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 t="str">
            <v>F9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 t="str">
            <v>F9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 t="str">
            <v>F9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 t="str">
            <v>F9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 t="str">
            <v>F9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 t="str">
            <v>F9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 t="str">
            <v>F9</v>
          </cell>
          <cell r="DJ90">
            <v>0</v>
          </cell>
          <cell r="DK90">
            <v>0</v>
          </cell>
          <cell r="DL90">
            <v>0</v>
          </cell>
          <cell r="DM90" t="e">
            <v>#VALUE!</v>
          </cell>
          <cell r="DN90">
            <v>0</v>
          </cell>
          <cell r="DO90">
            <v>26</v>
          </cell>
          <cell r="DP90">
            <v>96</v>
          </cell>
          <cell r="DQ90" t="e">
            <v>#VALUE!</v>
          </cell>
          <cell r="DR90">
            <v>0</v>
          </cell>
          <cell r="DS90">
            <v>0</v>
          </cell>
          <cell r="DT90">
            <v>90</v>
          </cell>
          <cell r="DU90" t="e">
            <v>#VALUE!</v>
          </cell>
          <cell r="DV90">
            <v>0</v>
          </cell>
          <cell r="DW90">
            <v>0</v>
          </cell>
          <cell r="DX90">
            <v>78</v>
          </cell>
          <cell r="DY90" t="e">
            <v>#VALUE!</v>
          </cell>
          <cell r="DZ90">
            <v>0</v>
          </cell>
          <cell r="EA90">
            <v>10</v>
          </cell>
          <cell r="EB90">
            <v>93</v>
          </cell>
          <cell r="EC90" t="e">
            <v>#VALUE!</v>
          </cell>
          <cell r="ED90">
            <v>0</v>
          </cell>
          <cell r="EE90">
            <v>0</v>
          </cell>
          <cell r="EF90">
            <v>78</v>
          </cell>
          <cell r="EG90" t="e">
            <v>#VALUE!</v>
          </cell>
          <cell r="EH90">
            <v>0</v>
          </cell>
          <cell r="EI90">
            <v>36</v>
          </cell>
          <cell r="EJ90">
            <v>85</v>
          </cell>
          <cell r="EK90" t="e">
            <v>#VALUE!</v>
          </cell>
          <cell r="EL90">
            <v>0</v>
          </cell>
          <cell r="EM90">
            <v>0</v>
          </cell>
          <cell r="EN90">
            <v>87</v>
          </cell>
          <cell r="EO90" t="e">
            <v>#VALUE!</v>
          </cell>
          <cell r="EP90">
            <v>0</v>
          </cell>
          <cell r="EQ90">
            <v>0</v>
          </cell>
          <cell r="ER90">
            <v>100</v>
          </cell>
          <cell r="ES90" t="e">
            <v>#VALUE!</v>
          </cell>
          <cell r="ET90">
            <v>0</v>
          </cell>
          <cell r="EU90">
            <v>5</v>
          </cell>
          <cell r="EV90">
            <v>70</v>
          </cell>
          <cell r="EW90" t="e">
            <v>#VALUE!</v>
          </cell>
          <cell r="EX90">
            <v>0</v>
          </cell>
          <cell r="EY90">
            <v>0</v>
          </cell>
          <cell r="EZ90">
            <v>86</v>
          </cell>
          <cell r="FA90" t="e">
            <v>#VALUE!</v>
          </cell>
          <cell r="FB90">
            <v>0</v>
          </cell>
          <cell r="FC90">
            <v>0</v>
          </cell>
          <cell r="FD90">
            <v>0</v>
          </cell>
          <cell r="FE90" t="e">
            <v>#VALUE!</v>
          </cell>
          <cell r="FF90">
            <v>0</v>
          </cell>
          <cell r="FG90">
            <v>19</v>
          </cell>
          <cell r="FH90">
            <v>81</v>
          </cell>
          <cell r="FI90" t="e">
            <v>#VALUE!</v>
          </cell>
          <cell r="FJ90">
            <v>0</v>
          </cell>
          <cell r="FK90">
            <v>0</v>
          </cell>
          <cell r="FL90">
            <v>95</v>
          </cell>
          <cell r="FM90" t="e">
            <v>#VALUE!</v>
          </cell>
          <cell r="FN90">
            <v>0</v>
          </cell>
          <cell r="FO90">
            <v>0</v>
          </cell>
          <cell r="FP90">
            <v>84</v>
          </cell>
          <cell r="FQ90" t="e">
            <v>#VALUE!</v>
          </cell>
          <cell r="FR90">
            <v>0</v>
          </cell>
          <cell r="FS90">
            <v>0</v>
          </cell>
          <cell r="FT90">
            <v>82</v>
          </cell>
          <cell r="FU90" t="e">
            <v>#VALUE!</v>
          </cell>
          <cell r="FV90">
            <v>0</v>
          </cell>
          <cell r="FW90">
            <v>0</v>
          </cell>
          <cell r="FX90">
            <v>85</v>
          </cell>
          <cell r="FY90" t="e">
            <v>#VALUE!</v>
          </cell>
          <cell r="FZ90">
            <v>0</v>
          </cell>
          <cell r="GA90">
            <v>0</v>
          </cell>
          <cell r="GB90">
            <v>95</v>
          </cell>
          <cell r="GC90" t="e">
            <v>#VALUE!</v>
          </cell>
          <cell r="GD90">
            <v>0</v>
          </cell>
          <cell r="GE90">
            <v>24</v>
          </cell>
          <cell r="GF90">
            <v>71</v>
          </cell>
          <cell r="GG90" t="e">
            <v>#VALUE!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F9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 t="str">
            <v>F9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 t="str">
            <v>F9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 t="str">
            <v>F9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 t="str">
            <v>F9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 t="str">
            <v>F9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 t="str">
            <v>F9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 t="str">
            <v>F9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 t="str">
            <v>F9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 t="str">
            <v>F9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 t="str">
            <v>F9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 t="str">
            <v>F9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 t="str">
            <v>F9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 t="str">
            <v>F9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 t="str">
            <v>F9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 t="str">
            <v>F9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 t="str">
            <v>F9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 t="str">
            <v>F9</v>
          </cell>
          <cell r="DJ91">
            <v>0</v>
          </cell>
          <cell r="DK91">
            <v>0</v>
          </cell>
          <cell r="DL91">
            <v>0</v>
          </cell>
          <cell r="DM91" t="e">
            <v>#VALUE!</v>
          </cell>
          <cell r="DN91">
            <v>0</v>
          </cell>
          <cell r="DO91">
            <v>26</v>
          </cell>
          <cell r="DP91">
            <v>96</v>
          </cell>
          <cell r="DQ91" t="e">
            <v>#VALUE!</v>
          </cell>
          <cell r="DR91">
            <v>0</v>
          </cell>
          <cell r="DS91">
            <v>0</v>
          </cell>
          <cell r="DT91">
            <v>90</v>
          </cell>
          <cell r="DU91" t="e">
            <v>#VALUE!</v>
          </cell>
          <cell r="DV91">
            <v>0</v>
          </cell>
          <cell r="DW91">
            <v>0</v>
          </cell>
          <cell r="DX91">
            <v>78</v>
          </cell>
          <cell r="DY91" t="e">
            <v>#VALUE!</v>
          </cell>
          <cell r="DZ91">
            <v>0</v>
          </cell>
          <cell r="EA91">
            <v>10</v>
          </cell>
          <cell r="EB91">
            <v>93</v>
          </cell>
          <cell r="EC91" t="e">
            <v>#VALUE!</v>
          </cell>
          <cell r="ED91">
            <v>0</v>
          </cell>
          <cell r="EE91">
            <v>0</v>
          </cell>
          <cell r="EF91">
            <v>78</v>
          </cell>
          <cell r="EG91" t="e">
            <v>#VALUE!</v>
          </cell>
          <cell r="EH91">
            <v>0</v>
          </cell>
          <cell r="EI91">
            <v>36</v>
          </cell>
          <cell r="EJ91">
            <v>85</v>
          </cell>
          <cell r="EK91" t="e">
            <v>#VALUE!</v>
          </cell>
          <cell r="EL91">
            <v>0</v>
          </cell>
          <cell r="EM91">
            <v>0</v>
          </cell>
          <cell r="EN91">
            <v>87</v>
          </cell>
          <cell r="EO91" t="e">
            <v>#VALUE!</v>
          </cell>
          <cell r="EP91">
            <v>0</v>
          </cell>
          <cell r="EQ91">
            <v>0</v>
          </cell>
          <cell r="ER91">
            <v>100</v>
          </cell>
          <cell r="ES91" t="e">
            <v>#VALUE!</v>
          </cell>
          <cell r="ET91">
            <v>0</v>
          </cell>
          <cell r="EU91">
            <v>5</v>
          </cell>
          <cell r="EV91">
            <v>70</v>
          </cell>
          <cell r="EW91" t="e">
            <v>#VALUE!</v>
          </cell>
          <cell r="EX91">
            <v>0</v>
          </cell>
          <cell r="EY91">
            <v>0</v>
          </cell>
          <cell r="EZ91">
            <v>86</v>
          </cell>
          <cell r="FA91" t="e">
            <v>#VALUE!</v>
          </cell>
          <cell r="FB91">
            <v>0</v>
          </cell>
          <cell r="FC91">
            <v>0</v>
          </cell>
          <cell r="FD91">
            <v>0</v>
          </cell>
          <cell r="FE91" t="e">
            <v>#VALUE!</v>
          </cell>
          <cell r="FF91">
            <v>0</v>
          </cell>
          <cell r="FG91">
            <v>19</v>
          </cell>
          <cell r="FH91">
            <v>81</v>
          </cell>
          <cell r="FI91" t="e">
            <v>#VALUE!</v>
          </cell>
          <cell r="FJ91">
            <v>0</v>
          </cell>
          <cell r="FK91">
            <v>0</v>
          </cell>
          <cell r="FL91">
            <v>95</v>
          </cell>
          <cell r="FM91" t="e">
            <v>#VALUE!</v>
          </cell>
          <cell r="FN91">
            <v>0</v>
          </cell>
          <cell r="FO91">
            <v>0</v>
          </cell>
          <cell r="FP91">
            <v>84</v>
          </cell>
          <cell r="FQ91" t="e">
            <v>#VALUE!</v>
          </cell>
          <cell r="FR91">
            <v>0</v>
          </cell>
          <cell r="FS91">
            <v>0</v>
          </cell>
          <cell r="FT91">
            <v>82</v>
          </cell>
          <cell r="FU91" t="e">
            <v>#VALUE!</v>
          </cell>
          <cell r="FV91">
            <v>0</v>
          </cell>
          <cell r="FW91">
            <v>0</v>
          </cell>
          <cell r="FX91">
            <v>85</v>
          </cell>
          <cell r="FY91" t="e">
            <v>#VALUE!</v>
          </cell>
          <cell r="FZ91">
            <v>0</v>
          </cell>
          <cell r="GA91">
            <v>0</v>
          </cell>
          <cell r="GB91">
            <v>95</v>
          </cell>
          <cell r="GC91" t="e">
            <v>#VALUE!</v>
          </cell>
          <cell r="GD91">
            <v>0</v>
          </cell>
          <cell r="GE91">
            <v>24</v>
          </cell>
          <cell r="GF91">
            <v>71</v>
          </cell>
          <cell r="GG91" t="e">
            <v>#VALUE!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F9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 t="str">
            <v>F9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 t="str">
            <v>F9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 t="str">
            <v>F9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F9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 t="str">
            <v>F9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 t="str">
            <v>F9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F9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 t="str">
            <v>F9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 t="str">
            <v>F9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 t="str">
            <v>F9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 t="str">
            <v>F9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 t="str">
            <v>F9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 t="str">
            <v>F9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 t="str">
            <v>F9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 t="str">
            <v>F9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 t="str">
            <v>F9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 t="str">
            <v>F9</v>
          </cell>
          <cell r="DJ92">
            <v>0</v>
          </cell>
          <cell r="DK92">
            <v>0</v>
          </cell>
          <cell r="DL92">
            <v>0</v>
          </cell>
          <cell r="DM92" t="e">
            <v>#VALUE!</v>
          </cell>
          <cell r="DN92">
            <v>0</v>
          </cell>
          <cell r="DO92">
            <v>26</v>
          </cell>
          <cell r="DP92">
            <v>96</v>
          </cell>
          <cell r="DQ92" t="e">
            <v>#VALUE!</v>
          </cell>
          <cell r="DR92">
            <v>0</v>
          </cell>
          <cell r="DS92">
            <v>0</v>
          </cell>
          <cell r="DT92">
            <v>90</v>
          </cell>
          <cell r="DU92" t="e">
            <v>#VALUE!</v>
          </cell>
          <cell r="DV92">
            <v>0</v>
          </cell>
          <cell r="DW92">
            <v>0</v>
          </cell>
          <cell r="DX92">
            <v>78</v>
          </cell>
          <cell r="DY92" t="e">
            <v>#VALUE!</v>
          </cell>
          <cell r="DZ92">
            <v>0</v>
          </cell>
          <cell r="EA92">
            <v>10</v>
          </cell>
          <cell r="EB92">
            <v>93</v>
          </cell>
          <cell r="EC92" t="e">
            <v>#VALUE!</v>
          </cell>
          <cell r="ED92">
            <v>0</v>
          </cell>
          <cell r="EE92">
            <v>0</v>
          </cell>
          <cell r="EF92">
            <v>78</v>
          </cell>
          <cell r="EG92" t="e">
            <v>#VALUE!</v>
          </cell>
          <cell r="EH92">
            <v>0</v>
          </cell>
          <cell r="EI92">
            <v>36</v>
          </cell>
          <cell r="EJ92">
            <v>85</v>
          </cell>
          <cell r="EK92" t="e">
            <v>#VALUE!</v>
          </cell>
          <cell r="EL92">
            <v>0</v>
          </cell>
          <cell r="EM92">
            <v>0</v>
          </cell>
          <cell r="EN92">
            <v>87</v>
          </cell>
          <cell r="EO92" t="e">
            <v>#VALUE!</v>
          </cell>
          <cell r="EP92">
            <v>0</v>
          </cell>
          <cell r="EQ92">
            <v>0</v>
          </cell>
          <cell r="ER92">
            <v>100</v>
          </cell>
          <cell r="ES92" t="e">
            <v>#VALUE!</v>
          </cell>
          <cell r="ET92">
            <v>0</v>
          </cell>
          <cell r="EU92">
            <v>5</v>
          </cell>
          <cell r="EV92">
            <v>70</v>
          </cell>
          <cell r="EW92" t="e">
            <v>#VALUE!</v>
          </cell>
          <cell r="EX92">
            <v>0</v>
          </cell>
          <cell r="EY92">
            <v>0</v>
          </cell>
          <cell r="EZ92">
            <v>86</v>
          </cell>
          <cell r="FA92" t="e">
            <v>#VALUE!</v>
          </cell>
          <cell r="FB92">
            <v>0</v>
          </cell>
          <cell r="FC92">
            <v>0</v>
          </cell>
          <cell r="FD92">
            <v>0</v>
          </cell>
          <cell r="FE92" t="e">
            <v>#VALUE!</v>
          </cell>
          <cell r="FF92">
            <v>0</v>
          </cell>
          <cell r="FG92">
            <v>19</v>
          </cell>
          <cell r="FH92">
            <v>81</v>
          </cell>
          <cell r="FI92" t="e">
            <v>#VALUE!</v>
          </cell>
          <cell r="FJ92">
            <v>0</v>
          </cell>
          <cell r="FK92">
            <v>0</v>
          </cell>
          <cell r="FL92">
            <v>95</v>
          </cell>
          <cell r="FM92" t="e">
            <v>#VALUE!</v>
          </cell>
          <cell r="FN92">
            <v>0</v>
          </cell>
          <cell r="FO92">
            <v>0</v>
          </cell>
          <cell r="FP92">
            <v>84</v>
          </cell>
          <cell r="FQ92" t="e">
            <v>#VALUE!</v>
          </cell>
          <cell r="FR92">
            <v>0</v>
          </cell>
          <cell r="FS92">
            <v>0</v>
          </cell>
          <cell r="FT92">
            <v>82</v>
          </cell>
          <cell r="FU92" t="e">
            <v>#VALUE!</v>
          </cell>
          <cell r="FV92">
            <v>0</v>
          </cell>
          <cell r="FW92">
            <v>0</v>
          </cell>
          <cell r="FX92">
            <v>85</v>
          </cell>
          <cell r="FY92" t="e">
            <v>#VALUE!</v>
          </cell>
          <cell r="FZ92">
            <v>0</v>
          </cell>
          <cell r="GA92">
            <v>0</v>
          </cell>
          <cell r="GB92">
            <v>95</v>
          </cell>
          <cell r="GC92" t="e">
            <v>#VALUE!</v>
          </cell>
          <cell r="GD92">
            <v>0</v>
          </cell>
          <cell r="GE92">
            <v>24</v>
          </cell>
          <cell r="GF92">
            <v>71</v>
          </cell>
          <cell r="GG92" t="e">
            <v>#VALUE!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F9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 t="str">
            <v>F9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 t="str">
            <v>F9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 t="str">
            <v>F9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str">
            <v>F9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 t="str">
            <v>F9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 t="str">
            <v>F9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F9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 t="str">
            <v>F9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 t="str">
            <v>F9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 t="str">
            <v>F9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 t="str">
            <v>F9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 t="str">
            <v>F9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 t="str">
            <v>F9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 t="str">
            <v>F9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 t="str">
            <v>F9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 t="str">
            <v>F9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 t="str">
            <v>F9</v>
          </cell>
          <cell r="DJ93">
            <v>0</v>
          </cell>
          <cell r="DK93">
            <v>0</v>
          </cell>
          <cell r="DL93">
            <v>0</v>
          </cell>
          <cell r="DM93" t="e">
            <v>#VALUE!</v>
          </cell>
          <cell r="DN93">
            <v>0</v>
          </cell>
          <cell r="DO93">
            <v>26</v>
          </cell>
          <cell r="DP93">
            <v>96</v>
          </cell>
          <cell r="DQ93" t="e">
            <v>#VALUE!</v>
          </cell>
          <cell r="DR93">
            <v>0</v>
          </cell>
          <cell r="DS93">
            <v>0</v>
          </cell>
          <cell r="DT93">
            <v>90</v>
          </cell>
          <cell r="DU93" t="e">
            <v>#VALUE!</v>
          </cell>
          <cell r="DV93">
            <v>0</v>
          </cell>
          <cell r="DW93">
            <v>0</v>
          </cell>
          <cell r="DX93">
            <v>78</v>
          </cell>
          <cell r="DY93" t="e">
            <v>#VALUE!</v>
          </cell>
          <cell r="DZ93">
            <v>0</v>
          </cell>
          <cell r="EA93">
            <v>10</v>
          </cell>
          <cell r="EB93">
            <v>93</v>
          </cell>
          <cell r="EC93" t="e">
            <v>#VALUE!</v>
          </cell>
          <cell r="ED93">
            <v>0</v>
          </cell>
          <cell r="EE93">
            <v>0</v>
          </cell>
          <cell r="EF93">
            <v>78</v>
          </cell>
          <cell r="EG93" t="e">
            <v>#VALUE!</v>
          </cell>
          <cell r="EH93">
            <v>0</v>
          </cell>
          <cell r="EI93">
            <v>36</v>
          </cell>
          <cell r="EJ93">
            <v>85</v>
          </cell>
          <cell r="EK93" t="e">
            <v>#VALUE!</v>
          </cell>
          <cell r="EL93">
            <v>0</v>
          </cell>
          <cell r="EM93">
            <v>0</v>
          </cell>
          <cell r="EN93">
            <v>87</v>
          </cell>
          <cell r="EO93" t="e">
            <v>#VALUE!</v>
          </cell>
          <cell r="EP93">
            <v>0</v>
          </cell>
          <cell r="EQ93">
            <v>0</v>
          </cell>
          <cell r="ER93">
            <v>100</v>
          </cell>
          <cell r="ES93" t="e">
            <v>#VALUE!</v>
          </cell>
          <cell r="ET93">
            <v>0</v>
          </cell>
          <cell r="EU93">
            <v>5</v>
          </cell>
          <cell r="EV93">
            <v>70</v>
          </cell>
          <cell r="EW93" t="e">
            <v>#VALUE!</v>
          </cell>
          <cell r="EX93">
            <v>0</v>
          </cell>
          <cell r="EY93">
            <v>0</v>
          </cell>
          <cell r="EZ93">
            <v>86</v>
          </cell>
          <cell r="FA93" t="e">
            <v>#VALUE!</v>
          </cell>
          <cell r="FB93">
            <v>0</v>
          </cell>
          <cell r="FC93">
            <v>0</v>
          </cell>
          <cell r="FD93">
            <v>0</v>
          </cell>
          <cell r="FE93" t="e">
            <v>#VALUE!</v>
          </cell>
          <cell r="FF93">
            <v>0</v>
          </cell>
          <cell r="FG93">
            <v>19</v>
          </cell>
          <cell r="FH93">
            <v>81</v>
          </cell>
          <cell r="FI93" t="e">
            <v>#VALUE!</v>
          </cell>
          <cell r="FJ93">
            <v>0</v>
          </cell>
          <cell r="FK93">
            <v>0</v>
          </cell>
          <cell r="FL93">
            <v>95</v>
          </cell>
          <cell r="FM93" t="e">
            <v>#VALUE!</v>
          </cell>
          <cell r="FN93">
            <v>0</v>
          </cell>
          <cell r="FO93">
            <v>0</v>
          </cell>
          <cell r="FP93">
            <v>84</v>
          </cell>
          <cell r="FQ93" t="e">
            <v>#VALUE!</v>
          </cell>
          <cell r="FR93">
            <v>0</v>
          </cell>
          <cell r="FS93">
            <v>0</v>
          </cell>
          <cell r="FT93">
            <v>82</v>
          </cell>
          <cell r="FU93" t="e">
            <v>#VALUE!</v>
          </cell>
          <cell r="FV93">
            <v>0</v>
          </cell>
          <cell r="FW93">
            <v>0</v>
          </cell>
          <cell r="FX93">
            <v>85</v>
          </cell>
          <cell r="FY93" t="e">
            <v>#VALUE!</v>
          </cell>
          <cell r="FZ93">
            <v>0</v>
          </cell>
          <cell r="GA93">
            <v>0</v>
          </cell>
          <cell r="GB93">
            <v>95</v>
          </cell>
          <cell r="GC93" t="e">
            <v>#VALUE!</v>
          </cell>
          <cell r="GD93">
            <v>0</v>
          </cell>
          <cell r="GE93">
            <v>24</v>
          </cell>
          <cell r="GF93">
            <v>71</v>
          </cell>
          <cell r="GG93" t="e">
            <v>#VALUE!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F9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 t="str">
            <v>F9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 t="str">
            <v>F9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 t="str">
            <v>F9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str">
            <v>F9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 t="str">
            <v>F9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 t="str">
            <v>F9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F9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 t="str">
            <v>F9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 t="str">
            <v>F9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 t="str">
            <v>F9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 t="str">
            <v>F9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 t="str">
            <v>F9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 t="str">
            <v>F9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 t="str">
            <v>F9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 t="str">
            <v>F9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 t="str">
            <v>F9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 t="str">
            <v>F9</v>
          </cell>
          <cell r="DJ94">
            <v>0</v>
          </cell>
          <cell r="DK94">
            <v>0</v>
          </cell>
          <cell r="DL94">
            <v>0</v>
          </cell>
          <cell r="DM94" t="e">
            <v>#VALUE!</v>
          </cell>
          <cell r="DN94">
            <v>0</v>
          </cell>
          <cell r="DO94">
            <v>26</v>
          </cell>
          <cell r="DP94">
            <v>96</v>
          </cell>
          <cell r="DQ94" t="e">
            <v>#VALUE!</v>
          </cell>
          <cell r="DR94">
            <v>0</v>
          </cell>
          <cell r="DS94">
            <v>0</v>
          </cell>
          <cell r="DT94">
            <v>90</v>
          </cell>
          <cell r="DU94" t="e">
            <v>#VALUE!</v>
          </cell>
          <cell r="DV94">
            <v>0</v>
          </cell>
          <cell r="DW94">
            <v>0</v>
          </cell>
          <cell r="DX94">
            <v>78</v>
          </cell>
          <cell r="DY94" t="e">
            <v>#VALUE!</v>
          </cell>
          <cell r="DZ94">
            <v>0</v>
          </cell>
          <cell r="EA94">
            <v>10</v>
          </cell>
          <cell r="EB94">
            <v>93</v>
          </cell>
          <cell r="EC94" t="e">
            <v>#VALUE!</v>
          </cell>
          <cell r="ED94">
            <v>0</v>
          </cell>
          <cell r="EE94">
            <v>0</v>
          </cell>
          <cell r="EF94">
            <v>78</v>
          </cell>
          <cell r="EG94" t="e">
            <v>#VALUE!</v>
          </cell>
          <cell r="EH94">
            <v>0</v>
          </cell>
          <cell r="EI94">
            <v>36</v>
          </cell>
          <cell r="EJ94">
            <v>85</v>
          </cell>
          <cell r="EK94" t="e">
            <v>#VALUE!</v>
          </cell>
          <cell r="EL94">
            <v>0</v>
          </cell>
          <cell r="EM94">
            <v>0</v>
          </cell>
          <cell r="EN94">
            <v>87</v>
          </cell>
          <cell r="EO94" t="e">
            <v>#VALUE!</v>
          </cell>
          <cell r="EP94">
            <v>0</v>
          </cell>
          <cell r="EQ94">
            <v>0</v>
          </cell>
          <cell r="ER94">
            <v>100</v>
          </cell>
          <cell r="ES94" t="e">
            <v>#VALUE!</v>
          </cell>
          <cell r="ET94">
            <v>0</v>
          </cell>
          <cell r="EU94">
            <v>5</v>
          </cell>
          <cell r="EV94">
            <v>70</v>
          </cell>
          <cell r="EW94" t="e">
            <v>#VALUE!</v>
          </cell>
          <cell r="EX94">
            <v>0</v>
          </cell>
          <cell r="EY94">
            <v>0</v>
          </cell>
          <cell r="EZ94">
            <v>86</v>
          </cell>
          <cell r="FA94" t="e">
            <v>#VALUE!</v>
          </cell>
          <cell r="FB94">
            <v>0</v>
          </cell>
          <cell r="FC94">
            <v>0</v>
          </cell>
          <cell r="FD94">
            <v>0</v>
          </cell>
          <cell r="FE94" t="e">
            <v>#VALUE!</v>
          </cell>
          <cell r="FF94">
            <v>0</v>
          </cell>
          <cell r="FG94">
            <v>19</v>
          </cell>
          <cell r="FH94">
            <v>81</v>
          </cell>
          <cell r="FI94" t="e">
            <v>#VALUE!</v>
          </cell>
          <cell r="FJ94">
            <v>0</v>
          </cell>
          <cell r="FK94">
            <v>0</v>
          </cell>
          <cell r="FL94">
            <v>95</v>
          </cell>
          <cell r="FM94" t="e">
            <v>#VALUE!</v>
          </cell>
          <cell r="FN94">
            <v>0</v>
          </cell>
          <cell r="FO94">
            <v>0</v>
          </cell>
          <cell r="FP94">
            <v>84</v>
          </cell>
          <cell r="FQ94" t="e">
            <v>#VALUE!</v>
          </cell>
          <cell r="FR94">
            <v>0</v>
          </cell>
          <cell r="FS94">
            <v>0</v>
          </cell>
          <cell r="FT94">
            <v>82</v>
          </cell>
          <cell r="FU94" t="e">
            <v>#VALUE!</v>
          </cell>
          <cell r="FV94">
            <v>0</v>
          </cell>
          <cell r="FW94">
            <v>0</v>
          </cell>
          <cell r="FX94">
            <v>85</v>
          </cell>
          <cell r="FY94" t="e">
            <v>#VALUE!</v>
          </cell>
          <cell r="FZ94">
            <v>0</v>
          </cell>
          <cell r="GA94">
            <v>0</v>
          </cell>
          <cell r="GB94">
            <v>95</v>
          </cell>
          <cell r="GC94" t="e">
            <v>#VALUE!</v>
          </cell>
          <cell r="GD94">
            <v>0</v>
          </cell>
          <cell r="GE94">
            <v>24</v>
          </cell>
          <cell r="GF94">
            <v>71</v>
          </cell>
          <cell r="GG94" t="e">
            <v>#VALUE!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F9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 t="str">
            <v>F9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 t="str">
            <v>F9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 t="str">
            <v>F9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str">
            <v>F9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 t="str">
            <v>F9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 t="str">
            <v>F9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F9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 t="str">
            <v>F9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 t="str">
            <v>F9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 t="str">
            <v>F9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 t="str">
            <v>F9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 t="str">
            <v>F9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 t="str">
            <v>F9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 t="str">
            <v>F9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 t="str">
            <v>F9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 t="str">
            <v>F9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 t="str">
            <v>F9</v>
          </cell>
          <cell r="DJ95">
            <v>0</v>
          </cell>
          <cell r="DK95">
            <v>0</v>
          </cell>
          <cell r="DL95">
            <v>0</v>
          </cell>
          <cell r="DM95" t="e">
            <v>#VALUE!</v>
          </cell>
          <cell r="DN95">
            <v>0</v>
          </cell>
          <cell r="DO95">
            <v>26</v>
          </cell>
          <cell r="DP95">
            <v>96</v>
          </cell>
          <cell r="DQ95" t="e">
            <v>#VALUE!</v>
          </cell>
          <cell r="DR95">
            <v>0</v>
          </cell>
          <cell r="DS95">
            <v>0</v>
          </cell>
          <cell r="DT95">
            <v>90</v>
          </cell>
          <cell r="DU95" t="e">
            <v>#VALUE!</v>
          </cell>
          <cell r="DV95">
            <v>0</v>
          </cell>
          <cell r="DW95">
            <v>0</v>
          </cell>
          <cell r="DX95">
            <v>78</v>
          </cell>
          <cell r="DY95" t="e">
            <v>#VALUE!</v>
          </cell>
          <cell r="DZ95">
            <v>0</v>
          </cell>
          <cell r="EA95">
            <v>10</v>
          </cell>
          <cell r="EB95">
            <v>93</v>
          </cell>
          <cell r="EC95" t="e">
            <v>#VALUE!</v>
          </cell>
          <cell r="ED95">
            <v>0</v>
          </cell>
          <cell r="EE95">
            <v>0</v>
          </cell>
          <cell r="EF95">
            <v>78</v>
          </cell>
          <cell r="EG95" t="e">
            <v>#VALUE!</v>
          </cell>
          <cell r="EH95">
            <v>0</v>
          </cell>
          <cell r="EI95">
            <v>36</v>
          </cell>
          <cell r="EJ95">
            <v>85</v>
          </cell>
          <cell r="EK95" t="e">
            <v>#VALUE!</v>
          </cell>
          <cell r="EL95">
            <v>0</v>
          </cell>
          <cell r="EM95">
            <v>0</v>
          </cell>
          <cell r="EN95">
            <v>87</v>
          </cell>
          <cell r="EO95" t="e">
            <v>#VALUE!</v>
          </cell>
          <cell r="EP95">
            <v>0</v>
          </cell>
          <cell r="EQ95">
            <v>0</v>
          </cell>
          <cell r="ER95">
            <v>100</v>
          </cell>
          <cell r="ES95" t="e">
            <v>#VALUE!</v>
          </cell>
          <cell r="ET95">
            <v>0</v>
          </cell>
          <cell r="EU95">
            <v>5</v>
          </cell>
          <cell r="EV95">
            <v>70</v>
          </cell>
          <cell r="EW95" t="e">
            <v>#VALUE!</v>
          </cell>
          <cell r="EX95">
            <v>0</v>
          </cell>
          <cell r="EY95">
            <v>0</v>
          </cell>
          <cell r="EZ95">
            <v>86</v>
          </cell>
          <cell r="FA95" t="e">
            <v>#VALUE!</v>
          </cell>
          <cell r="FB95">
            <v>0</v>
          </cell>
          <cell r="FC95">
            <v>0</v>
          </cell>
          <cell r="FD95">
            <v>0</v>
          </cell>
          <cell r="FE95" t="e">
            <v>#VALUE!</v>
          </cell>
          <cell r="FF95">
            <v>0</v>
          </cell>
          <cell r="FG95">
            <v>19</v>
          </cell>
          <cell r="FH95">
            <v>81</v>
          </cell>
          <cell r="FI95" t="e">
            <v>#VALUE!</v>
          </cell>
          <cell r="FJ95">
            <v>0</v>
          </cell>
          <cell r="FK95">
            <v>0</v>
          </cell>
          <cell r="FL95">
            <v>95</v>
          </cell>
          <cell r="FM95" t="e">
            <v>#VALUE!</v>
          </cell>
          <cell r="FN95">
            <v>0</v>
          </cell>
          <cell r="FO95">
            <v>0</v>
          </cell>
          <cell r="FP95">
            <v>84</v>
          </cell>
          <cell r="FQ95" t="e">
            <v>#VALUE!</v>
          </cell>
          <cell r="FR95">
            <v>0</v>
          </cell>
          <cell r="FS95">
            <v>0</v>
          </cell>
          <cell r="FT95">
            <v>82</v>
          </cell>
          <cell r="FU95" t="e">
            <v>#VALUE!</v>
          </cell>
          <cell r="FV95">
            <v>0</v>
          </cell>
          <cell r="FW95">
            <v>0</v>
          </cell>
          <cell r="FX95">
            <v>85</v>
          </cell>
          <cell r="FY95" t="e">
            <v>#VALUE!</v>
          </cell>
          <cell r="FZ95">
            <v>0</v>
          </cell>
          <cell r="GA95">
            <v>0</v>
          </cell>
          <cell r="GB95">
            <v>95</v>
          </cell>
          <cell r="GC95" t="e">
            <v>#VALUE!</v>
          </cell>
          <cell r="GD95">
            <v>0</v>
          </cell>
          <cell r="GE95">
            <v>24</v>
          </cell>
          <cell r="GF95">
            <v>71</v>
          </cell>
          <cell r="GG95" t="e">
            <v>#VALUE!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F9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 t="str">
            <v>F9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 t="str">
            <v>F9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 t="str">
            <v>F9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str">
            <v>F9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 t="str">
            <v>F9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 t="str">
            <v>F9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 t="str">
            <v>F9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 t="str">
            <v>F9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 t="str">
            <v>F9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 t="str">
            <v>F9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 t="str">
            <v>F9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 t="str">
            <v>F9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 t="str">
            <v>F9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 t="str">
            <v>F9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 t="str">
            <v>F9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 t="str">
            <v>F9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 t="str">
            <v>F9</v>
          </cell>
          <cell r="DJ96">
            <v>0</v>
          </cell>
          <cell r="DK96">
            <v>0</v>
          </cell>
          <cell r="DL96">
            <v>0</v>
          </cell>
          <cell r="DM96" t="e">
            <v>#VALUE!</v>
          </cell>
          <cell r="DN96">
            <v>0</v>
          </cell>
          <cell r="DO96">
            <v>26</v>
          </cell>
          <cell r="DP96">
            <v>96</v>
          </cell>
          <cell r="DQ96" t="e">
            <v>#VALUE!</v>
          </cell>
          <cell r="DR96">
            <v>0</v>
          </cell>
          <cell r="DS96">
            <v>0</v>
          </cell>
          <cell r="DT96">
            <v>90</v>
          </cell>
          <cell r="DU96" t="e">
            <v>#VALUE!</v>
          </cell>
          <cell r="DV96">
            <v>0</v>
          </cell>
          <cell r="DW96">
            <v>0</v>
          </cell>
          <cell r="DX96">
            <v>78</v>
          </cell>
          <cell r="DY96" t="e">
            <v>#VALUE!</v>
          </cell>
          <cell r="DZ96">
            <v>0</v>
          </cell>
          <cell r="EA96">
            <v>10</v>
          </cell>
          <cell r="EB96">
            <v>93</v>
          </cell>
          <cell r="EC96" t="e">
            <v>#VALUE!</v>
          </cell>
          <cell r="ED96">
            <v>0</v>
          </cell>
          <cell r="EE96">
            <v>0</v>
          </cell>
          <cell r="EF96">
            <v>78</v>
          </cell>
          <cell r="EG96" t="e">
            <v>#VALUE!</v>
          </cell>
          <cell r="EH96">
            <v>0</v>
          </cell>
          <cell r="EI96">
            <v>36</v>
          </cell>
          <cell r="EJ96">
            <v>85</v>
          </cell>
          <cell r="EK96" t="e">
            <v>#VALUE!</v>
          </cell>
          <cell r="EL96">
            <v>0</v>
          </cell>
          <cell r="EM96">
            <v>0</v>
          </cell>
          <cell r="EN96">
            <v>87</v>
          </cell>
          <cell r="EO96" t="e">
            <v>#VALUE!</v>
          </cell>
          <cell r="EP96">
            <v>0</v>
          </cell>
          <cell r="EQ96">
            <v>0</v>
          </cell>
          <cell r="ER96">
            <v>100</v>
          </cell>
          <cell r="ES96" t="e">
            <v>#VALUE!</v>
          </cell>
          <cell r="ET96">
            <v>0</v>
          </cell>
          <cell r="EU96">
            <v>5</v>
          </cell>
          <cell r="EV96">
            <v>70</v>
          </cell>
          <cell r="EW96" t="e">
            <v>#VALUE!</v>
          </cell>
          <cell r="EX96">
            <v>0</v>
          </cell>
          <cell r="EY96">
            <v>0</v>
          </cell>
          <cell r="EZ96">
            <v>86</v>
          </cell>
          <cell r="FA96" t="e">
            <v>#VALUE!</v>
          </cell>
          <cell r="FB96">
            <v>0</v>
          </cell>
          <cell r="FC96">
            <v>0</v>
          </cell>
          <cell r="FD96">
            <v>0</v>
          </cell>
          <cell r="FE96" t="e">
            <v>#VALUE!</v>
          </cell>
          <cell r="FF96">
            <v>0</v>
          </cell>
          <cell r="FG96">
            <v>19</v>
          </cell>
          <cell r="FH96">
            <v>81</v>
          </cell>
          <cell r="FI96" t="e">
            <v>#VALUE!</v>
          </cell>
          <cell r="FJ96">
            <v>0</v>
          </cell>
          <cell r="FK96">
            <v>0</v>
          </cell>
          <cell r="FL96">
            <v>95</v>
          </cell>
          <cell r="FM96" t="e">
            <v>#VALUE!</v>
          </cell>
          <cell r="FN96">
            <v>0</v>
          </cell>
          <cell r="FO96">
            <v>0</v>
          </cell>
          <cell r="FP96">
            <v>84</v>
          </cell>
          <cell r="FQ96" t="e">
            <v>#VALUE!</v>
          </cell>
          <cell r="FR96">
            <v>0</v>
          </cell>
          <cell r="FS96">
            <v>0</v>
          </cell>
          <cell r="FT96">
            <v>82</v>
          </cell>
          <cell r="FU96" t="e">
            <v>#VALUE!</v>
          </cell>
          <cell r="FV96">
            <v>0</v>
          </cell>
          <cell r="FW96">
            <v>0</v>
          </cell>
          <cell r="FX96">
            <v>85</v>
          </cell>
          <cell r="FY96" t="e">
            <v>#VALUE!</v>
          </cell>
          <cell r="FZ96">
            <v>0</v>
          </cell>
          <cell r="GA96">
            <v>0</v>
          </cell>
          <cell r="GB96">
            <v>95</v>
          </cell>
          <cell r="GC96" t="e">
            <v>#VALUE!</v>
          </cell>
          <cell r="GD96">
            <v>0</v>
          </cell>
          <cell r="GE96">
            <v>24</v>
          </cell>
          <cell r="GF96">
            <v>71</v>
          </cell>
          <cell r="GG96" t="e">
            <v>#VALUE!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F9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 t="str">
            <v>F9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 t="str">
            <v>F9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 t="str">
            <v>F9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F9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 t="str">
            <v>F9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 t="str">
            <v>F9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 t="str">
            <v>F9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 t="str">
            <v>F9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 t="str">
            <v>F9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 t="str">
            <v>F9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 t="str">
            <v>F9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 t="str">
            <v>F9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 t="str">
            <v>F9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 t="str">
            <v>F9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 t="str">
            <v>F9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 t="str">
            <v>F9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 t="str">
            <v>F9</v>
          </cell>
          <cell r="DJ97">
            <v>0</v>
          </cell>
          <cell r="DK97">
            <v>0</v>
          </cell>
          <cell r="DL97">
            <v>0</v>
          </cell>
          <cell r="DM97" t="e">
            <v>#VALUE!</v>
          </cell>
          <cell r="DN97">
            <v>0</v>
          </cell>
          <cell r="DO97">
            <v>26</v>
          </cell>
          <cell r="DP97">
            <v>96</v>
          </cell>
          <cell r="DQ97" t="e">
            <v>#VALUE!</v>
          </cell>
          <cell r="DR97">
            <v>0</v>
          </cell>
          <cell r="DS97">
            <v>0</v>
          </cell>
          <cell r="DT97">
            <v>90</v>
          </cell>
          <cell r="DU97" t="e">
            <v>#VALUE!</v>
          </cell>
          <cell r="DV97">
            <v>0</v>
          </cell>
          <cell r="DW97">
            <v>0</v>
          </cell>
          <cell r="DX97">
            <v>78</v>
          </cell>
          <cell r="DY97" t="e">
            <v>#VALUE!</v>
          </cell>
          <cell r="DZ97">
            <v>0</v>
          </cell>
          <cell r="EA97">
            <v>10</v>
          </cell>
          <cell r="EB97">
            <v>93</v>
          </cell>
          <cell r="EC97" t="e">
            <v>#VALUE!</v>
          </cell>
          <cell r="ED97">
            <v>0</v>
          </cell>
          <cell r="EE97">
            <v>0</v>
          </cell>
          <cell r="EF97">
            <v>78</v>
          </cell>
          <cell r="EG97" t="e">
            <v>#VALUE!</v>
          </cell>
          <cell r="EH97">
            <v>0</v>
          </cell>
          <cell r="EI97">
            <v>36</v>
          </cell>
          <cell r="EJ97">
            <v>85</v>
          </cell>
          <cell r="EK97" t="e">
            <v>#VALUE!</v>
          </cell>
          <cell r="EL97">
            <v>0</v>
          </cell>
          <cell r="EM97">
            <v>0</v>
          </cell>
          <cell r="EN97">
            <v>87</v>
          </cell>
          <cell r="EO97" t="e">
            <v>#VALUE!</v>
          </cell>
          <cell r="EP97">
            <v>0</v>
          </cell>
          <cell r="EQ97">
            <v>0</v>
          </cell>
          <cell r="ER97">
            <v>100</v>
          </cell>
          <cell r="ES97" t="e">
            <v>#VALUE!</v>
          </cell>
          <cell r="ET97">
            <v>0</v>
          </cell>
          <cell r="EU97">
            <v>5</v>
          </cell>
          <cell r="EV97">
            <v>70</v>
          </cell>
          <cell r="EW97" t="e">
            <v>#VALUE!</v>
          </cell>
          <cell r="EX97">
            <v>0</v>
          </cell>
          <cell r="EY97">
            <v>0</v>
          </cell>
          <cell r="EZ97">
            <v>86</v>
          </cell>
          <cell r="FA97" t="e">
            <v>#VALUE!</v>
          </cell>
          <cell r="FB97">
            <v>0</v>
          </cell>
          <cell r="FC97">
            <v>0</v>
          </cell>
          <cell r="FD97">
            <v>0</v>
          </cell>
          <cell r="FE97" t="e">
            <v>#VALUE!</v>
          </cell>
          <cell r="FF97">
            <v>0</v>
          </cell>
          <cell r="FG97">
            <v>19</v>
          </cell>
          <cell r="FH97">
            <v>81</v>
          </cell>
          <cell r="FI97" t="e">
            <v>#VALUE!</v>
          </cell>
          <cell r="FJ97">
            <v>0</v>
          </cell>
          <cell r="FK97">
            <v>0</v>
          </cell>
          <cell r="FL97">
            <v>95</v>
          </cell>
          <cell r="FM97" t="e">
            <v>#VALUE!</v>
          </cell>
          <cell r="FN97">
            <v>0</v>
          </cell>
          <cell r="FO97">
            <v>0</v>
          </cell>
          <cell r="FP97">
            <v>84</v>
          </cell>
          <cell r="FQ97" t="e">
            <v>#VALUE!</v>
          </cell>
          <cell r="FR97">
            <v>0</v>
          </cell>
          <cell r="FS97">
            <v>0</v>
          </cell>
          <cell r="FT97">
            <v>82</v>
          </cell>
          <cell r="FU97" t="e">
            <v>#VALUE!</v>
          </cell>
          <cell r="FV97">
            <v>0</v>
          </cell>
          <cell r="FW97">
            <v>0</v>
          </cell>
          <cell r="FX97">
            <v>85</v>
          </cell>
          <cell r="FY97" t="e">
            <v>#VALUE!</v>
          </cell>
          <cell r="FZ97">
            <v>0</v>
          </cell>
          <cell r="GA97">
            <v>0</v>
          </cell>
          <cell r="GB97">
            <v>95</v>
          </cell>
          <cell r="GC97" t="e">
            <v>#VALUE!</v>
          </cell>
          <cell r="GD97">
            <v>0</v>
          </cell>
          <cell r="GE97">
            <v>24</v>
          </cell>
          <cell r="GF97">
            <v>71</v>
          </cell>
          <cell r="GG97" t="e">
            <v>#VALUE!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F9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 t="str">
            <v>F9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 t="str">
            <v>F9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 t="str">
            <v>F9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 t="str">
            <v>F9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 t="str">
            <v>F9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 t="str">
            <v>F9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 t="str">
            <v>F9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 t="str">
            <v>F9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 t="str">
            <v>F9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 t="str">
            <v>F9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 t="str">
            <v>F9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 t="str">
            <v>F9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 t="str">
            <v>F9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 t="str">
            <v>F9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 t="str">
            <v>F9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 t="str">
            <v>F9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 t="str">
            <v>F9</v>
          </cell>
          <cell r="DJ98">
            <v>0</v>
          </cell>
          <cell r="DK98">
            <v>0</v>
          </cell>
          <cell r="DL98">
            <v>0</v>
          </cell>
          <cell r="DM98" t="e">
            <v>#VALUE!</v>
          </cell>
          <cell r="DN98">
            <v>0</v>
          </cell>
          <cell r="DO98">
            <v>26</v>
          </cell>
          <cell r="DP98">
            <v>96</v>
          </cell>
          <cell r="DQ98" t="e">
            <v>#VALUE!</v>
          </cell>
          <cell r="DR98">
            <v>0</v>
          </cell>
          <cell r="DS98">
            <v>0</v>
          </cell>
          <cell r="DT98">
            <v>90</v>
          </cell>
          <cell r="DU98" t="e">
            <v>#VALUE!</v>
          </cell>
          <cell r="DV98">
            <v>0</v>
          </cell>
          <cell r="DW98">
            <v>0</v>
          </cell>
          <cell r="DX98">
            <v>78</v>
          </cell>
          <cell r="DY98" t="e">
            <v>#VALUE!</v>
          </cell>
          <cell r="DZ98">
            <v>0</v>
          </cell>
          <cell r="EA98">
            <v>10</v>
          </cell>
          <cell r="EB98">
            <v>93</v>
          </cell>
          <cell r="EC98" t="e">
            <v>#VALUE!</v>
          </cell>
          <cell r="ED98">
            <v>0</v>
          </cell>
          <cell r="EE98">
            <v>0</v>
          </cell>
          <cell r="EF98">
            <v>78</v>
          </cell>
          <cell r="EG98" t="e">
            <v>#VALUE!</v>
          </cell>
          <cell r="EH98">
            <v>0</v>
          </cell>
          <cell r="EI98">
            <v>36</v>
          </cell>
          <cell r="EJ98">
            <v>85</v>
          </cell>
          <cell r="EK98" t="e">
            <v>#VALUE!</v>
          </cell>
          <cell r="EL98">
            <v>0</v>
          </cell>
          <cell r="EM98">
            <v>0</v>
          </cell>
          <cell r="EN98">
            <v>87</v>
          </cell>
          <cell r="EO98" t="e">
            <v>#VALUE!</v>
          </cell>
          <cell r="EP98">
            <v>0</v>
          </cell>
          <cell r="EQ98">
            <v>0</v>
          </cell>
          <cell r="ER98">
            <v>100</v>
          </cell>
          <cell r="ES98" t="e">
            <v>#VALUE!</v>
          </cell>
          <cell r="ET98">
            <v>0</v>
          </cell>
          <cell r="EU98">
            <v>5</v>
          </cell>
          <cell r="EV98">
            <v>70</v>
          </cell>
          <cell r="EW98" t="e">
            <v>#VALUE!</v>
          </cell>
          <cell r="EX98">
            <v>0</v>
          </cell>
          <cell r="EY98">
            <v>0</v>
          </cell>
          <cell r="EZ98">
            <v>86</v>
          </cell>
          <cell r="FA98" t="e">
            <v>#VALUE!</v>
          </cell>
          <cell r="FB98">
            <v>0</v>
          </cell>
          <cell r="FC98">
            <v>0</v>
          </cell>
          <cell r="FD98">
            <v>0</v>
          </cell>
          <cell r="FE98" t="e">
            <v>#VALUE!</v>
          </cell>
          <cell r="FF98">
            <v>0</v>
          </cell>
          <cell r="FG98">
            <v>19</v>
          </cell>
          <cell r="FH98">
            <v>81</v>
          </cell>
          <cell r="FI98" t="e">
            <v>#VALUE!</v>
          </cell>
          <cell r="FJ98">
            <v>0</v>
          </cell>
          <cell r="FK98">
            <v>0</v>
          </cell>
          <cell r="FL98">
            <v>95</v>
          </cell>
          <cell r="FM98" t="e">
            <v>#VALUE!</v>
          </cell>
          <cell r="FN98">
            <v>0</v>
          </cell>
          <cell r="FO98">
            <v>0</v>
          </cell>
          <cell r="FP98">
            <v>84</v>
          </cell>
          <cell r="FQ98" t="e">
            <v>#VALUE!</v>
          </cell>
          <cell r="FR98">
            <v>0</v>
          </cell>
          <cell r="FS98">
            <v>0</v>
          </cell>
          <cell r="FT98">
            <v>82</v>
          </cell>
          <cell r="FU98" t="e">
            <v>#VALUE!</v>
          </cell>
          <cell r="FV98">
            <v>0</v>
          </cell>
          <cell r="FW98">
            <v>0</v>
          </cell>
          <cell r="FX98">
            <v>85</v>
          </cell>
          <cell r="FY98" t="e">
            <v>#VALUE!</v>
          </cell>
          <cell r="FZ98">
            <v>0</v>
          </cell>
          <cell r="GA98">
            <v>0</v>
          </cell>
          <cell r="GB98">
            <v>95</v>
          </cell>
          <cell r="GC98" t="e">
            <v>#VALUE!</v>
          </cell>
          <cell r="GD98">
            <v>0</v>
          </cell>
          <cell r="GE98">
            <v>24</v>
          </cell>
          <cell r="GF98">
            <v>71</v>
          </cell>
          <cell r="GG98" t="e">
            <v>#VALUE!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F9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 t="str">
            <v>F9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 t="str">
            <v>F9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 t="str">
            <v>F9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str">
            <v>F9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 t="str">
            <v>F9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 t="str">
            <v>F9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 t="str">
            <v>F9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 t="str">
            <v>F9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 t="str">
            <v>F9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 t="str">
            <v>F9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 t="str">
            <v>F9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 t="str">
            <v>F9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 t="str">
            <v>F9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 t="str">
            <v>F9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 t="str">
            <v>F9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 t="str">
            <v>F9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 t="str">
            <v>F9</v>
          </cell>
          <cell r="DJ99">
            <v>0</v>
          </cell>
          <cell r="DK99">
            <v>0</v>
          </cell>
          <cell r="DL99">
            <v>0</v>
          </cell>
          <cell r="DM99" t="e">
            <v>#VALUE!</v>
          </cell>
          <cell r="DN99">
            <v>0</v>
          </cell>
          <cell r="DO99">
            <v>26</v>
          </cell>
          <cell r="DP99">
            <v>96</v>
          </cell>
          <cell r="DQ99" t="e">
            <v>#VALUE!</v>
          </cell>
          <cell r="DR99">
            <v>0</v>
          </cell>
          <cell r="DS99">
            <v>0</v>
          </cell>
          <cell r="DT99">
            <v>90</v>
          </cell>
          <cell r="DU99" t="e">
            <v>#VALUE!</v>
          </cell>
          <cell r="DV99">
            <v>0</v>
          </cell>
          <cell r="DW99">
            <v>0</v>
          </cell>
          <cell r="DX99">
            <v>78</v>
          </cell>
          <cell r="DY99" t="e">
            <v>#VALUE!</v>
          </cell>
          <cell r="DZ99">
            <v>0</v>
          </cell>
          <cell r="EA99">
            <v>10</v>
          </cell>
          <cell r="EB99">
            <v>93</v>
          </cell>
          <cell r="EC99" t="e">
            <v>#VALUE!</v>
          </cell>
          <cell r="ED99">
            <v>0</v>
          </cell>
          <cell r="EE99">
            <v>0</v>
          </cell>
          <cell r="EF99">
            <v>78</v>
          </cell>
          <cell r="EG99" t="e">
            <v>#VALUE!</v>
          </cell>
          <cell r="EH99">
            <v>0</v>
          </cell>
          <cell r="EI99">
            <v>36</v>
          </cell>
          <cell r="EJ99">
            <v>85</v>
          </cell>
          <cell r="EK99" t="e">
            <v>#VALUE!</v>
          </cell>
          <cell r="EL99">
            <v>0</v>
          </cell>
          <cell r="EM99">
            <v>0</v>
          </cell>
          <cell r="EN99">
            <v>87</v>
          </cell>
          <cell r="EO99" t="e">
            <v>#VALUE!</v>
          </cell>
          <cell r="EP99">
            <v>0</v>
          </cell>
          <cell r="EQ99">
            <v>0</v>
          </cell>
          <cell r="ER99">
            <v>100</v>
          </cell>
          <cell r="ES99" t="e">
            <v>#VALUE!</v>
          </cell>
          <cell r="ET99">
            <v>0</v>
          </cell>
          <cell r="EU99">
            <v>5</v>
          </cell>
          <cell r="EV99">
            <v>70</v>
          </cell>
          <cell r="EW99" t="e">
            <v>#VALUE!</v>
          </cell>
          <cell r="EX99">
            <v>0</v>
          </cell>
          <cell r="EY99">
            <v>0</v>
          </cell>
          <cell r="EZ99">
            <v>86</v>
          </cell>
          <cell r="FA99" t="e">
            <v>#VALUE!</v>
          </cell>
          <cell r="FB99">
            <v>0</v>
          </cell>
          <cell r="FC99">
            <v>0</v>
          </cell>
          <cell r="FD99">
            <v>0</v>
          </cell>
          <cell r="FE99" t="e">
            <v>#VALUE!</v>
          </cell>
          <cell r="FF99">
            <v>0</v>
          </cell>
          <cell r="FG99">
            <v>19</v>
          </cell>
          <cell r="FH99">
            <v>81</v>
          </cell>
          <cell r="FI99" t="e">
            <v>#VALUE!</v>
          </cell>
          <cell r="FJ99">
            <v>0</v>
          </cell>
          <cell r="FK99">
            <v>0</v>
          </cell>
          <cell r="FL99">
            <v>95</v>
          </cell>
          <cell r="FM99" t="e">
            <v>#VALUE!</v>
          </cell>
          <cell r="FN99">
            <v>0</v>
          </cell>
          <cell r="FO99">
            <v>0</v>
          </cell>
          <cell r="FP99">
            <v>84</v>
          </cell>
          <cell r="FQ99" t="e">
            <v>#VALUE!</v>
          </cell>
          <cell r="FR99">
            <v>0</v>
          </cell>
          <cell r="FS99">
            <v>0</v>
          </cell>
          <cell r="FT99">
            <v>82</v>
          </cell>
          <cell r="FU99" t="e">
            <v>#VALUE!</v>
          </cell>
          <cell r="FV99">
            <v>0</v>
          </cell>
          <cell r="FW99">
            <v>0</v>
          </cell>
          <cell r="FX99">
            <v>85</v>
          </cell>
          <cell r="FY99" t="e">
            <v>#VALUE!</v>
          </cell>
          <cell r="FZ99">
            <v>0</v>
          </cell>
          <cell r="GA99">
            <v>0</v>
          </cell>
          <cell r="GB99">
            <v>95</v>
          </cell>
          <cell r="GC99" t="e">
            <v>#VALUE!</v>
          </cell>
          <cell r="GD99">
            <v>0</v>
          </cell>
          <cell r="GE99">
            <v>24</v>
          </cell>
          <cell r="GF99">
            <v>71</v>
          </cell>
          <cell r="GG99" t="e">
            <v>#VALUE!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F9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 t="str">
            <v>F9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 t="str">
            <v>F9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 t="str">
            <v>F9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str">
            <v>F9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 t="str">
            <v>F9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 t="str">
            <v>F9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F9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 t="str">
            <v>F9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 t="str">
            <v>F9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 t="str">
            <v>F9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 t="str">
            <v>F9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 t="str">
            <v>F9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 t="str">
            <v>F9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 t="str">
            <v>F9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 t="str">
            <v>F9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 t="str">
            <v>F9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 t="str">
            <v>F9</v>
          </cell>
          <cell r="DJ100">
            <v>0</v>
          </cell>
          <cell r="DK100">
            <v>0</v>
          </cell>
          <cell r="DL100">
            <v>0</v>
          </cell>
          <cell r="DM100" t="e">
            <v>#VALUE!</v>
          </cell>
          <cell r="DN100">
            <v>0</v>
          </cell>
          <cell r="DO100">
            <v>26</v>
          </cell>
          <cell r="DP100">
            <v>96</v>
          </cell>
          <cell r="DQ100" t="e">
            <v>#VALUE!</v>
          </cell>
          <cell r="DR100">
            <v>0</v>
          </cell>
          <cell r="DS100">
            <v>0</v>
          </cell>
          <cell r="DT100">
            <v>90</v>
          </cell>
          <cell r="DU100" t="e">
            <v>#VALUE!</v>
          </cell>
          <cell r="DV100">
            <v>0</v>
          </cell>
          <cell r="DW100">
            <v>0</v>
          </cell>
          <cell r="DX100">
            <v>78</v>
          </cell>
          <cell r="DY100" t="e">
            <v>#VALUE!</v>
          </cell>
          <cell r="DZ100">
            <v>0</v>
          </cell>
          <cell r="EA100">
            <v>10</v>
          </cell>
          <cell r="EB100">
            <v>93</v>
          </cell>
          <cell r="EC100" t="e">
            <v>#VALUE!</v>
          </cell>
          <cell r="ED100">
            <v>0</v>
          </cell>
          <cell r="EE100">
            <v>0</v>
          </cell>
          <cell r="EF100">
            <v>78</v>
          </cell>
          <cell r="EG100" t="e">
            <v>#VALUE!</v>
          </cell>
          <cell r="EH100">
            <v>0</v>
          </cell>
          <cell r="EI100">
            <v>36</v>
          </cell>
          <cell r="EJ100">
            <v>85</v>
          </cell>
          <cell r="EK100" t="e">
            <v>#VALUE!</v>
          </cell>
          <cell r="EL100">
            <v>0</v>
          </cell>
          <cell r="EM100">
            <v>0</v>
          </cell>
          <cell r="EN100">
            <v>87</v>
          </cell>
          <cell r="EO100" t="e">
            <v>#VALUE!</v>
          </cell>
          <cell r="EP100">
            <v>0</v>
          </cell>
          <cell r="EQ100">
            <v>0</v>
          </cell>
          <cell r="ER100">
            <v>100</v>
          </cell>
          <cell r="ES100" t="e">
            <v>#VALUE!</v>
          </cell>
          <cell r="ET100">
            <v>0</v>
          </cell>
          <cell r="EU100">
            <v>5</v>
          </cell>
          <cell r="EV100">
            <v>70</v>
          </cell>
          <cell r="EW100" t="e">
            <v>#VALUE!</v>
          </cell>
          <cell r="EX100">
            <v>0</v>
          </cell>
          <cell r="EY100">
            <v>0</v>
          </cell>
          <cell r="EZ100">
            <v>86</v>
          </cell>
          <cell r="FA100" t="e">
            <v>#VALUE!</v>
          </cell>
          <cell r="FB100">
            <v>0</v>
          </cell>
          <cell r="FC100">
            <v>0</v>
          </cell>
          <cell r="FD100">
            <v>0</v>
          </cell>
          <cell r="FE100" t="e">
            <v>#VALUE!</v>
          </cell>
          <cell r="FF100">
            <v>0</v>
          </cell>
          <cell r="FG100">
            <v>19</v>
          </cell>
          <cell r="FH100">
            <v>81</v>
          </cell>
          <cell r="FI100" t="e">
            <v>#VALUE!</v>
          </cell>
          <cell r="FJ100">
            <v>0</v>
          </cell>
          <cell r="FK100">
            <v>0</v>
          </cell>
          <cell r="FL100">
            <v>95</v>
          </cell>
          <cell r="FM100" t="e">
            <v>#VALUE!</v>
          </cell>
          <cell r="FN100">
            <v>0</v>
          </cell>
          <cell r="FO100">
            <v>0</v>
          </cell>
          <cell r="FP100">
            <v>84</v>
          </cell>
          <cell r="FQ100" t="e">
            <v>#VALUE!</v>
          </cell>
          <cell r="FR100">
            <v>0</v>
          </cell>
          <cell r="FS100">
            <v>0</v>
          </cell>
          <cell r="FT100">
            <v>82</v>
          </cell>
          <cell r="FU100" t="e">
            <v>#VALUE!</v>
          </cell>
          <cell r="FV100">
            <v>0</v>
          </cell>
          <cell r="FW100">
            <v>0</v>
          </cell>
          <cell r="FX100">
            <v>85</v>
          </cell>
          <cell r="FY100" t="e">
            <v>#VALUE!</v>
          </cell>
          <cell r="FZ100">
            <v>0</v>
          </cell>
          <cell r="GA100">
            <v>0</v>
          </cell>
          <cell r="GB100">
            <v>95</v>
          </cell>
          <cell r="GC100" t="e">
            <v>#VALUE!</v>
          </cell>
          <cell r="GD100">
            <v>0</v>
          </cell>
          <cell r="GE100">
            <v>24</v>
          </cell>
          <cell r="GF100">
            <v>71</v>
          </cell>
          <cell r="GG100" t="e">
            <v>#VALUE!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F9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 t="str">
            <v>F9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 t="str">
            <v>F9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 t="str">
            <v>F9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str">
            <v>F9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 t="str">
            <v>F9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 t="str">
            <v>F9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 t="str">
            <v>F9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 t="str">
            <v>F9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 t="str">
            <v>F9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 t="str">
            <v>F9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 t="str">
            <v>F9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 t="str">
            <v>F9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 t="str">
            <v>F9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 t="str">
            <v>F9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 t="str">
            <v>F9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 t="str">
            <v>F9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 t="str">
            <v>F9</v>
          </cell>
          <cell r="DJ101">
            <v>0</v>
          </cell>
          <cell r="DK101">
            <v>0</v>
          </cell>
          <cell r="DL101">
            <v>0</v>
          </cell>
          <cell r="DM101" t="e">
            <v>#VALUE!</v>
          </cell>
          <cell r="DN101">
            <v>0</v>
          </cell>
          <cell r="DO101">
            <v>26</v>
          </cell>
          <cell r="DP101">
            <v>96</v>
          </cell>
          <cell r="DQ101" t="e">
            <v>#VALUE!</v>
          </cell>
          <cell r="DR101">
            <v>0</v>
          </cell>
          <cell r="DS101">
            <v>0</v>
          </cell>
          <cell r="DT101">
            <v>90</v>
          </cell>
          <cell r="DU101" t="e">
            <v>#VALUE!</v>
          </cell>
          <cell r="DV101">
            <v>0</v>
          </cell>
          <cell r="DW101">
            <v>0</v>
          </cell>
          <cell r="DX101">
            <v>78</v>
          </cell>
          <cell r="DY101" t="e">
            <v>#VALUE!</v>
          </cell>
          <cell r="DZ101">
            <v>0</v>
          </cell>
          <cell r="EA101">
            <v>10</v>
          </cell>
          <cell r="EB101">
            <v>93</v>
          </cell>
          <cell r="EC101" t="e">
            <v>#VALUE!</v>
          </cell>
          <cell r="ED101">
            <v>0</v>
          </cell>
          <cell r="EE101">
            <v>0</v>
          </cell>
          <cell r="EF101">
            <v>78</v>
          </cell>
          <cell r="EG101" t="e">
            <v>#VALUE!</v>
          </cell>
          <cell r="EH101">
            <v>0</v>
          </cell>
          <cell r="EI101">
            <v>36</v>
          </cell>
          <cell r="EJ101">
            <v>85</v>
          </cell>
          <cell r="EK101" t="e">
            <v>#VALUE!</v>
          </cell>
          <cell r="EL101">
            <v>0</v>
          </cell>
          <cell r="EM101">
            <v>0</v>
          </cell>
          <cell r="EN101">
            <v>87</v>
          </cell>
          <cell r="EO101" t="e">
            <v>#VALUE!</v>
          </cell>
          <cell r="EP101">
            <v>0</v>
          </cell>
          <cell r="EQ101">
            <v>0</v>
          </cell>
          <cell r="ER101">
            <v>100</v>
          </cell>
          <cell r="ES101" t="e">
            <v>#VALUE!</v>
          </cell>
          <cell r="ET101">
            <v>0</v>
          </cell>
          <cell r="EU101">
            <v>5</v>
          </cell>
          <cell r="EV101">
            <v>70</v>
          </cell>
          <cell r="EW101" t="e">
            <v>#VALUE!</v>
          </cell>
          <cell r="EX101">
            <v>0</v>
          </cell>
          <cell r="EY101">
            <v>0</v>
          </cell>
          <cell r="EZ101">
            <v>86</v>
          </cell>
          <cell r="FA101" t="e">
            <v>#VALUE!</v>
          </cell>
          <cell r="FB101">
            <v>0</v>
          </cell>
          <cell r="FC101">
            <v>0</v>
          </cell>
          <cell r="FD101">
            <v>0</v>
          </cell>
          <cell r="FE101" t="e">
            <v>#VALUE!</v>
          </cell>
          <cell r="FF101">
            <v>0</v>
          </cell>
          <cell r="FG101">
            <v>19</v>
          </cell>
          <cell r="FH101">
            <v>81</v>
          </cell>
          <cell r="FI101" t="e">
            <v>#VALUE!</v>
          </cell>
          <cell r="FJ101">
            <v>0</v>
          </cell>
          <cell r="FK101">
            <v>0</v>
          </cell>
          <cell r="FL101">
            <v>95</v>
          </cell>
          <cell r="FM101" t="e">
            <v>#VALUE!</v>
          </cell>
          <cell r="FN101">
            <v>0</v>
          </cell>
          <cell r="FO101">
            <v>0</v>
          </cell>
          <cell r="FP101">
            <v>84</v>
          </cell>
          <cell r="FQ101" t="e">
            <v>#VALUE!</v>
          </cell>
          <cell r="FR101">
            <v>0</v>
          </cell>
          <cell r="FS101">
            <v>0</v>
          </cell>
          <cell r="FT101">
            <v>82</v>
          </cell>
          <cell r="FU101" t="e">
            <v>#VALUE!</v>
          </cell>
          <cell r="FV101">
            <v>0</v>
          </cell>
          <cell r="FW101">
            <v>0</v>
          </cell>
          <cell r="FX101">
            <v>85</v>
          </cell>
          <cell r="FY101" t="e">
            <v>#VALUE!</v>
          </cell>
          <cell r="FZ101">
            <v>0</v>
          </cell>
          <cell r="GA101">
            <v>0</v>
          </cell>
          <cell r="GB101">
            <v>95</v>
          </cell>
          <cell r="GC101" t="e">
            <v>#VALUE!</v>
          </cell>
          <cell r="GD101">
            <v>0</v>
          </cell>
          <cell r="GE101">
            <v>24</v>
          </cell>
          <cell r="GF101">
            <v>71</v>
          </cell>
          <cell r="GG101" t="e">
            <v>#VALUE!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F9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 t="str">
            <v>F9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 t="str">
            <v>F9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 t="str">
            <v>F9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str">
            <v>F9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 t="str">
            <v>F9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 t="str">
            <v>F9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 t="str">
            <v>F9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 t="str">
            <v>F9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 t="str">
            <v>F9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 t="str">
            <v>F9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 t="str">
            <v>F9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 t="str">
            <v>F9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 t="str">
            <v>F9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 t="str">
            <v>F9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 t="str">
            <v>F9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 t="str">
            <v>F9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 t="str">
            <v>F9</v>
          </cell>
          <cell r="DJ102">
            <v>0</v>
          </cell>
          <cell r="DK102">
            <v>0</v>
          </cell>
          <cell r="DL102">
            <v>0</v>
          </cell>
          <cell r="DM102" t="e">
            <v>#VALUE!</v>
          </cell>
          <cell r="DN102">
            <v>0</v>
          </cell>
          <cell r="DO102">
            <v>26</v>
          </cell>
          <cell r="DP102">
            <v>96</v>
          </cell>
          <cell r="DQ102" t="e">
            <v>#VALUE!</v>
          </cell>
          <cell r="DR102">
            <v>0</v>
          </cell>
          <cell r="DS102">
            <v>0</v>
          </cell>
          <cell r="DT102">
            <v>90</v>
          </cell>
          <cell r="DU102" t="e">
            <v>#VALUE!</v>
          </cell>
          <cell r="DV102">
            <v>0</v>
          </cell>
          <cell r="DW102">
            <v>0</v>
          </cell>
          <cell r="DX102">
            <v>78</v>
          </cell>
          <cell r="DY102" t="e">
            <v>#VALUE!</v>
          </cell>
          <cell r="DZ102">
            <v>0</v>
          </cell>
          <cell r="EA102">
            <v>10</v>
          </cell>
          <cell r="EB102">
            <v>93</v>
          </cell>
          <cell r="EC102" t="e">
            <v>#VALUE!</v>
          </cell>
          <cell r="ED102">
            <v>0</v>
          </cell>
          <cell r="EE102">
            <v>0</v>
          </cell>
          <cell r="EF102">
            <v>78</v>
          </cell>
          <cell r="EG102" t="e">
            <v>#VALUE!</v>
          </cell>
          <cell r="EH102">
            <v>0</v>
          </cell>
          <cell r="EI102">
            <v>36</v>
          </cell>
          <cell r="EJ102">
            <v>85</v>
          </cell>
          <cell r="EK102" t="e">
            <v>#VALUE!</v>
          </cell>
          <cell r="EL102">
            <v>0</v>
          </cell>
          <cell r="EM102">
            <v>0</v>
          </cell>
          <cell r="EN102">
            <v>87</v>
          </cell>
          <cell r="EO102" t="e">
            <v>#VALUE!</v>
          </cell>
          <cell r="EP102">
            <v>0</v>
          </cell>
          <cell r="EQ102">
            <v>0</v>
          </cell>
          <cell r="ER102">
            <v>100</v>
          </cell>
          <cell r="ES102" t="e">
            <v>#VALUE!</v>
          </cell>
          <cell r="ET102">
            <v>0</v>
          </cell>
          <cell r="EU102">
            <v>5</v>
          </cell>
          <cell r="EV102">
            <v>70</v>
          </cell>
          <cell r="EW102" t="e">
            <v>#VALUE!</v>
          </cell>
          <cell r="EX102">
            <v>0</v>
          </cell>
          <cell r="EY102">
            <v>0</v>
          </cell>
          <cell r="EZ102">
            <v>86</v>
          </cell>
          <cell r="FA102" t="e">
            <v>#VALUE!</v>
          </cell>
          <cell r="FB102">
            <v>0</v>
          </cell>
          <cell r="FC102">
            <v>0</v>
          </cell>
          <cell r="FD102">
            <v>0</v>
          </cell>
          <cell r="FE102" t="e">
            <v>#VALUE!</v>
          </cell>
          <cell r="FF102">
            <v>0</v>
          </cell>
          <cell r="FG102">
            <v>19</v>
          </cell>
          <cell r="FH102">
            <v>81</v>
          </cell>
          <cell r="FI102" t="e">
            <v>#VALUE!</v>
          </cell>
          <cell r="FJ102">
            <v>0</v>
          </cell>
          <cell r="FK102">
            <v>0</v>
          </cell>
          <cell r="FL102">
            <v>95</v>
          </cell>
          <cell r="FM102" t="e">
            <v>#VALUE!</v>
          </cell>
          <cell r="FN102">
            <v>0</v>
          </cell>
          <cell r="FO102">
            <v>0</v>
          </cell>
          <cell r="FP102">
            <v>84</v>
          </cell>
          <cell r="FQ102" t="e">
            <v>#VALUE!</v>
          </cell>
          <cell r="FR102">
            <v>0</v>
          </cell>
          <cell r="FS102">
            <v>0</v>
          </cell>
          <cell r="FT102">
            <v>82</v>
          </cell>
          <cell r="FU102" t="e">
            <v>#VALUE!</v>
          </cell>
          <cell r="FV102">
            <v>0</v>
          </cell>
          <cell r="FW102">
            <v>0</v>
          </cell>
          <cell r="FX102">
            <v>85</v>
          </cell>
          <cell r="FY102" t="e">
            <v>#VALUE!</v>
          </cell>
          <cell r="FZ102">
            <v>0</v>
          </cell>
          <cell r="GA102">
            <v>0</v>
          </cell>
          <cell r="GB102">
            <v>95</v>
          </cell>
          <cell r="GC102" t="e">
            <v>#VALUE!</v>
          </cell>
          <cell r="GD102">
            <v>0</v>
          </cell>
          <cell r="GE102">
            <v>24</v>
          </cell>
          <cell r="GF102">
            <v>71</v>
          </cell>
          <cell r="GG102" t="e">
            <v>#VALUE!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F9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str">
            <v>F9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 t="str">
            <v>F9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 t="str">
            <v>F9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str">
            <v>F9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 t="str">
            <v>F9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 t="str">
            <v>F9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F9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 t="str">
            <v>F9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 t="str">
            <v>F9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 t="str">
            <v>F9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 t="str">
            <v>F9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 t="str">
            <v>F9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 t="str">
            <v>F9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 t="str">
            <v>F9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 t="str">
            <v>F9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 t="str">
            <v>F9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 t="str">
            <v>F9</v>
          </cell>
          <cell r="DJ103">
            <v>0</v>
          </cell>
          <cell r="DK103">
            <v>0</v>
          </cell>
          <cell r="DL103">
            <v>0</v>
          </cell>
          <cell r="DM103" t="e">
            <v>#VALUE!</v>
          </cell>
          <cell r="DN103">
            <v>0</v>
          </cell>
          <cell r="DO103">
            <v>26</v>
          </cell>
          <cell r="DP103">
            <v>96</v>
          </cell>
          <cell r="DQ103" t="e">
            <v>#VALUE!</v>
          </cell>
          <cell r="DR103">
            <v>0</v>
          </cell>
          <cell r="DS103">
            <v>0</v>
          </cell>
          <cell r="DT103">
            <v>90</v>
          </cell>
          <cell r="DU103" t="e">
            <v>#VALUE!</v>
          </cell>
          <cell r="DV103">
            <v>0</v>
          </cell>
          <cell r="DW103">
            <v>0</v>
          </cell>
          <cell r="DX103">
            <v>78</v>
          </cell>
          <cell r="DY103" t="e">
            <v>#VALUE!</v>
          </cell>
          <cell r="DZ103">
            <v>0</v>
          </cell>
          <cell r="EA103">
            <v>10</v>
          </cell>
          <cell r="EB103">
            <v>93</v>
          </cell>
          <cell r="EC103" t="e">
            <v>#VALUE!</v>
          </cell>
          <cell r="ED103">
            <v>0</v>
          </cell>
          <cell r="EE103">
            <v>0</v>
          </cell>
          <cell r="EF103">
            <v>78</v>
          </cell>
          <cell r="EG103" t="e">
            <v>#VALUE!</v>
          </cell>
          <cell r="EH103">
            <v>0</v>
          </cell>
          <cell r="EI103">
            <v>36</v>
          </cell>
          <cell r="EJ103">
            <v>85</v>
          </cell>
          <cell r="EK103" t="e">
            <v>#VALUE!</v>
          </cell>
          <cell r="EL103">
            <v>0</v>
          </cell>
          <cell r="EM103">
            <v>0</v>
          </cell>
          <cell r="EN103">
            <v>87</v>
          </cell>
          <cell r="EO103" t="e">
            <v>#VALUE!</v>
          </cell>
          <cell r="EP103">
            <v>0</v>
          </cell>
          <cell r="EQ103">
            <v>0</v>
          </cell>
          <cell r="ER103">
            <v>100</v>
          </cell>
          <cell r="ES103" t="e">
            <v>#VALUE!</v>
          </cell>
          <cell r="ET103">
            <v>0</v>
          </cell>
          <cell r="EU103">
            <v>5</v>
          </cell>
          <cell r="EV103">
            <v>70</v>
          </cell>
          <cell r="EW103" t="e">
            <v>#VALUE!</v>
          </cell>
          <cell r="EX103">
            <v>0</v>
          </cell>
          <cell r="EY103">
            <v>0</v>
          </cell>
          <cell r="EZ103">
            <v>86</v>
          </cell>
          <cell r="FA103" t="e">
            <v>#VALUE!</v>
          </cell>
          <cell r="FB103">
            <v>0</v>
          </cell>
          <cell r="FC103">
            <v>0</v>
          </cell>
          <cell r="FD103">
            <v>0</v>
          </cell>
          <cell r="FE103" t="e">
            <v>#VALUE!</v>
          </cell>
          <cell r="FF103">
            <v>0</v>
          </cell>
          <cell r="FG103">
            <v>19</v>
          </cell>
          <cell r="FH103">
            <v>81</v>
          </cell>
          <cell r="FI103" t="e">
            <v>#VALUE!</v>
          </cell>
          <cell r="FJ103">
            <v>0</v>
          </cell>
          <cell r="FK103">
            <v>0</v>
          </cell>
          <cell r="FL103">
            <v>95</v>
          </cell>
          <cell r="FM103" t="e">
            <v>#VALUE!</v>
          </cell>
          <cell r="FN103">
            <v>0</v>
          </cell>
          <cell r="FO103">
            <v>0</v>
          </cell>
          <cell r="FP103">
            <v>84</v>
          </cell>
          <cell r="FQ103" t="e">
            <v>#VALUE!</v>
          </cell>
          <cell r="FR103">
            <v>0</v>
          </cell>
          <cell r="FS103">
            <v>0</v>
          </cell>
          <cell r="FT103">
            <v>82</v>
          </cell>
          <cell r="FU103" t="e">
            <v>#VALUE!</v>
          </cell>
          <cell r="FV103">
            <v>0</v>
          </cell>
          <cell r="FW103">
            <v>0</v>
          </cell>
          <cell r="FX103">
            <v>85</v>
          </cell>
          <cell r="FY103" t="e">
            <v>#VALUE!</v>
          </cell>
          <cell r="FZ103">
            <v>0</v>
          </cell>
          <cell r="GA103">
            <v>0</v>
          </cell>
          <cell r="GB103">
            <v>95</v>
          </cell>
          <cell r="GC103" t="e">
            <v>#VALUE!</v>
          </cell>
          <cell r="GD103">
            <v>0</v>
          </cell>
          <cell r="GE103">
            <v>24</v>
          </cell>
          <cell r="GF103">
            <v>71</v>
          </cell>
          <cell r="GG103" t="e">
            <v>#VALUE!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F9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 t="str">
            <v>F9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 t="str">
            <v>F9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 t="str">
            <v>F9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str">
            <v>F9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 t="str">
            <v>F9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 t="str">
            <v>F9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 t="str">
            <v>F9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 t="str">
            <v>F9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 t="str">
            <v>F9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 t="str">
            <v>F9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 t="str">
            <v>F9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 t="str">
            <v>F9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 t="str">
            <v>F9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 t="str">
            <v>F9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 t="str">
            <v>F9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 t="str">
            <v>F9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 t="str">
            <v>F9</v>
          </cell>
          <cell r="DJ104">
            <v>0</v>
          </cell>
          <cell r="DK104">
            <v>0</v>
          </cell>
          <cell r="DL104">
            <v>0</v>
          </cell>
          <cell r="DM104" t="e">
            <v>#VALUE!</v>
          </cell>
          <cell r="DN104">
            <v>0</v>
          </cell>
          <cell r="DO104">
            <v>26</v>
          </cell>
          <cell r="DP104">
            <v>96</v>
          </cell>
          <cell r="DQ104" t="e">
            <v>#VALUE!</v>
          </cell>
          <cell r="DR104">
            <v>0</v>
          </cell>
          <cell r="DS104">
            <v>0</v>
          </cell>
          <cell r="DT104">
            <v>90</v>
          </cell>
          <cell r="DU104" t="e">
            <v>#VALUE!</v>
          </cell>
          <cell r="DV104">
            <v>0</v>
          </cell>
          <cell r="DW104">
            <v>0</v>
          </cell>
          <cell r="DX104">
            <v>78</v>
          </cell>
          <cell r="DY104" t="e">
            <v>#VALUE!</v>
          </cell>
          <cell r="DZ104">
            <v>0</v>
          </cell>
          <cell r="EA104">
            <v>10</v>
          </cell>
          <cell r="EB104">
            <v>93</v>
          </cell>
          <cell r="EC104" t="e">
            <v>#VALUE!</v>
          </cell>
          <cell r="ED104">
            <v>0</v>
          </cell>
          <cell r="EE104">
            <v>0</v>
          </cell>
          <cell r="EF104">
            <v>78</v>
          </cell>
          <cell r="EG104" t="e">
            <v>#VALUE!</v>
          </cell>
          <cell r="EH104">
            <v>0</v>
          </cell>
          <cell r="EI104">
            <v>36</v>
          </cell>
          <cell r="EJ104">
            <v>85</v>
          </cell>
          <cell r="EK104" t="e">
            <v>#VALUE!</v>
          </cell>
          <cell r="EL104">
            <v>0</v>
          </cell>
          <cell r="EM104">
            <v>0</v>
          </cell>
          <cell r="EN104">
            <v>87</v>
          </cell>
          <cell r="EO104" t="e">
            <v>#VALUE!</v>
          </cell>
          <cell r="EP104">
            <v>0</v>
          </cell>
          <cell r="EQ104">
            <v>0</v>
          </cell>
          <cell r="ER104">
            <v>100</v>
          </cell>
          <cell r="ES104" t="e">
            <v>#VALUE!</v>
          </cell>
          <cell r="ET104">
            <v>0</v>
          </cell>
          <cell r="EU104">
            <v>5</v>
          </cell>
          <cell r="EV104">
            <v>70</v>
          </cell>
          <cell r="EW104" t="e">
            <v>#VALUE!</v>
          </cell>
          <cell r="EX104">
            <v>0</v>
          </cell>
          <cell r="EY104">
            <v>0</v>
          </cell>
          <cell r="EZ104">
            <v>86</v>
          </cell>
          <cell r="FA104" t="e">
            <v>#VALUE!</v>
          </cell>
          <cell r="FB104">
            <v>0</v>
          </cell>
          <cell r="FC104">
            <v>0</v>
          </cell>
          <cell r="FD104">
            <v>0</v>
          </cell>
          <cell r="FE104" t="e">
            <v>#VALUE!</v>
          </cell>
          <cell r="FF104">
            <v>0</v>
          </cell>
          <cell r="FG104">
            <v>19</v>
          </cell>
          <cell r="FH104">
            <v>81</v>
          </cell>
          <cell r="FI104" t="e">
            <v>#VALUE!</v>
          </cell>
          <cell r="FJ104">
            <v>0</v>
          </cell>
          <cell r="FK104">
            <v>0</v>
          </cell>
          <cell r="FL104">
            <v>95</v>
          </cell>
          <cell r="FM104" t="e">
            <v>#VALUE!</v>
          </cell>
          <cell r="FN104">
            <v>0</v>
          </cell>
          <cell r="FO104">
            <v>0</v>
          </cell>
          <cell r="FP104">
            <v>84</v>
          </cell>
          <cell r="FQ104" t="e">
            <v>#VALUE!</v>
          </cell>
          <cell r="FR104">
            <v>0</v>
          </cell>
          <cell r="FS104">
            <v>0</v>
          </cell>
          <cell r="FT104">
            <v>82</v>
          </cell>
          <cell r="FU104" t="e">
            <v>#VALUE!</v>
          </cell>
          <cell r="FV104">
            <v>0</v>
          </cell>
          <cell r="FW104">
            <v>0</v>
          </cell>
          <cell r="FX104">
            <v>85</v>
          </cell>
          <cell r="FY104" t="e">
            <v>#VALUE!</v>
          </cell>
          <cell r="FZ104">
            <v>0</v>
          </cell>
          <cell r="GA104">
            <v>0</v>
          </cell>
          <cell r="GB104">
            <v>95</v>
          </cell>
          <cell r="GC104" t="e">
            <v>#VALUE!</v>
          </cell>
          <cell r="GD104">
            <v>0</v>
          </cell>
          <cell r="GE104">
            <v>24</v>
          </cell>
          <cell r="GF104">
            <v>71</v>
          </cell>
          <cell r="GG104" t="e">
            <v>#VALUE!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F9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 t="str">
            <v>F9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 t="str">
            <v>F9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 t="str">
            <v>F9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F9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 t="str">
            <v>F9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 t="str">
            <v>F9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F9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 t="str">
            <v>F9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 t="str">
            <v>F9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 t="str">
            <v>F9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 t="str">
            <v>F9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 t="str">
            <v>F9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 t="str">
            <v>F9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 t="str">
            <v>F9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 t="str">
            <v>F9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 t="str">
            <v>F9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 t="str">
            <v>F9</v>
          </cell>
          <cell r="DJ105">
            <v>0</v>
          </cell>
          <cell r="DK105">
            <v>0</v>
          </cell>
          <cell r="DL105">
            <v>0</v>
          </cell>
          <cell r="DM105" t="e">
            <v>#VALUE!</v>
          </cell>
          <cell r="DN105">
            <v>0</v>
          </cell>
          <cell r="DO105">
            <v>26</v>
          </cell>
          <cell r="DP105">
            <v>96</v>
          </cell>
          <cell r="DQ105" t="e">
            <v>#VALUE!</v>
          </cell>
          <cell r="DR105">
            <v>0</v>
          </cell>
          <cell r="DS105">
            <v>0</v>
          </cell>
          <cell r="DT105">
            <v>90</v>
          </cell>
          <cell r="DU105" t="e">
            <v>#VALUE!</v>
          </cell>
          <cell r="DV105">
            <v>0</v>
          </cell>
          <cell r="DW105">
            <v>0</v>
          </cell>
          <cell r="DX105">
            <v>78</v>
          </cell>
          <cell r="DY105" t="e">
            <v>#VALUE!</v>
          </cell>
          <cell r="DZ105">
            <v>0</v>
          </cell>
          <cell r="EA105">
            <v>10</v>
          </cell>
          <cell r="EB105">
            <v>93</v>
          </cell>
          <cell r="EC105" t="e">
            <v>#VALUE!</v>
          </cell>
          <cell r="ED105">
            <v>0</v>
          </cell>
          <cell r="EE105">
            <v>0</v>
          </cell>
          <cell r="EF105">
            <v>78</v>
          </cell>
          <cell r="EG105" t="e">
            <v>#VALUE!</v>
          </cell>
          <cell r="EH105">
            <v>0</v>
          </cell>
          <cell r="EI105">
            <v>36</v>
          </cell>
          <cell r="EJ105">
            <v>85</v>
          </cell>
          <cell r="EK105" t="e">
            <v>#VALUE!</v>
          </cell>
          <cell r="EL105">
            <v>0</v>
          </cell>
          <cell r="EM105">
            <v>0</v>
          </cell>
          <cell r="EN105">
            <v>87</v>
          </cell>
          <cell r="EO105" t="e">
            <v>#VALUE!</v>
          </cell>
          <cell r="EP105">
            <v>0</v>
          </cell>
          <cell r="EQ105">
            <v>0</v>
          </cell>
          <cell r="ER105">
            <v>100</v>
          </cell>
          <cell r="ES105" t="e">
            <v>#VALUE!</v>
          </cell>
          <cell r="ET105">
            <v>0</v>
          </cell>
          <cell r="EU105">
            <v>5</v>
          </cell>
          <cell r="EV105">
            <v>70</v>
          </cell>
          <cell r="EW105" t="e">
            <v>#VALUE!</v>
          </cell>
          <cell r="EX105">
            <v>0</v>
          </cell>
          <cell r="EY105">
            <v>0</v>
          </cell>
          <cell r="EZ105">
            <v>86</v>
          </cell>
          <cell r="FA105" t="e">
            <v>#VALUE!</v>
          </cell>
          <cell r="FB105">
            <v>0</v>
          </cell>
          <cell r="FC105">
            <v>0</v>
          </cell>
          <cell r="FD105">
            <v>0</v>
          </cell>
          <cell r="FE105" t="e">
            <v>#VALUE!</v>
          </cell>
          <cell r="FF105">
            <v>0</v>
          </cell>
          <cell r="FG105">
            <v>19</v>
          </cell>
          <cell r="FH105">
            <v>81</v>
          </cell>
          <cell r="FI105" t="e">
            <v>#VALUE!</v>
          </cell>
          <cell r="FJ105">
            <v>0</v>
          </cell>
          <cell r="FK105">
            <v>0</v>
          </cell>
          <cell r="FL105">
            <v>95</v>
          </cell>
          <cell r="FM105" t="e">
            <v>#VALUE!</v>
          </cell>
          <cell r="FN105">
            <v>0</v>
          </cell>
          <cell r="FO105">
            <v>0</v>
          </cell>
          <cell r="FP105">
            <v>84</v>
          </cell>
          <cell r="FQ105" t="e">
            <v>#VALUE!</v>
          </cell>
          <cell r="FR105">
            <v>0</v>
          </cell>
          <cell r="FS105">
            <v>0</v>
          </cell>
          <cell r="FT105">
            <v>82</v>
          </cell>
          <cell r="FU105" t="e">
            <v>#VALUE!</v>
          </cell>
          <cell r="FV105">
            <v>0</v>
          </cell>
          <cell r="FW105">
            <v>0</v>
          </cell>
          <cell r="FX105">
            <v>85</v>
          </cell>
          <cell r="FY105" t="e">
            <v>#VALUE!</v>
          </cell>
          <cell r="FZ105">
            <v>0</v>
          </cell>
          <cell r="GA105">
            <v>0</v>
          </cell>
          <cell r="GB105">
            <v>95</v>
          </cell>
          <cell r="GC105" t="e">
            <v>#VALUE!</v>
          </cell>
          <cell r="GD105">
            <v>0</v>
          </cell>
          <cell r="GE105">
            <v>24</v>
          </cell>
          <cell r="GF105">
            <v>71</v>
          </cell>
          <cell r="GG105" t="e">
            <v>#VALUE!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F9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 t="str">
            <v>F9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 t="str">
            <v>F9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 t="str">
            <v>F9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str">
            <v>F9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 t="str">
            <v>F9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 t="str">
            <v>F9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F9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 t="str">
            <v>F9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 t="str">
            <v>F9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 t="str">
            <v>F9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 t="str">
            <v>F9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 t="str">
            <v>F9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 t="str">
            <v>F9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 t="str">
            <v>F9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 t="str">
            <v>F9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 t="str">
            <v>F9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 t="str">
            <v>F9</v>
          </cell>
          <cell r="DJ106">
            <v>0</v>
          </cell>
          <cell r="DK106">
            <v>0</v>
          </cell>
          <cell r="DL106">
            <v>0</v>
          </cell>
          <cell r="DM106" t="e">
            <v>#VALUE!</v>
          </cell>
          <cell r="DN106">
            <v>0</v>
          </cell>
          <cell r="DO106">
            <v>26</v>
          </cell>
          <cell r="DP106">
            <v>96</v>
          </cell>
          <cell r="DQ106" t="e">
            <v>#VALUE!</v>
          </cell>
          <cell r="DR106">
            <v>0</v>
          </cell>
          <cell r="DS106">
            <v>0</v>
          </cell>
          <cell r="DT106">
            <v>90</v>
          </cell>
          <cell r="DU106" t="e">
            <v>#VALUE!</v>
          </cell>
          <cell r="DV106">
            <v>0</v>
          </cell>
          <cell r="DW106">
            <v>0</v>
          </cell>
          <cell r="DX106">
            <v>78</v>
          </cell>
          <cell r="DY106" t="e">
            <v>#VALUE!</v>
          </cell>
          <cell r="DZ106">
            <v>0</v>
          </cell>
          <cell r="EA106">
            <v>10</v>
          </cell>
          <cell r="EB106">
            <v>93</v>
          </cell>
          <cell r="EC106" t="e">
            <v>#VALUE!</v>
          </cell>
          <cell r="ED106">
            <v>0</v>
          </cell>
          <cell r="EE106">
            <v>0</v>
          </cell>
          <cell r="EF106">
            <v>78</v>
          </cell>
          <cell r="EG106" t="e">
            <v>#VALUE!</v>
          </cell>
          <cell r="EH106">
            <v>0</v>
          </cell>
          <cell r="EI106">
            <v>36</v>
          </cell>
          <cell r="EJ106">
            <v>85</v>
          </cell>
          <cell r="EK106" t="e">
            <v>#VALUE!</v>
          </cell>
          <cell r="EL106">
            <v>0</v>
          </cell>
          <cell r="EM106">
            <v>0</v>
          </cell>
          <cell r="EN106">
            <v>87</v>
          </cell>
          <cell r="EO106" t="e">
            <v>#VALUE!</v>
          </cell>
          <cell r="EP106">
            <v>0</v>
          </cell>
          <cell r="EQ106">
            <v>0</v>
          </cell>
          <cell r="ER106">
            <v>100</v>
          </cell>
          <cell r="ES106" t="e">
            <v>#VALUE!</v>
          </cell>
          <cell r="ET106">
            <v>0</v>
          </cell>
          <cell r="EU106">
            <v>5</v>
          </cell>
          <cell r="EV106">
            <v>70</v>
          </cell>
          <cell r="EW106" t="e">
            <v>#VALUE!</v>
          </cell>
          <cell r="EX106">
            <v>0</v>
          </cell>
          <cell r="EY106">
            <v>0</v>
          </cell>
          <cell r="EZ106">
            <v>86</v>
          </cell>
          <cell r="FA106" t="e">
            <v>#VALUE!</v>
          </cell>
          <cell r="FB106">
            <v>0</v>
          </cell>
          <cell r="FC106">
            <v>0</v>
          </cell>
          <cell r="FD106">
            <v>0</v>
          </cell>
          <cell r="FE106" t="e">
            <v>#VALUE!</v>
          </cell>
          <cell r="FF106">
            <v>0</v>
          </cell>
          <cell r="FG106">
            <v>19</v>
          </cell>
          <cell r="FH106">
            <v>81</v>
          </cell>
          <cell r="FI106" t="e">
            <v>#VALUE!</v>
          </cell>
          <cell r="FJ106">
            <v>0</v>
          </cell>
          <cell r="FK106">
            <v>0</v>
          </cell>
          <cell r="FL106">
            <v>95</v>
          </cell>
          <cell r="FM106" t="e">
            <v>#VALUE!</v>
          </cell>
          <cell r="FN106">
            <v>0</v>
          </cell>
          <cell r="FO106">
            <v>0</v>
          </cell>
          <cell r="FP106">
            <v>84</v>
          </cell>
          <cell r="FQ106" t="e">
            <v>#VALUE!</v>
          </cell>
          <cell r="FR106">
            <v>0</v>
          </cell>
          <cell r="FS106">
            <v>0</v>
          </cell>
          <cell r="FT106">
            <v>82</v>
          </cell>
          <cell r="FU106" t="e">
            <v>#VALUE!</v>
          </cell>
          <cell r="FV106">
            <v>0</v>
          </cell>
          <cell r="FW106">
            <v>0</v>
          </cell>
          <cell r="FX106">
            <v>85</v>
          </cell>
          <cell r="FY106" t="e">
            <v>#VALUE!</v>
          </cell>
          <cell r="FZ106">
            <v>0</v>
          </cell>
          <cell r="GA106">
            <v>0</v>
          </cell>
          <cell r="GB106">
            <v>95</v>
          </cell>
          <cell r="GC106" t="e">
            <v>#VALUE!</v>
          </cell>
          <cell r="GD106">
            <v>0</v>
          </cell>
          <cell r="GE106">
            <v>24</v>
          </cell>
          <cell r="GF106">
            <v>71</v>
          </cell>
          <cell r="GG106" t="e">
            <v>#VALUE!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F9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 t="str">
            <v>F9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 t="str">
            <v>F9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 t="str">
            <v>F9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F9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 t="str">
            <v>F9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 t="str">
            <v>F9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 t="str">
            <v>F9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 t="str">
            <v>F9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 t="str">
            <v>F9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 t="str">
            <v>F9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 t="str">
            <v>F9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 t="str">
            <v>F9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 t="str">
            <v>F9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 t="str">
            <v>F9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 t="str">
            <v>F9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 t="str">
            <v>F9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 t="str">
            <v>F9</v>
          </cell>
          <cell r="DJ107">
            <v>0</v>
          </cell>
          <cell r="DK107">
            <v>0</v>
          </cell>
          <cell r="DL107">
            <v>0</v>
          </cell>
          <cell r="DM107" t="e">
            <v>#VALUE!</v>
          </cell>
          <cell r="DN107">
            <v>0</v>
          </cell>
          <cell r="DO107">
            <v>26</v>
          </cell>
          <cell r="DP107">
            <v>96</v>
          </cell>
          <cell r="DQ107" t="e">
            <v>#VALUE!</v>
          </cell>
          <cell r="DR107">
            <v>0</v>
          </cell>
          <cell r="DS107">
            <v>0</v>
          </cell>
          <cell r="DT107">
            <v>90</v>
          </cell>
          <cell r="DU107" t="e">
            <v>#VALUE!</v>
          </cell>
          <cell r="DV107">
            <v>0</v>
          </cell>
          <cell r="DW107">
            <v>0</v>
          </cell>
          <cell r="DX107">
            <v>78</v>
          </cell>
          <cell r="DY107" t="e">
            <v>#VALUE!</v>
          </cell>
          <cell r="DZ107">
            <v>0</v>
          </cell>
          <cell r="EA107">
            <v>10</v>
          </cell>
          <cell r="EB107">
            <v>93</v>
          </cell>
          <cell r="EC107" t="e">
            <v>#VALUE!</v>
          </cell>
          <cell r="ED107">
            <v>0</v>
          </cell>
          <cell r="EE107">
            <v>0</v>
          </cell>
          <cell r="EF107">
            <v>78</v>
          </cell>
          <cell r="EG107" t="e">
            <v>#VALUE!</v>
          </cell>
          <cell r="EH107">
            <v>0</v>
          </cell>
          <cell r="EI107">
            <v>36</v>
          </cell>
          <cell r="EJ107">
            <v>85</v>
          </cell>
          <cell r="EK107" t="e">
            <v>#VALUE!</v>
          </cell>
          <cell r="EL107">
            <v>0</v>
          </cell>
          <cell r="EM107">
            <v>0</v>
          </cell>
          <cell r="EN107">
            <v>87</v>
          </cell>
          <cell r="EO107" t="e">
            <v>#VALUE!</v>
          </cell>
          <cell r="EP107">
            <v>0</v>
          </cell>
          <cell r="EQ107">
            <v>0</v>
          </cell>
          <cell r="ER107">
            <v>100</v>
          </cell>
          <cell r="ES107" t="e">
            <v>#VALUE!</v>
          </cell>
          <cell r="ET107">
            <v>0</v>
          </cell>
          <cell r="EU107">
            <v>5</v>
          </cell>
          <cell r="EV107">
            <v>70</v>
          </cell>
          <cell r="EW107" t="e">
            <v>#VALUE!</v>
          </cell>
          <cell r="EX107">
            <v>0</v>
          </cell>
          <cell r="EY107">
            <v>0</v>
          </cell>
          <cell r="EZ107">
            <v>86</v>
          </cell>
          <cell r="FA107" t="e">
            <v>#VALUE!</v>
          </cell>
          <cell r="FB107">
            <v>0</v>
          </cell>
          <cell r="FC107">
            <v>0</v>
          </cell>
          <cell r="FD107">
            <v>0</v>
          </cell>
          <cell r="FE107" t="e">
            <v>#VALUE!</v>
          </cell>
          <cell r="FF107">
            <v>0</v>
          </cell>
          <cell r="FG107">
            <v>19</v>
          </cell>
          <cell r="FH107">
            <v>81</v>
          </cell>
          <cell r="FI107" t="e">
            <v>#VALUE!</v>
          </cell>
          <cell r="FJ107">
            <v>0</v>
          </cell>
          <cell r="FK107">
            <v>0</v>
          </cell>
          <cell r="FL107">
            <v>95</v>
          </cell>
          <cell r="FM107" t="e">
            <v>#VALUE!</v>
          </cell>
          <cell r="FN107">
            <v>0</v>
          </cell>
          <cell r="FO107">
            <v>0</v>
          </cell>
          <cell r="FP107">
            <v>84</v>
          </cell>
          <cell r="FQ107" t="e">
            <v>#VALUE!</v>
          </cell>
          <cell r="FR107">
            <v>0</v>
          </cell>
          <cell r="FS107">
            <v>0</v>
          </cell>
          <cell r="FT107">
            <v>82</v>
          </cell>
          <cell r="FU107" t="e">
            <v>#VALUE!</v>
          </cell>
          <cell r="FV107">
            <v>0</v>
          </cell>
          <cell r="FW107">
            <v>0</v>
          </cell>
          <cell r="FX107">
            <v>85</v>
          </cell>
          <cell r="FY107" t="e">
            <v>#VALUE!</v>
          </cell>
          <cell r="FZ107">
            <v>0</v>
          </cell>
          <cell r="GA107">
            <v>0</v>
          </cell>
          <cell r="GB107">
            <v>95</v>
          </cell>
          <cell r="GC107" t="e">
            <v>#VALUE!</v>
          </cell>
          <cell r="GD107">
            <v>0</v>
          </cell>
          <cell r="GE107">
            <v>24</v>
          </cell>
          <cell r="GF107">
            <v>71</v>
          </cell>
          <cell r="GG107" t="e">
            <v>#VALUE!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F9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 t="str">
            <v>F9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 t="str">
            <v>F9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 t="str">
            <v>F9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str">
            <v>F9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 t="str">
            <v>F9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 t="str">
            <v>F9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F9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 t="str">
            <v>F9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 t="str">
            <v>F9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 t="str">
            <v>F9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 t="str">
            <v>F9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 t="str">
            <v>F9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 t="str">
            <v>F9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 t="str">
            <v>F9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 t="str">
            <v>F9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 t="str">
            <v>F9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 t="str">
            <v>F9</v>
          </cell>
          <cell r="DJ108">
            <v>0</v>
          </cell>
          <cell r="DK108">
            <v>0</v>
          </cell>
          <cell r="DL108">
            <v>0</v>
          </cell>
          <cell r="DM108" t="e">
            <v>#VALUE!</v>
          </cell>
          <cell r="DN108">
            <v>0</v>
          </cell>
          <cell r="DO108">
            <v>26</v>
          </cell>
          <cell r="DP108">
            <v>96</v>
          </cell>
          <cell r="DQ108" t="e">
            <v>#VALUE!</v>
          </cell>
          <cell r="DR108">
            <v>0</v>
          </cell>
          <cell r="DS108">
            <v>0</v>
          </cell>
          <cell r="DT108">
            <v>90</v>
          </cell>
          <cell r="DU108" t="e">
            <v>#VALUE!</v>
          </cell>
          <cell r="DV108">
            <v>0</v>
          </cell>
          <cell r="DW108">
            <v>0</v>
          </cell>
          <cell r="DX108">
            <v>78</v>
          </cell>
          <cell r="DY108" t="e">
            <v>#VALUE!</v>
          </cell>
          <cell r="DZ108">
            <v>0</v>
          </cell>
          <cell r="EA108">
            <v>10</v>
          </cell>
          <cell r="EB108">
            <v>93</v>
          </cell>
          <cell r="EC108" t="e">
            <v>#VALUE!</v>
          </cell>
          <cell r="ED108">
            <v>0</v>
          </cell>
          <cell r="EE108">
            <v>0</v>
          </cell>
          <cell r="EF108">
            <v>78</v>
          </cell>
          <cell r="EG108" t="e">
            <v>#VALUE!</v>
          </cell>
          <cell r="EH108">
            <v>0</v>
          </cell>
          <cell r="EI108">
            <v>36</v>
          </cell>
          <cell r="EJ108">
            <v>85</v>
          </cell>
          <cell r="EK108" t="e">
            <v>#VALUE!</v>
          </cell>
          <cell r="EL108">
            <v>0</v>
          </cell>
          <cell r="EM108">
            <v>0</v>
          </cell>
          <cell r="EN108">
            <v>87</v>
          </cell>
          <cell r="EO108" t="e">
            <v>#VALUE!</v>
          </cell>
          <cell r="EP108">
            <v>0</v>
          </cell>
          <cell r="EQ108">
            <v>0</v>
          </cell>
          <cell r="ER108">
            <v>100</v>
          </cell>
          <cell r="ES108" t="e">
            <v>#VALUE!</v>
          </cell>
          <cell r="ET108">
            <v>0</v>
          </cell>
          <cell r="EU108">
            <v>5</v>
          </cell>
          <cell r="EV108">
            <v>70</v>
          </cell>
          <cell r="EW108" t="e">
            <v>#VALUE!</v>
          </cell>
          <cell r="EX108">
            <v>0</v>
          </cell>
          <cell r="EY108">
            <v>0</v>
          </cell>
          <cell r="EZ108">
            <v>86</v>
          </cell>
          <cell r="FA108" t="e">
            <v>#VALUE!</v>
          </cell>
          <cell r="FB108">
            <v>0</v>
          </cell>
          <cell r="FC108">
            <v>0</v>
          </cell>
          <cell r="FD108">
            <v>0</v>
          </cell>
          <cell r="FE108" t="e">
            <v>#VALUE!</v>
          </cell>
          <cell r="FF108">
            <v>0</v>
          </cell>
          <cell r="FG108">
            <v>19</v>
          </cell>
          <cell r="FH108">
            <v>81</v>
          </cell>
          <cell r="FI108" t="e">
            <v>#VALUE!</v>
          </cell>
          <cell r="FJ108">
            <v>0</v>
          </cell>
          <cell r="FK108">
            <v>0</v>
          </cell>
          <cell r="FL108">
            <v>95</v>
          </cell>
          <cell r="FM108" t="e">
            <v>#VALUE!</v>
          </cell>
          <cell r="FN108">
            <v>0</v>
          </cell>
          <cell r="FO108">
            <v>0</v>
          </cell>
          <cell r="FP108">
            <v>84</v>
          </cell>
          <cell r="FQ108" t="e">
            <v>#VALUE!</v>
          </cell>
          <cell r="FR108">
            <v>0</v>
          </cell>
          <cell r="FS108">
            <v>0</v>
          </cell>
          <cell r="FT108">
            <v>82</v>
          </cell>
          <cell r="FU108" t="e">
            <v>#VALUE!</v>
          </cell>
          <cell r="FV108">
            <v>0</v>
          </cell>
          <cell r="FW108">
            <v>0</v>
          </cell>
          <cell r="FX108">
            <v>85</v>
          </cell>
          <cell r="FY108" t="e">
            <v>#VALUE!</v>
          </cell>
          <cell r="FZ108">
            <v>0</v>
          </cell>
          <cell r="GA108">
            <v>0</v>
          </cell>
          <cell r="GB108">
            <v>95</v>
          </cell>
          <cell r="GC108" t="e">
            <v>#VALUE!</v>
          </cell>
          <cell r="GD108">
            <v>0</v>
          </cell>
          <cell r="GE108">
            <v>24</v>
          </cell>
          <cell r="GF108">
            <v>71</v>
          </cell>
          <cell r="GG108" t="e">
            <v>#VALUE!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F9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 t="str">
            <v>F9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 t="str">
            <v>F9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 t="str">
            <v>F9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str">
            <v>F9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 t="str">
            <v>F9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 t="str">
            <v>F9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 t="str">
            <v>F9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 t="str">
            <v>F9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 t="str">
            <v>F9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 t="str">
            <v>F9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 t="str">
            <v>F9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 t="str">
            <v>F9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 t="str">
            <v>F9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 t="str">
            <v>F9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 t="str">
            <v>F9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 t="str">
            <v>F9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 t="str">
            <v>F9</v>
          </cell>
          <cell r="DJ109">
            <v>0</v>
          </cell>
          <cell r="DK109">
            <v>0</v>
          </cell>
          <cell r="DL109">
            <v>0</v>
          </cell>
          <cell r="DM109" t="e">
            <v>#VALUE!</v>
          </cell>
          <cell r="DN109">
            <v>0</v>
          </cell>
          <cell r="DO109">
            <v>26</v>
          </cell>
          <cell r="DP109">
            <v>96</v>
          </cell>
          <cell r="DQ109" t="e">
            <v>#VALUE!</v>
          </cell>
          <cell r="DR109">
            <v>0</v>
          </cell>
          <cell r="DS109">
            <v>0</v>
          </cell>
          <cell r="DT109">
            <v>90</v>
          </cell>
          <cell r="DU109" t="e">
            <v>#VALUE!</v>
          </cell>
          <cell r="DV109">
            <v>0</v>
          </cell>
          <cell r="DW109">
            <v>0</v>
          </cell>
          <cell r="DX109">
            <v>78</v>
          </cell>
          <cell r="DY109" t="e">
            <v>#VALUE!</v>
          </cell>
          <cell r="DZ109">
            <v>0</v>
          </cell>
          <cell r="EA109">
            <v>10</v>
          </cell>
          <cell r="EB109">
            <v>93</v>
          </cell>
          <cell r="EC109" t="e">
            <v>#VALUE!</v>
          </cell>
          <cell r="ED109">
            <v>0</v>
          </cell>
          <cell r="EE109">
            <v>0</v>
          </cell>
          <cell r="EF109">
            <v>78</v>
          </cell>
          <cell r="EG109" t="e">
            <v>#VALUE!</v>
          </cell>
          <cell r="EH109">
            <v>0</v>
          </cell>
          <cell r="EI109">
            <v>36</v>
          </cell>
          <cell r="EJ109">
            <v>85</v>
          </cell>
          <cell r="EK109" t="e">
            <v>#VALUE!</v>
          </cell>
          <cell r="EL109">
            <v>0</v>
          </cell>
          <cell r="EM109">
            <v>0</v>
          </cell>
          <cell r="EN109">
            <v>87</v>
          </cell>
          <cell r="EO109" t="e">
            <v>#VALUE!</v>
          </cell>
          <cell r="EP109">
            <v>0</v>
          </cell>
          <cell r="EQ109">
            <v>0</v>
          </cell>
          <cell r="ER109">
            <v>100</v>
          </cell>
          <cell r="ES109" t="e">
            <v>#VALUE!</v>
          </cell>
          <cell r="ET109">
            <v>0</v>
          </cell>
          <cell r="EU109">
            <v>5</v>
          </cell>
          <cell r="EV109">
            <v>70</v>
          </cell>
          <cell r="EW109" t="e">
            <v>#VALUE!</v>
          </cell>
          <cell r="EX109">
            <v>0</v>
          </cell>
          <cell r="EY109">
            <v>0</v>
          </cell>
          <cell r="EZ109">
            <v>86</v>
          </cell>
          <cell r="FA109" t="e">
            <v>#VALUE!</v>
          </cell>
          <cell r="FB109">
            <v>0</v>
          </cell>
          <cell r="FC109">
            <v>0</v>
          </cell>
          <cell r="FD109">
            <v>0</v>
          </cell>
          <cell r="FE109" t="e">
            <v>#VALUE!</v>
          </cell>
          <cell r="FF109">
            <v>0</v>
          </cell>
          <cell r="FG109">
            <v>19</v>
          </cell>
          <cell r="FH109">
            <v>81</v>
          </cell>
          <cell r="FI109" t="e">
            <v>#VALUE!</v>
          </cell>
          <cell r="FJ109">
            <v>0</v>
          </cell>
          <cell r="FK109">
            <v>0</v>
          </cell>
          <cell r="FL109">
            <v>95</v>
          </cell>
          <cell r="FM109" t="e">
            <v>#VALUE!</v>
          </cell>
          <cell r="FN109">
            <v>0</v>
          </cell>
          <cell r="FO109">
            <v>0</v>
          </cell>
          <cell r="FP109">
            <v>84</v>
          </cell>
          <cell r="FQ109" t="e">
            <v>#VALUE!</v>
          </cell>
          <cell r="FR109">
            <v>0</v>
          </cell>
          <cell r="FS109">
            <v>0</v>
          </cell>
          <cell r="FT109">
            <v>82</v>
          </cell>
          <cell r="FU109" t="e">
            <v>#VALUE!</v>
          </cell>
          <cell r="FV109">
            <v>0</v>
          </cell>
          <cell r="FW109">
            <v>0</v>
          </cell>
          <cell r="FX109">
            <v>85</v>
          </cell>
          <cell r="FY109" t="e">
            <v>#VALUE!</v>
          </cell>
          <cell r="FZ109">
            <v>0</v>
          </cell>
          <cell r="GA109">
            <v>0</v>
          </cell>
          <cell r="GB109">
            <v>95</v>
          </cell>
          <cell r="GC109" t="e">
            <v>#VALUE!</v>
          </cell>
          <cell r="GD109">
            <v>0</v>
          </cell>
          <cell r="GE109">
            <v>24</v>
          </cell>
          <cell r="GF109">
            <v>71</v>
          </cell>
          <cell r="GG109" t="e">
            <v>#VALUE!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F9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 t="str">
            <v>F9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 t="str">
            <v>F9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 t="str">
            <v>F9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 t="str">
            <v>F9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 t="str">
            <v>F9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 t="str">
            <v>F9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F9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 t="str">
            <v>F9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 t="str">
            <v>F9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 t="str">
            <v>F9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 t="str">
            <v>F9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 t="str">
            <v>F9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 t="str">
            <v>F9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 t="str">
            <v>F9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 t="str">
            <v>F9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 t="str">
            <v>F9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 t="str">
            <v>F9</v>
          </cell>
          <cell r="DJ110">
            <v>0</v>
          </cell>
          <cell r="DK110">
            <v>0</v>
          </cell>
          <cell r="DL110">
            <v>0</v>
          </cell>
          <cell r="DM110" t="e">
            <v>#VALUE!</v>
          </cell>
          <cell r="DN110">
            <v>0</v>
          </cell>
          <cell r="DO110">
            <v>26</v>
          </cell>
          <cell r="DP110">
            <v>96</v>
          </cell>
          <cell r="DQ110" t="e">
            <v>#VALUE!</v>
          </cell>
          <cell r="DR110">
            <v>0</v>
          </cell>
          <cell r="DS110">
            <v>0</v>
          </cell>
          <cell r="DT110">
            <v>90</v>
          </cell>
          <cell r="DU110" t="e">
            <v>#VALUE!</v>
          </cell>
          <cell r="DV110">
            <v>0</v>
          </cell>
          <cell r="DW110">
            <v>0</v>
          </cell>
          <cell r="DX110">
            <v>78</v>
          </cell>
          <cell r="DY110" t="e">
            <v>#VALUE!</v>
          </cell>
          <cell r="DZ110">
            <v>0</v>
          </cell>
          <cell r="EA110">
            <v>10</v>
          </cell>
          <cell r="EB110">
            <v>93</v>
          </cell>
          <cell r="EC110" t="e">
            <v>#VALUE!</v>
          </cell>
          <cell r="ED110">
            <v>0</v>
          </cell>
          <cell r="EE110">
            <v>0</v>
          </cell>
          <cell r="EF110">
            <v>78</v>
          </cell>
          <cell r="EG110" t="e">
            <v>#VALUE!</v>
          </cell>
          <cell r="EH110">
            <v>0</v>
          </cell>
          <cell r="EI110">
            <v>36</v>
          </cell>
          <cell r="EJ110">
            <v>85</v>
          </cell>
          <cell r="EK110" t="e">
            <v>#VALUE!</v>
          </cell>
          <cell r="EL110">
            <v>0</v>
          </cell>
          <cell r="EM110">
            <v>0</v>
          </cell>
          <cell r="EN110">
            <v>87</v>
          </cell>
          <cell r="EO110" t="e">
            <v>#VALUE!</v>
          </cell>
          <cell r="EP110">
            <v>0</v>
          </cell>
          <cell r="EQ110">
            <v>0</v>
          </cell>
          <cell r="ER110">
            <v>100</v>
          </cell>
          <cell r="ES110" t="e">
            <v>#VALUE!</v>
          </cell>
          <cell r="ET110">
            <v>0</v>
          </cell>
          <cell r="EU110">
            <v>5</v>
          </cell>
          <cell r="EV110">
            <v>70</v>
          </cell>
          <cell r="EW110" t="e">
            <v>#VALUE!</v>
          </cell>
          <cell r="EX110">
            <v>0</v>
          </cell>
          <cell r="EY110">
            <v>0</v>
          </cell>
          <cell r="EZ110">
            <v>86</v>
          </cell>
          <cell r="FA110" t="e">
            <v>#VALUE!</v>
          </cell>
          <cell r="FB110">
            <v>0</v>
          </cell>
          <cell r="FC110">
            <v>0</v>
          </cell>
          <cell r="FD110">
            <v>0</v>
          </cell>
          <cell r="FE110" t="e">
            <v>#VALUE!</v>
          </cell>
          <cell r="FF110">
            <v>0</v>
          </cell>
          <cell r="FG110">
            <v>19</v>
          </cell>
          <cell r="FH110">
            <v>81</v>
          </cell>
          <cell r="FI110" t="e">
            <v>#VALUE!</v>
          </cell>
          <cell r="FJ110">
            <v>0</v>
          </cell>
          <cell r="FK110">
            <v>0</v>
          </cell>
          <cell r="FL110">
            <v>95</v>
          </cell>
          <cell r="FM110" t="e">
            <v>#VALUE!</v>
          </cell>
          <cell r="FN110">
            <v>0</v>
          </cell>
          <cell r="FO110">
            <v>0</v>
          </cell>
          <cell r="FP110">
            <v>84</v>
          </cell>
          <cell r="FQ110" t="e">
            <v>#VALUE!</v>
          </cell>
          <cell r="FR110">
            <v>0</v>
          </cell>
          <cell r="FS110">
            <v>0</v>
          </cell>
          <cell r="FT110">
            <v>82</v>
          </cell>
          <cell r="FU110" t="e">
            <v>#VALUE!</v>
          </cell>
          <cell r="FV110">
            <v>0</v>
          </cell>
          <cell r="FW110">
            <v>0</v>
          </cell>
          <cell r="FX110">
            <v>85</v>
          </cell>
          <cell r="FY110" t="e">
            <v>#VALUE!</v>
          </cell>
          <cell r="FZ110">
            <v>0</v>
          </cell>
          <cell r="GA110">
            <v>0</v>
          </cell>
          <cell r="GB110">
            <v>95</v>
          </cell>
          <cell r="GC110" t="e">
            <v>#VALUE!</v>
          </cell>
          <cell r="GD110">
            <v>0</v>
          </cell>
          <cell r="GE110">
            <v>24</v>
          </cell>
          <cell r="GF110">
            <v>71</v>
          </cell>
          <cell r="GG110" t="e">
            <v>#VALUE!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F9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 t="str">
            <v>F9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 t="str">
            <v>F9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 t="str">
            <v>F9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 t="str">
            <v>F9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 t="str">
            <v>F9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 t="str">
            <v>F9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F9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 t="str">
            <v>F9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 t="str">
            <v>F9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 t="str">
            <v>F9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 t="str">
            <v>F9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 t="str">
            <v>F9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 t="str">
            <v>F9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 t="str">
            <v>F9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 t="str">
            <v>F9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 t="str">
            <v>F9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 t="str">
            <v>F9</v>
          </cell>
          <cell r="DJ111">
            <v>0</v>
          </cell>
          <cell r="DK111">
            <v>0</v>
          </cell>
          <cell r="DL111">
            <v>0</v>
          </cell>
          <cell r="DM111" t="e">
            <v>#VALUE!</v>
          </cell>
          <cell r="DN111">
            <v>0</v>
          </cell>
          <cell r="DO111">
            <v>26</v>
          </cell>
          <cell r="DP111">
            <v>96</v>
          </cell>
          <cell r="DQ111" t="e">
            <v>#VALUE!</v>
          </cell>
          <cell r="DR111">
            <v>0</v>
          </cell>
          <cell r="DS111">
            <v>0</v>
          </cell>
          <cell r="DT111">
            <v>90</v>
          </cell>
          <cell r="DU111" t="e">
            <v>#VALUE!</v>
          </cell>
          <cell r="DV111">
            <v>0</v>
          </cell>
          <cell r="DW111">
            <v>0</v>
          </cell>
          <cell r="DX111">
            <v>78</v>
          </cell>
          <cell r="DY111" t="e">
            <v>#VALUE!</v>
          </cell>
          <cell r="DZ111">
            <v>0</v>
          </cell>
          <cell r="EA111">
            <v>10</v>
          </cell>
          <cell r="EB111">
            <v>93</v>
          </cell>
          <cell r="EC111" t="e">
            <v>#VALUE!</v>
          </cell>
          <cell r="ED111">
            <v>0</v>
          </cell>
          <cell r="EE111">
            <v>0</v>
          </cell>
          <cell r="EF111">
            <v>78</v>
          </cell>
          <cell r="EG111" t="e">
            <v>#VALUE!</v>
          </cell>
          <cell r="EH111">
            <v>0</v>
          </cell>
          <cell r="EI111">
            <v>36</v>
          </cell>
          <cell r="EJ111">
            <v>85</v>
          </cell>
          <cell r="EK111" t="e">
            <v>#VALUE!</v>
          </cell>
          <cell r="EL111">
            <v>0</v>
          </cell>
          <cell r="EM111">
            <v>0</v>
          </cell>
          <cell r="EN111">
            <v>87</v>
          </cell>
          <cell r="EO111" t="e">
            <v>#VALUE!</v>
          </cell>
          <cell r="EP111">
            <v>0</v>
          </cell>
          <cell r="EQ111">
            <v>0</v>
          </cell>
          <cell r="ER111">
            <v>100</v>
          </cell>
          <cell r="ES111" t="e">
            <v>#VALUE!</v>
          </cell>
          <cell r="ET111">
            <v>0</v>
          </cell>
          <cell r="EU111">
            <v>5</v>
          </cell>
          <cell r="EV111">
            <v>70</v>
          </cell>
          <cell r="EW111" t="e">
            <v>#VALUE!</v>
          </cell>
          <cell r="EX111">
            <v>0</v>
          </cell>
          <cell r="EY111">
            <v>0</v>
          </cell>
          <cell r="EZ111">
            <v>86</v>
          </cell>
          <cell r="FA111" t="e">
            <v>#VALUE!</v>
          </cell>
          <cell r="FB111">
            <v>0</v>
          </cell>
          <cell r="FC111">
            <v>0</v>
          </cell>
          <cell r="FD111">
            <v>0</v>
          </cell>
          <cell r="FE111" t="e">
            <v>#VALUE!</v>
          </cell>
          <cell r="FF111">
            <v>0</v>
          </cell>
          <cell r="FG111">
            <v>19</v>
          </cell>
          <cell r="FH111">
            <v>81</v>
          </cell>
          <cell r="FI111" t="e">
            <v>#VALUE!</v>
          </cell>
          <cell r="FJ111">
            <v>0</v>
          </cell>
          <cell r="FK111">
            <v>0</v>
          </cell>
          <cell r="FL111">
            <v>95</v>
          </cell>
          <cell r="FM111" t="e">
            <v>#VALUE!</v>
          </cell>
          <cell r="FN111">
            <v>0</v>
          </cell>
          <cell r="FO111">
            <v>0</v>
          </cell>
          <cell r="FP111">
            <v>84</v>
          </cell>
          <cell r="FQ111" t="e">
            <v>#VALUE!</v>
          </cell>
          <cell r="FR111">
            <v>0</v>
          </cell>
          <cell r="FS111">
            <v>0</v>
          </cell>
          <cell r="FT111">
            <v>82</v>
          </cell>
          <cell r="FU111" t="e">
            <v>#VALUE!</v>
          </cell>
          <cell r="FV111">
            <v>0</v>
          </cell>
          <cell r="FW111">
            <v>0</v>
          </cell>
          <cell r="FX111">
            <v>85</v>
          </cell>
          <cell r="FY111" t="e">
            <v>#VALUE!</v>
          </cell>
          <cell r="FZ111">
            <v>0</v>
          </cell>
          <cell r="GA111">
            <v>0</v>
          </cell>
          <cell r="GB111">
            <v>95</v>
          </cell>
          <cell r="GC111" t="e">
            <v>#VALUE!</v>
          </cell>
          <cell r="GD111">
            <v>0</v>
          </cell>
          <cell r="GE111">
            <v>24</v>
          </cell>
          <cell r="GF111">
            <v>71</v>
          </cell>
          <cell r="GG111" t="e">
            <v>#VALUE!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F9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 t="str">
            <v>F9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 t="str">
            <v>F9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 t="str">
            <v>F9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F9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 t="str">
            <v>F9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 t="str">
            <v>F9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F9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 t="str">
            <v>F9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 t="str">
            <v>F9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 t="str">
            <v>F9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 t="str">
            <v>F9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 t="str">
            <v>F9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 t="str">
            <v>F9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 t="str">
            <v>F9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 t="str">
            <v>F9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 t="str">
            <v>F9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 t="str">
            <v>F9</v>
          </cell>
          <cell r="DJ112">
            <v>0</v>
          </cell>
          <cell r="DK112">
            <v>0</v>
          </cell>
          <cell r="DL112">
            <v>0</v>
          </cell>
          <cell r="DM112" t="e">
            <v>#VALUE!</v>
          </cell>
          <cell r="DN112">
            <v>0</v>
          </cell>
          <cell r="DO112">
            <v>26</v>
          </cell>
          <cell r="DP112">
            <v>96</v>
          </cell>
          <cell r="DQ112" t="e">
            <v>#VALUE!</v>
          </cell>
          <cell r="DR112">
            <v>0</v>
          </cell>
          <cell r="DS112">
            <v>0</v>
          </cell>
          <cell r="DT112">
            <v>90</v>
          </cell>
          <cell r="DU112" t="e">
            <v>#VALUE!</v>
          </cell>
          <cell r="DV112">
            <v>0</v>
          </cell>
          <cell r="DW112">
            <v>0</v>
          </cell>
          <cell r="DX112">
            <v>78</v>
          </cell>
          <cell r="DY112" t="e">
            <v>#VALUE!</v>
          </cell>
          <cell r="DZ112">
            <v>0</v>
          </cell>
          <cell r="EA112">
            <v>10</v>
          </cell>
          <cell r="EB112">
            <v>93</v>
          </cell>
          <cell r="EC112" t="e">
            <v>#VALUE!</v>
          </cell>
          <cell r="ED112">
            <v>0</v>
          </cell>
          <cell r="EE112">
            <v>0</v>
          </cell>
          <cell r="EF112">
            <v>78</v>
          </cell>
          <cell r="EG112" t="e">
            <v>#VALUE!</v>
          </cell>
          <cell r="EH112">
            <v>0</v>
          </cell>
          <cell r="EI112">
            <v>36</v>
          </cell>
          <cell r="EJ112">
            <v>85</v>
          </cell>
          <cell r="EK112" t="e">
            <v>#VALUE!</v>
          </cell>
          <cell r="EL112">
            <v>0</v>
          </cell>
          <cell r="EM112">
            <v>0</v>
          </cell>
          <cell r="EN112">
            <v>87</v>
          </cell>
          <cell r="EO112" t="e">
            <v>#VALUE!</v>
          </cell>
          <cell r="EP112">
            <v>0</v>
          </cell>
          <cell r="EQ112">
            <v>0</v>
          </cell>
          <cell r="ER112">
            <v>100</v>
          </cell>
          <cell r="ES112" t="e">
            <v>#VALUE!</v>
          </cell>
          <cell r="ET112">
            <v>0</v>
          </cell>
          <cell r="EU112">
            <v>5</v>
          </cell>
          <cell r="EV112">
            <v>70</v>
          </cell>
          <cell r="EW112" t="e">
            <v>#VALUE!</v>
          </cell>
          <cell r="EX112">
            <v>0</v>
          </cell>
          <cell r="EY112">
            <v>0</v>
          </cell>
          <cell r="EZ112">
            <v>86</v>
          </cell>
          <cell r="FA112" t="e">
            <v>#VALUE!</v>
          </cell>
          <cell r="FB112">
            <v>0</v>
          </cell>
          <cell r="FC112">
            <v>0</v>
          </cell>
          <cell r="FD112">
            <v>0</v>
          </cell>
          <cell r="FE112" t="e">
            <v>#VALUE!</v>
          </cell>
          <cell r="FF112">
            <v>0</v>
          </cell>
          <cell r="FG112">
            <v>19</v>
          </cell>
          <cell r="FH112">
            <v>81</v>
          </cell>
          <cell r="FI112" t="e">
            <v>#VALUE!</v>
          </cell>
          <cell r="FJ112">
            <v>0</v>
          </cell>
          <cell r="FK112">
            <v>0</v>
          </cell>
          <cell r="FL112">
            <v>95</v>
          </cell>
          <cell r="FM112" t="e">
            <v>#VALUE!</v>
          </cell>
          <cell r="FN112">
            <v>0</v>
          </cell>
          <cell r="FO112">
            <v>0</v>
          </cell>
          <cell r="FP112">
            <v>84</v>
          </cell>
          <cell r="FQ112" t="e">
            <v>#VALUE!</v>
          </cell>
          <cell r="FR112">
            <v>0</v>
          </cell>
          <cell r="FS112">
            <v>0</v>
          </cell>
          <cell r="FT112">
            <v>82</v>
          </cell>
          <cell r="FU112" t="e">
            <v>#VALUE!</v>
          </cell>
          <cell r="FV112">
            <v>0</v>
          </cell>
          <cell r="FW112">
            <v>0</v>
          </cell>
          <cell r="FX112">
            <v>85</v>
          </cell>
          <cell r="FY112" t="e">
            <v>#VALUE!</v>
          </cell>
          <cell r="FZ112">
            <v>0</v>
          </cell>
          <cell r="GA112">
            <v>0</v>
          </cell>
          <cell r="GB112">
            <v>95</v>
          </cell>
          <cell r="GC112" t="e">
            <v>#VALUE!</v>
          </cell>
          <cell r="GD112">
            <v>0</v>
          </cell>
          <cell r="GE112">
            <v>24</v>
          </cell>
          <cell r="GF112">
            <v>71</v>
          </cell>
          <cell r="GG112" t="e">
            <v>#VALUE!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F9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 t="str">
            <v>F9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 t="str">
            <v>F9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 t="str">
            <v>F9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str">
            <v>F9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 t="str">
            <v>F9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 t="str">
            <v>F9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 t="str">
            <v>F9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 t="str">
            <v>F9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 t="str">
            <v>F9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 t="str">
            <v>F9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 t="str">
            <v>F9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 t="str">
            <v>F9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 t="str">
            <v>F9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 t="str">
            <v>F9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 t="str">
            <v>F9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 t="str">
            <v>F9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 t="str">
            <v>F9</v>
          </cell>
          <cell r="DJ113">
            <v>0</v>
          </cell>
          <cell r="DK113">
            <v>0</v>
          </cell>
          <cell r="DL113">
            <v>0</v>
          </cell>
          <cell r="DM113" t="e">
            <v>#VALUE!</v>
          </cell>
          <cell r="DN113">
            <v>0</v>
          </cell>
          <cell r="DO113">
            <v>26</v>
          </cell>
          <cell r="DP113">
            <v>96</v>
          </cell>
          <cell r="DQ113" t="e">
            <v>#VALUE!</v>
          </cell>
          <cell r="DR113">
            <v>0</v>
          </cell>
          <cell r="DS113">
            <v>0</v>
          </cell>
          <cell r="DT113">
            <v>90</v>
          </cell>
          <cell r="DU113" t="e">
            <v>#VALUE!</v>
          </cell>
          <cell r="DV113">
            <v>0</v>
          </cell>
          <cell r="DW113">
            <v>0</v>
          </cell>
          <cell r="DX113">
            <v>78</v>
          </cell>
          <cell r="DY113" t="e">
            <v>#VALUE!</v>
          </cell>
          <cell r="DZ113">
            <v>0</v>
          </cell>
          <cell r="EA113">
            <v>10</v>
          </cell>
          <cell r="EB113">
            <v>93</v>
          </cell>
          <cell r="EC113" t="e">
            <v>#VALUE!</v>
          </cell>
          <cell r="ED113">
            <v>0</v>
          </cell>
          <cell r="EE113">
            <v>0</v>
          </cell>
          <cell r="EF113">
            <v>78</v>
          </cell>
          <cell r="EG113" t="e">
            <v>#VALUE!</v>
          </cell>
          <cell r="EH113">
            <v>0</v>
          </cell>
          <cell r="EI113">
            <v>36</v>
          </cell>
          <cell r="EJ113">
            <v>85</v>
          </cell>
          <cell r="EK113" t="e">
            <v>#VALUE!</v>
          </cell>
          <cell r="EL113">
            <v>0</v>
          </cell>
          <cell r="EM113">
            <v>0</v>
          </cell>
          <cell r="EN113">
            <v>87</v>
          </cell>
          <cell r="EO113" t="e">
            <v>#VALUE!</v>
          </cell>
          <cell r="EP113">
            <v>0</v>
          </cell>
          <cell r="EQ113">
            <v>0</v>
          </cell>
          <cell r="ER113">
            <v>100</v>
          </cell>
          <cell r="ES113" t="e">
            <v>#VALUE!</v>
          </cell>
          <cell r="ET113">
            <v>0</v>
          </cell>
          <cell r="EU113">
            <v>5</v>
          </cell>
          <cell r="EV113">
            <v>70</v>
          </cell>
          <cell r="EW113" t="e">
            <v>#VALUE!</v>
          </cell>
          <cell r="EX113">
            <v>0</v>
          </cell>
          <cell r="EY113">
            <v>0</v>
          </cell>
          <cell r="EZ113">
            <v>86</v>
          </cell>
          <cell r="FA113" t="e">
            <v>#VALUE!</v>
          </cell>
          <cell r="FB113">
            <v>0</v>
          </cell>
          <cell r="FC113">
            <v>0</v>
          </cell>
          <cell r="FD113">
            <v>0</v>
          </cell>
          <cell r="FE113" t="e">
            <v>#VALUE!</v>
          </cell>
          <cell r="FF113">
            <v>0</v>
          </cell>
          <cell r="FG113">
            <v>19</v>
          </cell>
          <cell r="FH113">
            <v>81</v>
          </cell>
          <cell r="FI113" t="e">
            <v>#VALUE!</v>
          </cell>
          <cell r="FJ113">
            <v>0</v>
          </cell>
          <cell r="FK113">
            <v>0</v>
          </cell>
          <cell r="FL113">
            <v>95</v>
          </cell>
          <cell r="FM113" t="e">
            <v>#VALUE!</v>
          </cell>
          <cell r="FN113">
            <v>0</v>
          </cell>
          <cell r="FO113">
            <v>0</v>
          </cell>
          <cell r="FP113">
            <v>84</v>
          </cell>
          <cell r="FQ113" t="e">
            <v>#VALUE!</v>
          </cell>
          <cell r="FR113">
            <v>0</v>
          </cell>
          <cell r="FS113">
            <v>0</v>
          </cell>
          <cell r="FT113">
            <v>82</v>
          </cell>
          <cell r="FU113" t="e">
            <v>#VALUE!</v>
          </cell>
          <cell r="FV113">
            <v>0</v>
          </cell>
          <cell r="FW113">
            <v>0</v>
          </cell>
          <cell r="FX113">
            <v>85</v>
          </cell>
          <cell r="FY113" t="e">
            <v>#VALUE!</v>
          </cell>
          <cell r="FZ113">
            <v>0</v>
          </cell>
          <cell r="GA113">
            <v>0</v>
          </cell>
          <cell r="GB113">
            <v>95</v>
          </cell>
          <cell r="GC113" t="e">
            <v>#VALUE!</v>
          </cell>
          <cell r="GD113">
            <v>0</v>
          </cell>
          <cell r="GE113">
            <v>24</v>
          </cell>
          <cell r="GF113">
            <v>71</v>
          </cell>
          <cell r="GG113" t="e">
            <v>#VALUE!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F9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 t="str">
            <v>F9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 t="str">
            <v>F9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 t="str">
            <v>F9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str">
            <v>F9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 t="str">
            <v>F9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 t="str">
            <v>F9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F9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 t="str">
            <v>F9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 t="str">
            <v>F9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 t="str">
            <v>F9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 t="str">
            <v>F9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 t="str">
            <v>F9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 t="str">
            <v>F9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 t="str">
            <v>F9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 t="str">
            <v>F9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 t="str">
            <v>F9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 t="str">
            <v>F9</v>
          </cell>
          <cell r="DJ114">
            <v>0</v>
          </cell>
          <cell r="DK114">
            <v>0</v>
          </cell>
          <cell r="DL114">
            <v>0</v>
          </cell>
          <cell r="DM114" t="e">
            <v>#VALUE!</v>
          </cell>
          <cell r="DN114">
            <v>0</v>
          </cell>
          <cell r="DO114">
            <v>26</v>
          </cell>
          <cell r="DP114">
            <v>96</v>
          </cell>
          <cell r="DQ114" t="e">
            <v>#VALUE!</v>
          </cell>
          <cell r="DR114">
            <v>0</v>
          </cell>
          <cell r="DS114">
            <v>0</v>
          </cell>
          <cell r="DT114">
            <v>90</v>
          </cell>
          <cell r="DU114" t="e">
            <v>#VALUE!</v>
          </cell>
          <cell r="DV114">
            <v>0</v>
          </cell>
          <cell r="DW114">
            <v>0</v>
          </cell>
          <cell r="DX114">
            <v>78</v>
          </cell>
          <cell r="DY114" t="e">
            <v>#VALUE!</v>
          </cell>
          <cell r="DZ114">
            <v>0</v>
          </cell>
          <cell r="EA114">
            <v>10</v>
          </cell>
          <cell r="EB114">
            <v>93</v>
          </cell>
          <cell r="EC114" t="e">
            <v>#VALUE!</v>
          </cell>
          <cell r="ED114">
            <v>0</v>
          </cell>
          <cell r="EE114">
            <v>0</v>
          </cell>
          <cell r="EF114">
            <v>78</v>
          </cell>
          <cell r="EG114" t="e">
            <v>#VALUE!</v>
          </cell>
          <cell r="EH114">
            <v>0</v>
          </cell>
          <cell r="EI114">
            <v>36</v>
          </cell>
          <cell r="EJ114">
            <v>85</v>
          </cell>
          <cell r="EK114" t="e">
            <v>#VALUE!</v>
          </cell>
          <cell r="EL114">
            <v>0</v>
          </cell>
          <cell r="EM114">
            <v>0</v>
          </cell>
          <cell r="EN114">
            <v>87</v>
          </cell>
          <cell r="EO114" t="e">
            <v>#VALUE!</v>
          </cell>
          <cell r="EP114">
            <v>0</v>
          </cell>
          <cell r="EQ114">
            <v>0</v>
          </cell>
          <cell r="ER114">
            <v>100</v>
          </cell>
          <cell r="ES114" t="e">
            <v>#VALUE!</v>
          </cell>
          <cell r="ET114">
            <v>0</v>
          </cell>
          <cell r="EU114">
            <v>5</v>
          </cell>
          <cell r="EV114">
            <v>70</v>
          </cell>
          <cell r="EW114" t="e">
            <v>#VALUE!</v>
          </cell>
          <cell r="EX114">
            <v>0</v>
          </cell>
          <cell r="EY114">
            <v>0</v>
          </cell>
          <cell r="EZ114">
            <v>86</v>
          </cell>
          <cell r="FA114" t="e">
            <v>#VALUE!</v>
          </cell>
          <cell r="FB114">
            <v>0</v>
          </cell>
          <cell r="FC114">
            <v>0</v>
          </cell>
          <cell r="FD114">
            <v>0</v>
          </cell>
          <cell r="FE114" t="e">
            <v>#VALUE!</v>
          </cell>
          <cell r="FF114">
            <v>0</v>
          </cell>
          <cell r="FG114">
            <v>19</v>
          </cell>
          <cell r="FH114">
            <v>81</v>
          </cell>
          <cell r="FI114" t="e">
            <v>#VALUE!</v>
          </cell>
          <cell r="FJ114">
            <v>0</v>
          </cell>
          <cell r="FK114">
            <v>0</v>
          </cell>
          <cell r="FL114">
            <v>95</v>
          </cell>
          <cell r="FM114" t="e">
            <v>#VALUE!</v>
          </cell>
          <cell r="FN114">
            <v>0</v>
          </cell>
          <cell r="FO114">
            <v>0</v>
          </cell>
          <cell r="FP114">
            <v>84</v>
          </cell>
          <cell r="FQ114" t="e">
            <v>#VALUE!</v>
          </cell>
          <cell r="FR114">
            <v>0</v>
          </cell>
          <cell r="FS114">
            <v>0</v>
          </cell>
          <cell r="FT114">
            <v>82</v>
          </cell>
          <cell r="FU114" t="e">
            <v>#VALUE!</v>
          </cell>
          <cell r="FV114">
            <v>0</v>
          </cell>
          <cell r="FW114">
            <v>0</v>
          </cell>
          <cell r="FX114">
            <v>85</v>
          </cell>
          <cell r="FY114" t="e">
            <v>#VALUE!</v>
          </cell>
          <cell r="FZ114">
            <v>0</v>
          </cell>
          <cell r="GA114">
            <v>0</v>
          </cell>
          <cell r="GB114">
            <v>95</v>
          </cell>
          <cell r="GC114" t="e">
            <v>#VALUE!</v>
          </cell>
          <cell r="GD114">
            <v>0</v>
          </cell>
          <cell r="GE114">
            <v>24</v>
          </cell>
          <cell r="GF114">
            <v>71</v>
          </cell>
          <cell r="GG114" t="e">
            <v>#VALUE!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F9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 t="str">
            <v>F9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 t="str">
            <v>F9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 t="str">
            <v>F9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 t="str">
            <v>F9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 t="str">
            <v>F9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 t="str">
            <v>F9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 t="str">
            <v>F9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 t="str">
            <v>F9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 t="str">
            <v>F9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 t="str">
            <v>F9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 t="str">
            <v>F9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 t="str">
            <v>F9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 t="str">
            <v>F9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 t="str">
            <v>F9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 t="str">
            <v>F9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 t="str">
            <v>F9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 t="str">
            <v>F9</v>
          </cell>
          <cell r="DJ115">
            <v>0</v>
          </cell>
          <cell r="DK115">
            <v>0</v>
          </cell>
          <cell r="DL115">
            <v>0</v>
          </cell>
          <cell r="DM115" t="e">
            <v>#VALUE!</v>
          </cell>
          <cell r="DN115">
            <v>0</v>
          </cell>
          <cell r="DO115">
            <v>26</v>
          </cell>
          <cell r="DP115">
            <v>96</v>
          </cell>
          <cell r="DQ115" t="e">
            <v>#VALUE!</v>
          </cell>
          <cell r="DR115">
            <v>0</v>
          </cell>
          <cell r="DS115">
            <v>0</v>
          </cell>
          <cell r="DT115">
            <v>90</v>
          </cell>
          <cell r="DU115" t="e">
            <v>#VALUE!</v>
          </cell>
          <cell r="DV115">
            <v>0</v>
          </cell>
          <cell r="DW115">
            <v>0</v>
          </cell>
          <cell r="DX115">
            <v>78</v>
          </cell>
          <cell r="DY115" t="e">
            <v>#VALUE!</v>
          </cell>
          <cell r="DZ115">
            <v>0</v>
          </cell>
          <cell r="EA115">
            <v>10</v>
          </cell>
          <cell r="EB115">
            <v>93</v>
          </cell>
          <cell r="EC115" t="e">
            <v>#VALUE!</v>
          </cell>
          <cell r="ED115">
            <v>0</v>
          </cell>
          <cell r="EE115">
            <v>0</v>
          </cell>
          <cell r="EF115">
            <v>78</v>
          </cell>
          <cell r="EG115" t="e">
            <v>#VALUE!</v>
          </cell>
          <cell r="EH115">
            <v>0</v>
          </cell>
          <cell r="EI115">
            <v>36</v>
          </cell>
          <cell r="EJ115">
            <v>85</v>
          </cell>
          <cell r="EK115" t="e">
            <v>#VALUE!</v>
          </cell>
          <cell r="EL115">
            <v>0</v>
          </cell>
          <cell r="EM115">
            <v>0</v>
          </cell>
          <cell r="EN115">
            <v>87</v>
          </cell>
          <cell r="EO115" t="e">
            <v>#VALUE!</v>
          </cell>
          <cell r="EP115">
            <v>0</v>
          </cell>
          <cell r="EQ115">
            <v>0</v>
          </cell>
          <cell r="ER115">
            <v>100</v>
          </cell>
          <cell r="ES115" t="e">
            <v>#VALUE!</v>
          </cell>
          <cell r="ET115">
            <v>0</v>
          </cell>
          <cell r="EU115">
            <v>5</v>
          </cell>
          <cell r="EV115">
            <v>70</v>
          </cell>
          <cell r="EW115" t="e">
            <v>#VALUE!</v>
          </cell>
          <cell r="EX115">
            <v>0</v>
          </cell>
          <cell r="EY115">
            <v>0</v>
          </cell>
          <cell r="EZ115">
            <v>86</v>
          </cell>
          <cell r="FA115" t="e">
            <v>#VALUE!</v>
          </cell>
          <cell r="FB115">
            <v>0</v>
          </cell>
          <cell r="FC115">
            <v>0</v>
          </cell>
          <cell r="FD115">
            <v>0</v>
          </cell>
          <cell r="FE115" t="e">
            <v>#VALUE!</v>
          </cell>
          <cell r="FF115">
            <v>0</v>
          </cell>
          <cell r="FG115">
            <v>19</v>
          </cell>
          <cell r="FH115">
            <v>81</v>
          </cell>
          <cell r="FI115" t="e">
            <v>#VALUE!</v>
          </cell>
          <cell r="FJ115">
            <v>0</v>
          </cell>
          <cell r="FK115">
            <v>0</v>
          </cell>
          <cell r="FL115">
            <v>95</v>
          </cell>
          <cell r="FM115" t="e">
            <v>#VALUE!</v>
          </cell>
          <cell r="FN115">
            <v>0</v>
          </cell>
          <cell r="FO115">
            <v>0</v>
          </cell>
          <cell r="FP115">
            <v>84</v>
          </cell>
          <cell r="FQ115" t="e">
            <v>#VALUE!</v>
          </cell>
          <cell r="FR115">
            <v>0</v>
          </cell>
          <cell r="FS115">
            <v>0</v>
          </cell>
          <cell r="FT115">
            <v>82</v>
          </cell>
          <cell r="FU115" t="e">
            <v>#VALUE!</v>
          </cell>
          <cell r="FV115">
            <v>0</v>
          </cell>
          <cell r="FW115">
            <v>0</v>
          </cell>
          <cell r="FX115">
            <v>85</v>
          </cell>
          <cell r="FY115" t="e">
            <v>#VALUE!</v>
          </cell>
          <cell r="FZ115">
            <v>0</v>
          </cell>
          <cell r="GA115">
            <v>0</v>
          </cell>
          <cell r="GB115">
            <v>95</v>
          </cell>
          <cell r="GC115" t="e">
            <v>#VALUE!</v>
          </cell>
          <cell r="GD115">
            <v>0</v>
          </cell>
          <cell r="GE115">
            <v>24</v>
          </cell>
          <cell r="GF115">
            <v>71</v>
          </cell>
          <cell r="GG115" t="e">
            <v>#VALUE!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F9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 t="str">
            <v>F9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 t="str">
            <v>F9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 t="str">
            <v>F9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 t="str">
            <v>F9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 t="str">
            <v>F9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 t="str">
            <v>F9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F9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 t="str">
            <v>F9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 t="str">
            <v>F9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 t="str">
            <v>F9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 t="str">
            <v>F9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 t="str">
            <v>F9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 t="str">
            <v>F9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 t="str">
            <v>F9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 t="str">
            <v>F9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 t="str">
            <v>F9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 t="str">
            <v>F9</v>
          </cell>
          <cell r="DJ116">
            <v>0</v>
          </cell>
          <cell r="DK116">
            <v>0</v>
          </cell>
          <cell r="DL116">
            <v>0</v>
          </cell>
          <cell r="DM116" t="e">
            <v>#VALUE!</v>
          </cell>
          <cell r="DN116">
            <v>0</v>
          </cell>
          <cell r="DO116">
            <v>26</v>
          </cell>
          <cell r="DP116">
            <v>96</v>
          </cell>
          <cell r="DQ116" t="e">
            <v>#VALUE!</v>
          </cell>
          <cell r="DR116">
            <v>0</v>
          </cell>
          <cell r="DS116">
            <v>0</v>
          </cell>
          <cell r="DT116">
            <v>90</v>
          </cell>
          <cell r="DU116" t="e">
            <v>#VALUE!</v>
          </cell>
          <cell r="DV116">
            <v>0</v>
          </cell>
          <cell r="DW116">
            <v>0</v>
          </cell>
          <cell r="DX116">
            <v>78</v>
          </cell>
          <cell r="DY116" t="e">
            <v>#VALUE!</v>
          </cell>
          <cell r="DZ116">
            <v>0</v>
          </cell>
          <cell r="EA116">
            <v>10</v>
          </cell>
          <cell r="EB116">
            <v>93</v>
          </cell>
          <cell r="EC116" t="e">
            <v>#VALUE!</v>
          </cell>
          <cell r="ED116">
            <v>0</v>
          </cell>
          <cell r="EE116">
            <v>0</v>
          </cell>
          <cell r="EF116">
            <v>78</v>
          </cell>
          <cell r="EG116" t="e">
            <v>#VALUE!</v>
          </cell>
          <cell r="EH116">
            <v>0</v>
          </cell>
          <cell r="EI116">
            <v>36</v>
          </cell>
          <cell r="EJ116">
            <v>85</v>
          </cell>
          <cell r="EK116" t="e">
            <v>#VALUE!</v>
          </cell>
          <cell r="EL116">
            <v>0</v>
          </cell>
          <cell r="EM116">
            <v>0</v>
          </cell>
          <cell r="EN116">
            <v>87</v>
          </cell>
          <cell r="EO116" t="e">
            <v>#VALUE!</v>
          </cell>
          <cell r="EP116">
            <v>0</v>
          </cell>
          <cell r="EQ116">
            <v>0</v>
          </cell>
          <cell r="ER116">
            <v>100</v>
          </cell>
          <cell r="ES116" t="e">
            <v>#VALUE!</v>
          </cell>
          <cell r="ET116">
            <v>0</v>
          </cell>
          <cell r="EU116">
            <v>5</v>
          </cell>
          <cell r="EV116">
            <v>70</v>
          </cell>
          <cell r="EW116" t="e">
            <v>#VALUE!</v>
          </cell>
          <cell r="EX116">
            <v>0</v>
          </cell>
          <cell r="EY116">
            <v>0</v>
          </cell>
          <cell r="EZ116">
            <v>86</v>
          </cell>
          <cell r="FA116" t="e">
            <v>#VALUE!</v>
          </cell>
          <cell r="FB116">
            <v>0</v>
          </cell>
          <cell r="FC116">
            <v>0</v>
          </cell>
          <cell r="FD116">
            <v>0</v>
          </cell>
          <cell r="FE116" t="e">
            <v>#VALUE!</v>
          </cell>
          <cell r="FF116">
            <v>0</v>
          </cell>
          <cell r="FG116">
            <v>19</v>
          </cell>
          <cell r="FH116">
            <v>81</v>
          </cell>
          <cell r="FI116" t="e">
            <v>#VALUE!</v>
          </cell>
          <cell r="FJ116">
            <v>0</v>
          </cell>
          <cell r="FK116">
            <v>0</v>
          </cell>
          <cell r="FL116">
            <v>95</v>
          </cell>
          <cell r="FM116" t="e">
            <v>#VALUE!</v>
          </cell>
          <cell r="FN116">
            <v>0</v>
          </cell>
          <cell r="FO116">
            <v>0</v>
          </cell>
          <cell r="FP116">
            <v>84</v>
          </cell>
          <cell r="FQ116" t="e">
            <v>#VALUE!</v>
          </cell>
          <cell r="FR116">
            <v>0</v>
          </cell>
          <cell r="FS116">
            <v>0</v>
          </cell>
          <cell r="FT116">
            <v>82</v>
          </cell>
          <cell r="FU116" t="e">
            <v>#VALUE!</v>
          </cell>
          <cell r="FV116">
            <v>0</v>
          </cell>
          <cell r="FW116">
            <v>0</v>
          </cell>
          <cell r="FX116">
            <v>85</v>
          </cell>
          <cell r="FY116" t="e">
            <v>#VALUE!</v>
          </cell>
          <cell r="FZ116">
            <v>0</v>
          </cell>
          <cell r="GA116">
            <v>0</v>
          </cell>
          <cell r="GB116">
            <v>95</v>
          </cell>
          <cell r="GC116" t="e">
            <v>#VALUE!</v>
          </cell>
          <cell r="GD116">
            <v>0</v>
          </cell>
          <cell r="GE116">
            <v>24</v>
          </cell>
          <cell r="GF116">
            <v>71</v>
          </cell>
          <cell r="GG116" t="e">
            <v>#VALUE!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F9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 t="str">
            <v>F9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 t="str">
            <v>F9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 t="str">
            <v>F9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 t="str">
            <v>F9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 t="str">
            <v>F9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 t="str">
            <v>F9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F9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 t="str">
            <v>F9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 t="str">
            <v>F9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 t="str">
            <v>F9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 t="str">
            <v>F9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 t="str">
            <v>F9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 t="str">
            <v>F9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 t="str">
            <v>F9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 t="str">
            <v>F9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 t="str">
            <v>F9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 t="str">
            <v>F9</v>
          </cell>
          <cell r="DJ117">
            <v>0</v>
          </cell>
          <cell r="DK117">
            <v>0</v>
          </cell>
          <cell r="DL117">
            <v>0</v>
          </cell>
          <cell r="DM117" t="e">
            <v>#VALUE!</v>
          </cell>
          <cell r="DN117">
            <v>0</v>
          </cell>
          <cell r="DO117">
            <v>26</v>
          </cell>
          <cell r="DP117">
            <v>96</v>
          </cell>
          <cell r="DQ117" t="e">
            <v>#VALUE!</v>
          </cell>
          <cell r="DR117">
            <v>0</v>
          </cell>
          <cell r="DS117">
            <v>0</v>
          </cell>
          <cell r="DT117">
            <v>90</v>
          </cell>
          <cell r="DU117" t="e">
            <v>#VALUE!</v>
          </cell>
          <cell r="DV117">
            <v>0</v>
          </cell>
          <cell r="DW117">
            <v>0</v>
          </cell>
          <cell r="DX117">
            <v>78</v>
          </cell>
          <cell r="DY117" t="e">
            <v>#VALUE!</v>
          </cell>
          <cell r="DZ117">
            <v>0</v>
          </cell>
          <cell r="EA117">
            <v>10</v>
          </cell>
          <cell r="EB117">
            <v>93</v>
          </cell>
          <cell r="EC117" t="e">
            <v>#VALUE!</v>
          </cell>
          <cell r="ED117">
            <v>0</v>
          </cell>
          <cell r="EE117">
            <v>0</v>
          </cell>
          <cell r="EF117">
            <v>78</v>
          </cell>
          <cell r="EG117" t="e">
            <v>#VALUE!</v>
          </cell>
          <cell r="EH117">
            <v>0</v>
          </cell>
          <cell r="EI117">
            <v>36</v>
          </cell>
          <cell r="EJ117">
            <v>85</v>
          </cell>
          <cell r="EK117" t="e">
            <v>#VALUE!</v>
          </cell>
          <cell r="EL117">
            <v>0</v>
          </cell>
          <cell r="EM117">
            <v>0</v>
          </cell>
          <cell r="EN117">
            <v>87</v>
          </cell>
          <cell r="EO117" t="e">
            <v>#VALUE!</v>
          </cell>
          <cell r="EP117">
            <v>0</v>
          </cell>
          <cell r="EQ117">
            <v>0</v>
          </cell>
          <cell r="ER117">
            <v>100</v>
          </cell>
          <cell r="ES117" t="e">
            <v>#VALUE!</v>
          </cell>
          <cell r="ET117">
            <v>0</v>
          </cell>
          <cell r="EU117">
            <v>5</v>
          </cell>
          <cell r="EV117">
            <v>70</v>
          </cell>
          <cell r="EW117" t="e">
            <v>#VALUE!</v>
          </cell>
          <cell r="EX117">
            <v>0</v>
          </cell>
          <cell r="EY117">
            <v>0</v>
          </cell>
          <cell r="EZ117">
            <v>86</v>
          </cell>
          <cell r="FA117" t="e">
            <v>#VALUE!</v>
          </cell>
          <cell r="FB117">
            <v>0</v>
          </cell>
          <cell r="FC117">
            <v>0</v>
          </cell>
          <cell r="FD117">
            <v>0</v>
          </cell>
          <cell r="FE117" t="e">
            <v>#VALUE!</v>
          </cell>
          <cell r="FF117">
            <v>0</v>
          </cell>
          <cell r="FG117">
            <v>19</v>
          </cell>
          <cell r="FH117">
            <v>81</v>
          </cell>
          <cell r="FI117" t="e">
            <v>#VALUE!</v>
          </cell>
          <cell r="FJ117">
            <v>0</v>
          </cell>
          <cell r="FK117">
            <v>0</v>
          </cell>
          <cell r="FL117">
            <v>95</v>
          </cell>
          <cell r="FM117" t="e">
            <v>#VALUE!</v>
          </cell>
          <cell r="FN117">
            <v>0</v>
          </cell>
          <cell r="FO117">
            <v>0</v>
          </cell>
          <cell r="FP117">
            <v>84</v>
          </cell>
          <cell r="FQ117" t="e">
            <v>#VALUE!</v>
          </cell>
          <cell r="FR117">
            <v>0</v>
          </cell>
          <cell r="FS117">
            <v>0</v>
          </cell>
          <cell r="FT117">
            <v>82</v>
          </cell>
          <cell r="FU117" t="e">
            <v>#VALUE!</v>
          </cell>
          <cell r="FV117">
            <v>0</v>
          </cell>
          <cell r="FW117">
            <v>0</v>
          </cell>
          <cell r="FX117">
            <v>85</v>
          </cell>
          <cell r="FY117" t="e">
            <v>#VALUE!</v>
          </cell>
          <cell r="FZ117">
            <v>0</v>
          </cell>
          <cell r="GA117">
            <v>0</v>
          </cell>
          <cell r="GB117">
            <v>95</v>
          </cell>
          <cell r="GC117" t="e">
            <v>#VALUE!</v>
          </cell>
          <cell r="GD117">
            <v>0</v>
          </cell>
          <cell r="GE117">
            <v>24</v>
          </cell>
          <cell r="GF117">
            <v>71</v>
          </cell>
          <cell r="GG117" t="e">
            <v>#VALUE!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F9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 t="str">
            <v>F9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 t="str">
            <v>F9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 t="str">
            <v>F9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 t="str">
            <v>F9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 t="str">
            <v>F9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 t="str">
            <v>F9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F9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 t="str">
            <v>F9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 t="str">
            <v>F9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 t="str">
            <v>F9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 t="str">
            <v>F9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 t="str">
            <v>F9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 t="str">
            <v>F9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 t="str">
            <v>F9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 t="str">
            <v>F9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 t="str">
            <v>F9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 t="str">
            <v>F9</v>
          </cell>
          <cell r="DJ118">
            <v>0</v>
          </cell>
          <cell r="DK118">
            <v>0</v>
          </cell>
          <cell r="DL118">
            <v>0</v>
          </cell>
          <cell r="DM118" t="e">
            <v>#VALUE!</v>
          </cell>
          <cell r="DN118">
            <v>0</v>
          </cell>
          <cell r="DO118">
            <v>26</v>
          </cell>
          <cell r="DP118">
            <v>96</v>
          </cell>
          <cell r="DQ118" t="e">
            <v>#VALUE!</v>
          </cell>
          <cell r="DR118">
            <v>0</v>
          </cell>
          <cell r="DS118">
            <v>0</v>
          </cell>
          <cell r="DT118">
            <v>90</v>
          </cell>
          <cell r="DU118" t="e">
            <v>#VALUE!</v>
          </cell>
          <cell r="DV118">
            <v>0</v>
          </cell>
          <cell r="DW118">
            <v>0</v>
          </cell>
          <cell r="DX118">
            <v>78</v>
          </cell>
          <cell r="DY118" t="e">
            <v>#VALUE!</v>
          </cell>
          <cell r="DZ118">
            <v>0</v>
          </cell>
          <cell r="EA118">
            <v>10</v>
          </cell>
          <cell r="EB118">
            <v>93</v>
          </cell>
          <cell r="EC118" t="e">
            <v>#VALUE!</v>
          </cell>
          <cell r="ED118">
            <v>0</v>
          </cell>
          <cell r="EE118">
            <v>0</v>
          </cell>
          <cell r="EF118">
            <v>78</v>
          </cell>
          <cell r="EG118" t="e">
            <v>#VALUE!</v>
          </cell>
          <cell r="EH118">
            <v>0</v>
          </cell>
          <cell r="EI118">
            <v>36</v>
          </cell>
          <cell r="EJ118">
            <v>85</v>
          </cell>
          <cell r="EK118" t="e">
            <v>#VALUE!</v>
          </cell>
          <cell r="EL118">
            <v>0</v>
          </cell>
          <cell r="EM118">
            <v>0</v>
          </cell>
          <cell r="EN118">
            <v>87</v>
          </cell>
          <cell r="EO118" t="e">
            <v>#VALUE!</v>
          </cell>
          <cell r="EP118">
            <v>0</v>
          </cell>
          <cell r="EQ118">
            <v>0</v>
          </cell>
          <cell r="ER118">
            <v>100</v>
          </cell>
          <cell r="ES118" t="e">
            <v>#VALUE!</v>
          </cell>
          <cell r="ET118">
            <v>0</v>
          </cell>
          <cell r="EU118">
            <v>5</v>
          </cell>
          <cell r="EV118">
            <v>70</v>
          </cell>
          <cell r="EW118" t="e">
            <v>#VALUE!</v>
          </cell>
          <cell r="EX118">
            <v>0</v>
          </cell>
          <cell r="EY118">
            <v>0</v>
          </cell>
          <cell r="EZ118">
            <v>86</v>
          </cell>
          <cell r="FA118" t="e">
            <v>#VALUE!</v>
          </cell>
          <cell r="FB118">
            <v>0</v>
          </cell>
          <cell r="FC118">
            <v>0</v>
          </cell>
          <cell r="FD118">
            <v>0</v>
          </cell>
          <cell r="FE118" t="e">
            <v>#VALUE!</v>
          </cell>
          <cell r="FF118">
            <v>0</v>
          </cell>
          <cell r="FG118">
            <v>19</v>
          </cell>
          <cell r="FH118">
            <v>81</v>
          </cell>
          <cell r="FI118" t="e">
            <v>#VALUE!</v>
          </cell>
          <cell r="FJ118">
            <v>0</v>
          </cell>
          <cell r="FK118">
            <v>0</v>
          </cell>
          <cell r="FL118">
            <v>95</v>
          </cell>
          <cell r="FM118" t="e">
            <v>#VALUE!</v>
          </cell>
          <cell r="FN118">
            <v>0</v>
          </cell>
          <cell r="FO118">
            <v>0</v>
          </cell>
          <cell r="FP118">
            <v>84</v>
          </cell>
          <cell r="FQ118" t="e">
            <v>#VALUE!</v>
          </cell>
          <cell r="FR118">
            <v>0</v>
          </cell>
          <cell r="FS118">
            <v>0</v>
          </cell>
          <cell r="FT118">
            <v>82</v>
          </cell>
          <cell r="FU118" t="e">
            <v>#VALUE!</v>
          </cell>
          <cell r="FV118">
            <v>0</v>
          </cell>
          <cell r="FW118">
            <v>0</v>
          </cell>
          <cell r="FX118">
            <v>85</v>
          </cell>
          <cell r="FY118" t="e">
            <v>#VALUE!</v>
          </cell>
          <cell r="FZ118">
            <v>0</v>
          </cell>
          <cell r="GA118">
            <v>0</v>
          </cell>
          <cell r="GB118">
            <v>95</v>
          </cell>
          <cell r="GC118" t="e">
            <v>#VALUE!</v>
          </cell>
          <cell r="GD118">
            <v>0</v>
          </cell>
          <cell r="GE118">
            <v>24</v>
          </cell>
          <cell r="GF118">
            <v>71</v>
          </cell>
          <cell r="GG118" t="e">
            <v>#VALUE!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F9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 t="str">
            <v>F9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 t="str">
            <v>F9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 t="str">
            <v>F9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F9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 t="str">
            <v>F9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 t="str">
            <v>F9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F9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 t="str">
            <v>F9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 t="str">
            <v>F9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 t="str">
            <v>F9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 t="str">
            <v>F9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 t="str">
            <v>F9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 t="str">
            <v>F9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 t="str">
            <v>F9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 t="str">
            <v>F9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 t="str">
            <v>F9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 t="str">
            <v>F9</v>
          </cell>
          <cell r="DJ119">
            <v>0</v>
          </cell>
          <cell r="DK119">
            <v>0</v>
          </cell>
          <cell r="DL119">
            <v>0</v>
          </cell>
          <cell r="DM119" t="e">
            <v>#VALUE!</v>
          </cell>
          <cell r="DN119">
            <v>0</v>
          </cell>
          <cell r="DO119">
            <v>26</v>
          </cell>
          <cell r="DP119">
            <v>96</v>
          </cell>
          <cell r="DQ119" t="e">
            <v>#VALUE!</v>
          </cell>
          <cell r="DR119">
            <v>0</v>
          </cell>
          <cell r="DS119">
            <v>0</v>
          </cell>
          <cell r="DT119">
            <v>90</v>
          </cell>
          <cell r="DU119" t="e">
            <v>#VALUE!</v>
          </cell>
          <cell r="DV119">
            <v>0</v>
          </cell>
          <cell r="DW119">
            <v>0</v>
          </cell>
          <cell r="DX119">
            <v>78</v>
          </cell>
          <cell r="DY119" t="e">
            <v>#VALUE!</v>
          </cell>
          <cell r="DZ119">
            <v>0</v>
          </cell>
          <cell r="EA119">
            <v>10</v>
          </cell>
          <cell r="EB119">
            <v>93</v>
          </cell>
          <cell r="EC119" t="e">
            <v>#VALUE!</v>
          </cell>
          <cell r="ED119">
            <v>0</v>
          </cell>
          <cell r="EE119">
            <v>0</v>
          </cell>
          <cell r="EF119">
            <v>78</v>
          </cell>
          <cell r="EG119" t="e">
            <v>#VALUE!</v>
          </cell>
          <cell r="EH119">
            <v>0</v>
          </cell>
          <cell r="EI119">
            <v>36</v>
          </cell>
          <cell r="EJ119">
            <v>85</v>
          </cell>
          <cell r="EK119" t="e">
            <v>#VALUE!</v>
          </cell>
          <cell r="EL119">
            <v>0</v>
          </cell>
          <cell r="EM119">
            <v>0</v>
          </cell>
          <cell r="EN119">
            <v>87</v>
          </cell>
          <cell r="EO119" t="e">
            <v>#VALUE!</v>
          </cell>
          <cell r="EP119">
            <v>0</v>
          </cell>
          <cell r="EQ119">
            <v>0</v>
          </cell>
          <cell r="ER119">
            <v>100</v>
          </cell>
          <cell r="ES119" t="e">
            <v>#VALUE!</v>
          </cell>
          <cell r="ET119">
            <v>0</v>
          </cell>
          <cell r="EU119">
            <v>5</v>
          </cell>
          <cell r="EV119">
            <v>70</v>
          </cell>
          <cell r="EW119" t="e">
            <v>#VALUE!</v>
          </cell>
          <cell r="EX119">
            <v>0</v>
          </cell>
          <cell r="EY119">
            <v>0</v>
          </cell>
          <cell r="EZ119">
            <v>86</v>
          </cell>
          <cell r="FA119" t="e">
            <v>#VALUE!</v>
          </cell>
          <cell r="FB119">
            <v>0</v>
          </cell>
          <cell r="FC119">
            <v>0</v>
          </cell>
          <cell r="FD119">
            <v>0</v>
          </cell>
          <cell r="FE119" t="e">
            <v>#VALUE!</v>
          </cell>
          <cell r="FF119">
            <v>0</v>
          </cell>
          <cell r="FG119">
            <v>19</v>
          </cell>
          <cell r="FH119">
            <v>81</v>
          </cell>
          <cell r="FI119" t="e">
            <v>#VALUE!</v>
          </cell>
          <cell r="FJ119">
            <v>0</v>
          </cell>
          <cell r="FK119">
            <v>0</v>
          </cell>
          <cell r="FL119">
            <v>95</v>
          </cell>
          <cell r="FM119" t="e">
            <v>#VALUE!</v>
          </cell>
          <cell r="FN119">
            <v>0</v>
          </cell>
          <cell r="FO119">
            <v>0</v>
          </cell>
          <cell r="FP119">
            <v>84</v>
          </cell>
          <cell r="FQ119" t="e">
            <v>#VALUE!</v>
          </cell>
          <cell r="FR119">
            <v>0</v>
          </cell>
          <cell r="FS119">
            <v>0</v>
          </cell>
          <cell r="FT119">
            <v>82</v>
          </cell>
          <cell r="FU119" t="e">
            <v>#VALUE!</v>
          </cell>
          <cell r="FV119">
            <v>0</v>
          </cell>
          <cell r="FW119">
            <v>0</v>
          </cell>
          <cell r="FX119">
            <v>85</v>
          </cell>
          <cell r="FY119" t="e">
            <v>#VALUE!</v>
          </cell>
          <cell r="FZ119">
            <v>0</v>
          </cell>
          <cell r="GA119">
            <v>0</v>
          </cell>
          <cell r="GB119">
            <v>95</v>
          </cell>
          <cell r="GC119" t="e">
            <v>#VALUE!</v>
          </cell>
          <cell r="GD119">
            <v>0</v>
          </cell>
          <cell r="GE119">
            <v>24</v>
          </cell>
          <cell r="GF119">
            <v>71</v>
          </cell>
          <cell r="GG119" t="e">
            <v>#VALUE!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F9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 t="str">
            <v>F9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 t="str">
            <v>F9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 t="str">
            <v>F9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 t="str">
            <v>F9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 t="str">
            <v>F9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 t="str">
            <v>F9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F9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 t="str">
            <v>F9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 t="str">
            <v>F9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 t="str">
            <v>F9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 t="str">
            <v>F9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 t="str">
            <v>F9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 t="str">
            <v>F9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 t="str">
            <v>F9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 t="str">
            <v>F9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 t="str">
            <v>F9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 t="str">
            <v>F9</v>
          </cell>
          <cell r="DJ120">
            <v>0</v>
          </cell>
          <cell r="DK120">
            <v>0</v>
          </cell>
          <cell r="DL120">
            <v>0</v>
          </cell>
          <cell r="DM120" t="e">
            <v>#VALUE!</v>
          </cell>
          <cell r="DN120">
            <v>0</v>
          </cell>
          <cell r="DO120">
            <v>26</v>
          </cell>
          <cell r="DP120">
            <v>96</v>
          </cell>
          <cell r="DQ120" t="e">
            <v>#VALUE!</v>
          </cell>
          <cell r="DR120">
            <v>0</v>
          </cell>
          <cell r="DS120">
            <v>0</v>
          </cell>
          <cell r="DT120">
            <v>90</v>
          </cell>
          <cell r="DU120" t="e">
            <v>#VALUE!</v>
          </cell>
          <cell r="DV120">
            <v>0</v>
          </cell>
          <cell r="DW120">
            <v>0</v>
          </cell>
          <cell r="DX120">
            <v>78</v>
          </cell>
          <cell r="DY120" t="e">
            <v>#VALUE!</v>
          </cell>
          <cell r="DZ120">
            <v>0</v>
          </cell>
          <cell r="EA120">
            <v>10</v>
          </cell>
          <cell r="EB120">
            <v>93</v>
          </cell>
          <cell r="EC120" t="e">
            <v>#VALUE!</v>
          </cell>
          <cell r="ED120">
            <v>0</v>
          </cell>
          <cell r="EE120">
            <v>0</v>
          </cell>
          <cell r="EF120">
            <v>78</v>
          </cell>
          <cell r="EG120" t="e">
            <v>#VALUE!</v>
          </cell>
          <cell r="EH120">
            <v>0</v>
          </cell>
          <cell r="EI120">
            <v>36</v>
          </cell>
          <cell r="EJ120">
            <v>85</v>
          </cell>
          <cell r="EK120" t="e">
            <v>#VALUE!</v>
          </cell>
          <cell r="EL120">
            <v>0</v>
          </cell>
          <cell r="EM120">
            <v>0</v>
          </cell>
          <cell r="EN120">
            <v>87</v>
          </cell>
          <cell r="EO120" t="e">
            <v>#VALUE!</v>
          </cell>
          <cell r="EP120">
            <v>0</v>
          </cell>
          <cell r="EQ120">
            <v>0</v>
          </cell>
          <cell r="ER120">
            <v>100</v>
          </cell>
          <cell r="ES120" t="e">
            <v>#VALUE!</v>
          </cell>
          <cell r="ET120">
            <v>0</v>
          </cell>
          <cell r="EU120">
            <v>5</v>
          </cell>
          <cell r="EV120">
            <v>70</v>
          </cell>
          <cell r="EW120" t="e">
            <v>#VALUE!</v>
          </cell>
          <cell r="EX120">
            <v>0</v>
          </cell>
          <cell r="EY120">
            <v>0</v>
          </cell>
          <cell r="EZ120">
            <v>86</v>
          </cell>
          <cell r="FA120" t="e">
            <v>#VALUE!</v>
          </cell>
          <cell r="FB120">
            <v>0</v>
          </cell>
          <cell r="FC120">
            <v>0</v>
          </cell>
          <cell r="FD120">
            <v>0</v>
          </cell>
          <cell r="FE120" t="e">
            <v>#VALUE!</v>
          </cell>
          <cell r="FF120">
            <v>0</v>
          </cell>
          <cell r="FG120">
            <v>19</v>
          </cell>
          <cell r="FH120">
            <v>81</v>
          </cell>
          <cell r="FI120" t="e">
            <v>#VALUE!</v>
          </cell>
          <cell r="FJ120">
            <v>0</v>
          </cell>
          <cell r="FK120">
            <v>0</v>
          </cell>
          <cell r="FL120">
            <v>95</v>
          </cell>
          <cell r="FM120" t="e">
            <v>#VALUE!</v>
          </cell>
          <cell r="FN120">
            <v>0</v>
          </cell>
          <cell r="FO120">
            <v>0</v>
          </cell>
          <cell r="FP120">
            <v>84</v>
          </cell>
          <cell r="FQ120" t="e">
            <v>#VALUE!</v>
          </cell>
          <cell r="FR120">
            <v>0</v>
          </cell>
          <cell r="FS120">
            <v>0</v>
          </cell>
          <cell r="FT120">
            <v>82</v>
          </cell>
          <cell r="FU120" t="e">
            <v>#VALUE!</v>
          </cell>
          <cell r="FV120">
            <v>0</v>
          </cell>
          <cell r="FW120">
            <v>0</v>
          </cell>
          <cell r="FX120">
            <v>85</v>
          </cell>
          <cell r="FY120" t="e">
            <v>#VALUE!</v>
          </cell>
          <cell r="FZ120">
            <v>0</v>
          </cell>
          <cell r="GA120">
            <v>0</v>
          </cell>
          <cell r="GB120">
            <v>95</v>
          </cell>
          <cell r="GC120" t="e">
            <v>#VALUE!</v>
          </cell>
          <cell r="GD120">
            <v>0</v>
          </cell>
          <cell r="GE120">
            <v>24</v>
          </cell>
          <cell r="GF120">
            <v>71</v>
          </cell>
          <cell r="GG120" t="e">
            <v>#VALUE!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F9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 t="str">
            <v>F9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 t="str">
            <v>F9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 t="str">
            <v>F9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 t="str">
            <v>F9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 t="str">
            <v>F9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 t="str">
            <v>F9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 t="str">
            <v>F9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 t="str">
            <v>F9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 t="str">
            <v>F9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 t="str">
            <v>F9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 t="str">
            <v>F9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 t="str">
            <v>F9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 t="str">
            <v>F9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 t="str">
            <v>F9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 t="str">
            <v>F9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 t="str">
            <v>F9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 t="str">
            <v>F9</v>
          </cell>
          <cell r="DJ121">
            <v>0</v>
          </cell>
          <cell r="DK121">
            <v>0</v>
          </cell>
          <cell r="DL121">
            <v>0</v>
          </cell>
          <cell r="DM121" t="e">
            <v>#VALUE!</v>
          </cell>
          <cell r="DN121">
            <v>0</v>
          </cell>
          <cell r="DO121">
            <v>26</v>
          </cell>
          <cell r="DP121">
            <v>96</v>
          </cell>
          <cell r="DQ121" t="e">
            <v>#VALUE!</v>
          </cell>
          <cell r="DR121">
            <v>0</v>
          </cell>
          <cell r="DS121">
            <v>0</v>
          </cell>
          <cell r="DT121">
            <v>90</v>
          </cell>
          <cell r="DU121" t="e">
            <v>#VALUE!</v>
          </cell>
          <cell r="DV121">
            <v>0</v>
          </cell>
          <cell r="DW121">
            <v>0</v>
          </cell>
          <cell r="DX121">
            <v>78</v>
          </cell>
          <cell r="DY121" t="e">
            <v>#VALUE!</v>
          </cell>
          <cell r="DZ121">
            <v>0</v>
          </cell>
          <cell r="EA121">
            <v>10</v>
          </cell>
          <cell r="EB121">
            <v>93</v>
          </cell>
          <cell r="EC121" t="e">
            <v>#VALUE!</v>
          </cell>
          <cell r="ED121">
            <v>0</v>
          </cell>
          <cell r="EE121">
            <v>0</v>
          </cell>
          <cell r="EF121">
            <v>78</v>
          </cell>
          <cell r="EG121" t="e">
            <v>#VALUE!</v>
          </cell>
          <cell r="EH121">
            <v>0</v>
          </cell>
          <cell r="EI121">
            <v>36</v>
          </cell>
          <cell r="EJ121">
            <v>85</v>
          </cell>
          <cell r="EK121" t="e">
            <v>#VALUE!</v>
          </cell>
          <cell r="EL121">
            <v>0</v>
          </cell>
          <cell r="EM121">
            <v>0</v>
          </cell>
          <cell r="EN121">
            <v>87</v>
          </cell>
          <cell r="EO121" t="e">
            <v>#VALUE!</v>
          </cell>
          <cell r="EP121">
            <v>0</v>
          </cell>
          <cell r="EQ121">
            <v>0</v>
          </cell>
          <cell r="ER121">
            <v>100</v>
          </cell>
          <cell r="ES121" t="e">
            <v>#VALUE!</v>
          </cell>
          <cell r="ET121">
            <v>0</v>
          </cell>
          <cell r="EU121">
            <v>5</v>
          </cell>
          <cell r="EV121">
            <v>70</v>
          </cell>
          <cell r="EW121" t="e">
            <v>#VALUE!</v>
          </cell>
          <cell r="EX121">
            <v>0</v>
          </cell>
          <cell r="EY121">
            <v>0</v>
          </cell>
          <cell r="EZ121">
            <v>86</v>
          </cell>
          <cell r="FA121" t="e">
            <v>#VALUE!</v>
          </cell>
          <cell r="FB121">
            <v>0</v>
          </cell>
          <cell r="FC121">
            <v>0</v>
          </cell>
          <cell r="FD121">
            <v>0</v>
          </cell>
          <cell r="FE121" t="e">
            <v>#VALUE!</v>
          </cell>
          <cell r="FF121">
            <v>0</v>
          </cell>
          <cell r="FG121">
            <v>19</v>
          </cell>
          <cell r="FH121">
            <v>81</v>
          </cell>
          <cell r="FI121" t="e">
            <v>#VALUE!</v>
          </cell>
          <cell r="FJ121">
            <v>0</v>
          </cell>
          <cell r="FK121">
            <v>0</v>
          </cell>
          <cell r="FL121">
            <v>95</v>
          </cell>
          <cell r="FM121" t="e">
            <v>#VALUE!</v>
          </cell>
          <cell r="FN121">
            <v>0</v>
          </cell>
          <cell r="FO121">
            <v>0</v>
          </cell>
          <cell r="FP121">
            <v>84</v>
          </cell>
          <cell r="FQ121" t="e">
            <v>#VALUE!</v>
          </cell>
          <cell r="FR121">
            <v>0</v>
          </cell>
          <cell r="FS121">
            <v>0</v>
          </cell>
          <cell r="FT121">
            <v>82</v>
          </cell>
          <cell r="FU121" t="e">
            <v>#VALUE!</v>
          </cell>
          <cell r="FV121">
            <v>0</v>
          </cell>
          <cell r="FW121">
            <v>0</v>
          </cell>
          <cell r="FX121">
            <v>85</v>
          </cell>
          <cell r="FY121" t="e">
            <v>#VALUE!</v>
          </cell>
          <cell r="FZ121">
            <v>0</v>
          </cell>
          <cell r="GA121">
            <v>0</v>
          </cell>
          <cell r="GB121">
            <v>95</v>
          </cell>
          <cell r="GC121" t="e">
            <v>#VALUE!</v>
          </cell>
          <cell r="GD121">
            <v>0</v>
          </cell>
          <cell r="GE121">
            <v>24</v>
          </cell>
          <cell r="GF121">
            <v>71</v>
          </cell>
          <cell r="GG121" t="e">
            <v>#VALUE!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F9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 t="str">
            <v>F9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 t="str">
            <v>F9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 t="str">
            <v>F9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str">
            <v>F9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 t="str">
            <v>F9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 t="str">
            <v>F9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F9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 t="str">
            <v>F9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 t="str">
            <v>F9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 t="str">
            <v>F9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 t="str">
            <v>F9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 t="str">
            <v>F9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 t="str">
            <v>F9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 t="str">
            <v>F9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 t="str">
            <v>F9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 t="str">
            <v>F9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 t="str">
            <v>F9</v>
          </cell>
          <cell r="DJ122">
            <v>0</v>
          </cell>
          <cell r="DK122">
            <v>0</v>
          </cell>
          <cell r="DL122">
            <v>0</v>
          </cell>
          <cell r="DM122" t="e">
            <v>#VALUE!</v>
          </cell>
          <cell r="DN122">
            <v>0</v>
          </cell>
          <cell r="DO122">
            <v>26</v>
          </cell>
          <cell r="DP122">
            <v>96</v>
          </cell>
          <cell r="DQ122" t="e">
            <v>#VALUE!</v>
          </cell>
          <cell r="DR122">
            <v>0</v>
          </cell>
          <cell r="DS122">
            <v>0</v>
          </cell>
          <cell r="DT122">
            <v>90</v>
          </cell>
          <cell r="DU122" t="e">
            <v>#VALUE!</v>
          </cell>
          <cell r="DV122">
            <v>0</v>
          </cell>
          <cell r="DW122">
            <v>0</v>
          </cell>
          <cell r="DX122">
            <v>78</v>
          </cell>
          <cell r="DY122" t="e">
            <v>#VALUE!</v>
          </cell>
          <cell r="DZ122">
            <v>0</v>
          </cell>
          <cell r="EA122">
            <v>10</v>
          </cell>
          <cell r="EB122">
            <v>93</v>
          </cell>
          <cell r="EC122" t="e">
            <v>#VALUE!</v>
          </cell>
          <cell r="ED122">
            <v>0</v>
          </cell>
          <cell r="EE122">
            <v>0</v>
          </cell>
          <cell r="EF122">
            <v>78</v>
          </cell>
          <cell r="EG122" t="e">
            <v>#VALUE!</v>
          </cell>
          <cell r="EH122">
            <v>0</v>
          </cell>
          <cell r="EI122">
            <v>36</v>
          </cell>
          <cell r="EJ122">
            <v>85</v>
          </cell>
          <cell r="EK122" t="e">
            <v>#VALUE!</v>
          </cell>
          <cell r="EL122">
            <v>0</v>
          </cell>
          <cell r="EM122">
            <v>0</v>
          </cell>
          <cell r="EN122">
            <v>87</v>
          </cell>
          <cell r="EO122" t="e">
            <v>#VALUE!</v>
          </cell>
          <cell r="EP122">
            <v>0</v>
          </cell>
          <cell r="EQ122">
            <v>0</v>
          </cell>
          <cell r="ER122">
            <v>100</v>
          </cell>
          <cell r="ES122" t="e">
            <v>#VALUE!</v>
          </cell>
          <cell r="ET122">
            <v>0</v>
          </cell>
          <cell r="EU122">
            <v>5</v>
          </cell>
          <cell r="EV122">
            <v>70</v>
          </cell>
          <cell r="EW122" t="e">
            <v>#VALUE!</v>
          </cell>
          <cell r="EX122">
            <v>0</v>
          </cell>
          <cell r="EY122">
            <v>0</v>
          </cell>
          <cell r="EZ122">
            <v>86</v>
          </cell>
          <cell r="FA122" t="e">
            <v>#VALUE!</v>
          </cell>
          <cell r="FB122">
            <v>0</v>
          </cell>
          <cell r="FC122">
            <v>0</v>
          </cell>
          <cell r="FD122">
            <v>0</v>
          </cell>
          <cell r="FE122" t="e">
            <v>#VALUE!</v>
          </cell>
          <cell r="FF122">
            <v>0</v>
          </cell>
          <cell r="FG122">
            <v>19</v>
          </cell>
          <cell r="FH122">
            <v>81</v>
          </cell>
          <cell r="FI122" t="e">
            <v>#VALUE!</v>
          </cell>
          <cell r="FJ122">
            <v>0</v>
          </cell>
          <cell r="FK122">
            <v>0</v>
          </cell>
          <cell r="FL122">
            <v>95</v>
          </cell>
          <cell r="FM122" t="e">
            <v>#VALUE!</v>
          </cell>
          <cell r="FN122">
            <v>0</v>
          </cell>
          <cell r="FO122">
            <v>0</v>
          </cell>
          <cell r="FP122">
            <v>84</v>
          </cell>
          <cell r="FQ122" t="e">
            <v>#VALUE!</v>
          </cell>
          <cell r="FR122">
            <v>0</v>
          </cell>
          <cell r="FS122">
            <v>0</v>
          </cell>
          <cell r="FT122">
            <v>82</v>
          </cell>
          <cell r="FU122" t="e">
            <v>#VALUE!</v>
          </cell>
          <cell r="FV122">
            <v>0</v>
          </cell>
          <cell r="FW122">
            <v>0</v>
          </cell>
          <cell r="FX122">
            <v>85</v>
          </cell>
          <cell r="FY122" t="e">
            <v>#VALUE!</v>
          </cell>
          <cell r="FZ122">
            <v>0</v>
          </cell>
          <cell r="GA122">
            <v>0</v>
          </cell>
          <cell r="GB122">
            <v>95</v>
          </cell>
          <cell r="GC122" t="e">
            <v>#VALUE!</v>
          </cell>
          <cell r="GD122">
            <v>0</v>
          </cell>
          <cell r="GE122">
            <v>24</v>
          </cell>
          <cell r="GF122">
            <v>71</v>
          </cell>
          <cell r="GG122" t="e">
            <v>#VALUE!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F9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 t="str">
            <v>F9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 t="str">
            <v>F9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 t="str">
            <v>F9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str">
            <v>F9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 t="str">
            <v>F9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 t="str">
            <v>F9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F9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 t="str">
            <v>F9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 t="str">
            <v>F9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 t="str">
            <v>F9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 t="str">
            <v>F9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 t="str">
            <v>F9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 t="str">
            <v>F9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 t="str">
            <v>F9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 t="str">
            <v>F9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 t="str">
            <v>F9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 t="str">
            <v>F9</v>
          </cell>
          <cell r="DJ123">
            <v>0</v>
          </cell>
          <cell r="DK123">
            <v>0</v>
          </cell>
          <cell r="DL123">
            <v>0</v>
          </cell>
          <cell r="DM123" t="e">
            <v>#VALUE!</v>
          </cell>
          <cell r="DN123">
            <v>0</v>
          </cell>
          <cell r="DO123">
            <v>26</v>
          </cell>
          <cell r="DP123">
            <v>96</v>
          </cell>
          <cell r="DQ123" t="e">
            <v>#VALUE!</v>
          </cell>
          <cell r="DR123">
            <v>0</v>
          </cell>
          <cell r="DS123">
            <v>0</v>
          </cell>
          <cell r="DT123">
            <v>90</v>
          </cell>
          <cell r="DU123" t="e">
            <v>#VALUE!</v>
          </cell>
          <cell r="DV123">
            <v>0</v>
          </cell>
          <cell r="DW123">
            <v>0</v>
          </cell>
          <cell r="DX123">
            <v>78</v>
          </cell>
          <cell r="DY123" t="e">
            <v>#VALUE!</v>
          </cell>
          <cell r="DZ123">
            <v>0</v>
          </cell>
          <cell r="EA123">
            <v>10</v>
          </cell>
          <cell r="EB123">
            <v>93</v>
          </cell>
          <cell r="EC123" t="e">
            <v>#VALUE!</v>
          </cell>
          <cell r="ED123">
            <v>0</v>
          </cell>
          <cell r="EE123">
            <v>0</v>
          </cell>
          <cell r="EF123">
            <v>78</v>
          </cell>
          <cell r="EG123" t="e">
            <v>#VALUE!</v>
          </cell>
          <cell r="EH123">
            <v>0</v>
          </cell>
          <cell r="EI123">
            <v>36</v>
          </cell>
          <cell r="EJ123">
            <v>85</v>
          </cell>
          <cell r="EK123" t="e">
            <v>#VALUE!</v>
          </cell>
          <cell r="EL123">
            <v>0</v>
          </cell>
          <cell r="EM123">
            <v>0</v>
          </cell>
          <cell r="EN123">
            <v>87</v>
          </cell>
          <cell r="EO123" t="e">
            <v>#VALUE!</v>
          </cell>
          <cell r="EP123">
            <v>0</v>
          </cell>
          <cell r="EQ123">
            <v>0</v>
          </cell>
          <cell r="ER123">
            <v>100</v>
          </cell>
          <cell r="ES123" t="e">
            <v>#VALUE!</v>
          </cell>
          <cell r="ET123">
            <v>0</v>
          </cell>
          <cell r="EU123">
            <v>5</v>
          </cell>
          <cell r="EV123">
            <v>70</v>
          </cell>
          <cell r="EW123" t="e">
            <v>#VALUE!</v>
          </cell>
          <cell r="EX123">
            <v>0</v>
          </cell>
          <cell r="EY123">
            <v>0</v>
          </cell>
          <cell r="EZ123">
            <v>86</v>
          </cell>
          <cell r="FA123" t="e">
            <v>#VALUE!</v>
          </cell>
          <cell r="FB123">
            <v>0</v>
          </cell>
          <cell r="FC123">
            <v>0</v>
          </cell>
          <cell r="FD123">
            <v>0</v>
          </cell>
          <cell r="FE123" t="e">
            <v>#VALUE!</v>
          </cell>
          <cell r="FF123">
            <v>0</v>
          </cell>
          <cell r="FG123">
            <v>19</v>
          </cell>
          <cell r="FH123">
            <v>81</v>
          </cell>
          <cell r="FI123" t="e">
            <v>#VALUE!</v>
          </cell>
          <cell r="FJ123">
            <v>0</v>
          </cell>
          <cell r="FK123">
            <v>0</v>
          </cell>
          <cell r="FL123">
            <v>95</v>
          </cell>
          <cell r="FM123" t="e">
            <v>#VALUE!</v>
          </cell>
          <cell r="FN123">
            <v>0</v>
          </cell>
          <cell r="FO123">
            <v>0</v>
          </cell>
          <cell r="FP123">
            <v>84</v>
          </cell>
          <cell r="FQ123" t="e">
            <v>#VALUE!</v>
          </cell>
          <cell r="FR123">
            <v>0</v>
          </cell>
          <cell r="FS123">
            <v>0</v>
          </cell>
          <cell r="FT123">
            <v>82</v>
          </cell>
          <cell r="FU123" t="e">
            <v>#VALUE!</v>
          </cell>
          <cell r="FV123">
            <v>0</v>
          </cell>
          <cell r="FW123">
            <v>0</v>
          </cell>
          <cell r="FX123">
            <v>85</v>
          </cell>
          <cell r="FY123" t="e">
            <v>#VALUE!</v>
          </cell>
          <cell r="FZ123">
            <v>0</v>
          </cell>
          <cell r="GA123">
            <v>0</v>
          </cell>
          <cell r="GB123">
            <v>95</v>
          </cell>
          <cell r="GC123" t="e">
            <v>#VALUE!</v>
          </cell>
          <cell r="GD123">
            <v>0</v>
          </cell>
          <cell r="GE123">
            <v>24</v>
          </cell>
          <cell r="GF123">
            <v>71</v>
          </cell>
          <cell r="GG123" t="e">
            <v>#VALUE!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F9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 t="str">
            <v>F9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 t="str">
            <v>F9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 t="str">
            <v>F9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str">
            <v>F9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 t="str">
            <v>F9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 t="str">
            <v>F9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 t="str">
            <v>F9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 t="str">
            <v>F9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 t="str">
            <v>F9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 t="str">
            <v>F9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 t="str">
            <v>F9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 t="str">
            <v>F9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 t="str">
            <v>F9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 t="str">
            <v>F9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 t="str">
            <v>F9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 t="str">
            <v>F9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 t="str">
            <v>F9</v>
          </cell>
          <cell r="DJ124">
            <v>0</v>
          </cell>
          <cell r="DK124">
            <v>0</v>
          </cell>
          <cell r="DL124">
            <v>0</v>
          </cell>
          <cell r="DM124" t="e">
            <v>#VALUE!</v>
          </cell>
          <cell r="DN124">
            <v>0</v>
          </cell>
          <cell r="DO124">
            <v>26</v>
          </cell>
          <cell r="DP124">
            <v>96</v>
          </cell>
          <cell r="DQ124" t="e">
            <v>#VALUE!</v>
          </cell>
          <cell r="DR124">
            <v>0</v>
          </cell>
          <cell r="DS124">
            <v>0</v>
          </cell>
          <cell r="DT124">
            <v>90</v>
          </cell>
          <cell r="DU124" t="e">
            <v>#VALUE!</v>
          </cell>
          <cell r="DV124">
            <v>0</v>
          </cell>
          <cell r="DW124">
            <v>0</v>
          </cell>
          <cell r="DX124">
            <v>78</v>
          </cell>
          <cell r="DY124" t="e">
            <v>#VALUE!</v>
          </cell>
          <cell r="DZ124">
            <v>0</v>
          </cell>
          <cell r="EA124">
            <v>10</v>
          </cell>
          <cell r="EB124">
            <v>93</v>
          </cell>
          <cell r="EC124" t="e">
            <v>#VALUE!</v>
          </cell>
          <cell r="ED124">
            <v>0</v>
          </cell>
          <cell r="EE124">
            <v>0</v>
          </cell>
          <cell r="EF124">
            <v>78</v>
          </cell>
          <cell r="EG124" t="e">
            <v>#VALUE!</v>
          </cell>
          <cell r="EH124">
            <v>0</v>
          </cell>
          <cell r="EI124">
            <v>36</v>
          </cell>
          <cell r="EJ124">
            <v>85</v>
          </cell>
          <cell r="EK124" t="e">
            <v>#VALUE!</v>
          </cell>
          <cell r="EL124">
            <v>0</v>
          </cell>
          <cell r="EM124">
            <v>0</v>
          </cell>
          <cell r="EN124">
            <v>87</v>
          </cell>
          <cell r="EO124" t="e">
            <v>#VALUE!</v>
          </cell>
          <cell r="EP124">
            <v>0</v>
          </cell>
          <cell r="EQ124">
            <v>0</v>
          </cell>
          <cell r="ER124">
            <v>100</v>
          </cell>
          <cell r="ES124" t="e">
            <v>#VALUE!</v>
          </cell>
          <cell r="ET124">
            <v>0</v>
          </cell>
          <cell r="EU124">
            <v>5</v>
          </cell>
          <cell r="EV124">
            <v>70</v>
          </cell>
          <cell r="EW124" t="e">
            <v>#VALUE!</v>
          </cell>
          <cell r="EX124">
            <v>0</v>
          </cell>
          <cell r="EY124">
            <v>0</v>
          </cell>
          <cell r="EZ124">
            <v>86</v>
          </cell>
          <cell r="FA124" t="e">
            <v>#VALUE!</v>
          </cell>
          <cell r="FB124">
            <v>0</v>
          </cell>
          <cell r="FC124">
            <v>0</v>
          </cell>
          <cell r="FD124">
            <v>0</v>
          </cell>
          <cell r="FE124" t="e">
            <v>#VALUE!</v>
          </cell>
          <cell r="FF124">
            <v>0</v>
          </cell>
          <cell r="FG124">
            <v>19</v>
          </cell>
          <cell r="FH124">
            <v>81</v>
          </cell>
          <cell r="FI124" t="e">
            <v>#VALUE!</v>
          </cell>
          <cell r="FJ124">
            <v>0</v>
          </cell>
          <cell r="FK124">
            <v>0</v>
          </cell>
          <cell r="FL124">
            <v>95</v>
          </cell>
          <cell r="FM124" t="e">
            <v>#VALUE!</v>
          </cell>
          <cell r="FN124">
            <v>0</v>
          </cell>
          <cell r="FO124">
            <v>0</v>
          </cell>
          <cell r="FP124">
            <v>84</v>
          </cell>
          <cell r="FQ124" t="e">
            <v>#VALUE!</v>
          </cell>
          <cell r="FR124">
            <v>0</v>
          </cell>
          <cell r="FS124">
            <v>0</v>
          </cell>
          <cell r="FT124">
            <v>82</v>
          </cell>
          <cell r="FU124" t="e">
            <v>#VALUE!</v>
          </cell>
          <cell r="FV124">
            <v>0</v>
          </cell>
          <cell r="FW124">
            <v>0</v>
          </cell>
          <cell r="FX124">
            <v>85</v>
          </cell>
          <cell r="FY124" t="e">
            <v>#VALUE!</v>
          </cell>
          <cell r="FZ124">
            <v>0</v>
          </cell>
          <cell r="GA124">
            <v>0</v>
          </cell>
          <cell r="GB124">
            <v>95</v>
          </cell>
          <cell r="GC124" t="e">
            <v>#VALUE!</v>
          </cell>
          <cell r="GD124">
            <v>0</v>
          </cell>
          <cell r="GE124">
            <v>24</v>
          </cell>
          <cell r="GF124">
            <v>71</v>
          </cell>
          <cell r="GG124" t="e">
            <v>#VALUE!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F9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 t="str">
            <v>F9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 t="str">
            <v>F9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 t="str">
            <v>F9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str">
            <v>F9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 t="str">
            <v>F9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 t="str">
            <v>F9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 t="str">
            <v>F9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 t="str">
            <v>F9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 t="str">
            <v>F9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 t="str">
            <v>F9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 t="str">
            <v>F9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 t="str">
            <v>F9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 t="str">
            <v>F9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 t="str">
            <v>F9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 t="str">
            <v>F9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 t="str">
            <v>F9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 t="str">
            <v>F9</v>
          </cell>
          <cell r="DJ125">
            <v>0</v>
          </cell>
          <cell r="DK125">
            <v>0</v>
          </cell>
          <cell r="DL125">
            <v>0</v>
          </cell>
          <cell r="DM125" t="e">
            <v>#VALUE!</v>
          </cell>
          <cell r="DN125">
            <v>0</v>
          </cell>
          <cell r="DO125">
            <v>26</v>
          </cell>
          <cell r="DP125">
            <v>96</v>
          </cell>
          <cell r="DQ125" t="e">
            <v>#VALUE!</v>
          </cell>
          <cell r="DR125">
            <v>0</v>
          </cell>
          <cell r="DS125">
            <v>0</v>
          </cell>
          <cell r="DT125">
            <v>90</v>
          </cell>
          <cell r="DU125" t="e">
            <v>#VALUE!</v>
          </cell>
          <cell r="DV125">
            <v>0</v>
          </cell>
          <cell r="DW125">
            <v>0</v>
          </cell>
          <cell r="DX125">
            <v>78</v>
          </cell>
          <cell r="DY125" t="e">
            <v>#VALUE!</v>
          </cell>
          <cell r="DZ125">
            <v>0</v>
          </cell>
          <cell r="EA125">
            <v>10</v>
          </cell>
          <cell r="EB125">
            <v>93</v>
          </cell>
          <cell r="EC125" t="e">
            <v>#VALUE!</v>
          </cell>
          <cell r="ED125">
            <v>0</v>
          </cell>
          <cell r="EE125">
            <v>0</v>
          </cell>
          <cell r="EF125">
            <v>78</v>
          </cell>
          <cell r="EG125" t="e">
            <v>#VALUE!</v>
          </cell>
          <cell r="EH125">
            <v>0</v>
          </cell>
          <cell r="EI125">
            <v>36</v>
          </cell>
          <cell r="EJ125">
            <v>85</v>
          </cell>
          <cell r="EK125" t="e">
            <v>#VALUE!</v>
          </cell>
          <cell r="EL125">
            <v>0</v>
          </cell>
          <cell r="EM125">
            <v>0</v>
          </cell>
          <cell r="EN125">
            <v>87</v>
          </cell>
          <cell r="EO125" t="e">
            <v>#VALUE!</v>
          </cell>
          <cell r="EP125">
            <v>0</v>
          </cell>
          <cell r="EQ125">
            <v>0</v>
          </cell>
          <cell r="ER125">
            <v>100</v>
          </cell>
          <cell r="ES125" t="e">
            <v>#VALUE!</v>
          </cell>
          <cell r="ET125">
            <v>0</v>
          </cell>
          <cell r="EU125">
            <v>5</v>
          </cell>
          <cell r="EV125">
            <v>70</v>
          </cell>
          <cell r="EW125" t="e">
            <v>#VALUE!</v>
          </cell>
          <cell r="EX125">
            <v>0</v>
          </cell>
          <cell r="EY125">
            <v>0</v>
          </cell>
          <cell r="EZ125">
            <v>86</v>
          </cell>
          <cell r="FA125" t="e">
            <v>#VALUE!</v>
          </cell>
          <cell r="FB125">
            <v>0</v>
          </cell>
          <cell r="FC125">
            <v>0</v>
          </cell>
          <cell r="FD125">
            <v>0</v>
          </cell>
          <cell r="FE125" t="e">
            <v>#VALUE!</v>
          </cell>
          <cell r="FF125">
            <v>0</v>
          </cell>
          <cell r="FG125">
            <v>19</v>
          </cell>
          <cell r="FH125">
            <v>81</v>
          </cell>
          <cell r="FI125" t="e">
            <v>#VALUE!</v>
          </cell>
          <cell r="FJ125">
            <v>0</v>
          </cell>
          <cell r="FK125">
            <v>0</v>
          </cell>
          <cell r="FL125">
            <v>95</v>
          </cell>
          <cell r="FM125" t="e">
            <v>#VALUE!</v>
          </cell>
          <cell r="FN125">
            <v>0</v>
          </cell>
          <cell r="FO125">
            <v>0</v>
          </cell>
          <cell r="FP125">
            <v>84</v>
          </cell>
          <cell r="FQ125" t="e">
            <v>#VALUE!</v>
          </cell>
          <cell r="FR125">
            <v>0</v>
          </cell>
          <cell r="FS125">
            <v>0</v>
          </cell>
          <cell r="FT125">
            <v>82</v>
          </cell>
          <cell r="FU125" t="e">
            <v>#VALUE!</v>
          </cell>
          <cell r="FV125">
            <v>0</v>
          </cell>
          <cell r="FW125">
            <v>0</v>
          </cell>
          <cell r="FX125">
            <v>85</v>
          </cell>
          <cell r="FY125" t="e">
            <v>#VALUE!</v>
          </cell>
          <cell r="FZ125">
            <v>0</v>
          </cell>
          <cell r="GA125">
            <v>0</v>
          </cell>
          <cell r="GB125">
            <v>95</v>
          </cell>
          <cell r="GC125" t="e">
            <v>#VALUE!</v>
          </cell>
          <cell r="GD125">
            <v>0</v>
          </cell>
          <cell r="GE125">
            <v>24</v>
          </cell>
          <cell r="GF125">
            <v>71</v>
          </cell>
          <cell r="GG125" t="e">
            <v>#VALUE!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F9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 t="str">
            <v>F9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 t="str">
            <v>F9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 t="str">
            <v>F9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str">
            <v>F9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 t="str">
            <v>F9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 t="str">
            <v>F9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 t="str">
            <v>F9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 t="str">
            <v>F9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 t="str">
            <v>F9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 t="str">
            <v>F9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 t="str">
            <v>F9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 t="str">
            <v>F9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 t="str">
            <v>F9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 t="str">
            <v>F9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 t="str">
            <v>F9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 t="str">
            <v>F9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 t="str">
            <v>F9</v>
          </cell>
          <cell r="DJ126">
            <v>0</v>
          </cell>
          <cell r="DK126">
            <v>0</v>
          </cell>
          <cell r="DL126">
            <v>0</v>
          </cell>
          <cell r="DM126" t="e">
            <v>#VALUE!</v>
          </cell>
          <cell r="DN126">
            <v>0</v>
          </cell>
          <cell r="DO126">
            <v>26</v>
          </cell>
          <cell r="DP126">
            <v>96</v>
          </cell>
          <cell r="DQ126" t="e">
            <v>#VALUE!</v>
          </cell>
          <cell r="DR126">
            <v>0</v>
          </cell>
          <cell r="DS126">
            <v>0</v>
          </cell>
          <cell r="DT126">
            <v>90</v>
          </cell>
          <cell r="DU126" t="e">
            <v>#VALUE!</v>
          </cell>
          <cell r="DV126">
            <v>0</v>
          </cell>
          <cell r="DW126">
            <v>0</v>
          </cell>
          <cell r="DX126">
            <v>78</v>
          </cell>
          <cell r="DY126" t="e">
            <v>#VALUE!</v>
          </cell>
          <cell r="DZ126">
            <v>0</v>
          </cell>
          <cell r="EA126">
            <v>10</v>
          </cell>
          <cell r="EB126">
            <v>93</v>
          </cell>
          <cell r="EC126" t="e">
            <v>#VALUE!</v>
          </cell>
          <cell r="ED126">
            <v>0</v>
          </cell>
          <cell r="EE126">
            <v>0</v>
          </cell>
          <cell r="EF126">
            <v>78</v>
          </cell>
          <cell r="EG126" t="e">
            <v>#VALUE!</v>
          </cell>
          <cell r="EH126">
            <v>0</v>
          </cell>
          <cell r="EI126">
            <v>36</v>
          </cell>
          <cell r="EJ126">
            <v>85</v>
          </cell>
          <cell r="EK126" t="e">
            <v>#VALUE!</v>
          </cell>
          <cell r="EL126">
            <v>0</v>
          </cell>
          <cell r="EM126">
            <v>0</v>
          </cell>
          <cell r="EN126">
            <v>87</v>
          </cell>
          <cell r="EO126" t="e">
            <v>#VALUE!</v>
          </cell>
          <cell r="EP126">
            <v>0</v>
          </cell>
          <cell r="EQ126">
            <v>0</v>
          </cell>
          <cell r="ER126">
            <v>100</v>
          </cell>
          <cell r="ES126" t="e">
            <v>#VALUE!</v>
          </cell>
          <cell r="ET126">
            <v>0</v>
          </cell>
          <cell r="EU126">
            <v>5</v>
          </cell>
          <cell r="EV126">
            <v>70</v>
          </cell>
          <cell r="EW126" t="e">
            <v>#VALUE!</v>
          </cell>
          <cell r="EX126">
            <v>0</v>
          </cell>
          <cell r="EY126">
            <v>0</v>
          </cell>
          <cell r="EZ126">
            <v>86</v>
          </cell>
          <cell r="FA126" t="e">
            <v>#VALUE!</v>
          </cell>
          <cell r="FB126">
            <v>0</v>
          </cell>
          <cell r="FC126">
            <v>0</v>
          </cell>
          <cell r="FD126">
            <v>0</v>
          </cell>
          <cell r="FE126" t="e">
            <v>#VALUE!</v>
          </cell>
          <cell r="FF126">
            <v>0</v>
          </cell>
          <cell r="FG126">
            <v>19</v>
          </cell>
          <cell r="FH126">
            <v>81</v>
          </cell>
          <cell r="FI126" t="e">
            <v>#VALUE!</v>
          </cell>
          <cell r="FJ126">
            <v>0</v>
          </cell>
          <cell r="FK126">
            <v>0</v>
          </cell>
          <cell r="FL126">
            <v>95</v>
          </cell>
          <cell r="FM126" t="e">
            <v>#VALUE!</v>
          </cell>
          <cell r="FN126">
            <v>0</v>
          </cell>
          <cell r="FO126">
            <v>0</v>
          </cell>
          <cell r="FP126">
            <v>84</v>
          </cell>
          <cell r="FQ126" t="e">
            <v>#VALUE!</v>
          </cell>
          <cell r="FR126">
            <v>0</v>
          </cell>
          <cell r="FS126">
            <v>0</v>
          </cell>
          <cell r="FT126">
            <v>82</v>
          </cell>
          <cell r="FU126" t="e">
            <v>#VALUE!</v>
          </cell>
          <cell r="FV126">
            <v>0</v>
          </cell>
          <cell r="FW126">
            <v>0</v>
          </cell>
          <cell r="FX126">
            <v>85</v>
          </cell>
          <cell r="FY126" t="e">
            <v>#VALUE!</v>
          </cell>
          <cell r="FZ126">
            <v>0</v>
          </cell>
          <cell r="GA126">
            <v>0</v>
          </cell>
          <cell r="GB126">
            <v>95</v>
          </cell>
          <cell r="GC126" t="e">
            <v>#VALUE!</v>
          </cell>
          <cell r="GD126">
            <v>0</v>
          </cell>
          <cell r="GE126">
            <v>24</v>
          </cell>
          <cell r="GF126">
            <v>71</v>
          </cell>
          <cell r="GG126" t="e">
            <v>#VALUE!</v>
          </cell>
        </row>
        <row r="127">
          <cell r="DN127">
            <v>0</v>
          </cell>
          <cell r="DO127">
            <v>0</v>
          </cell>
          <cell r="DP127">
            <v>96</v>
          </cell>
          <cell r="DQ127" t="e">
            <v>#VALUE!</v>
          </cell>
          <cell r="DR127">
            <v>0</v>
          </cell>
          <cell r="DS127">
            <v>0</v>
          </cell>
          <cell r="DT127">
            <v>90</v>
          </cell>
          <cell r="DU127" t="e">
            <v>#VALUE!</v>
          </cell>
          <cell r="DV127">
            <v>0</v>
          </cell>
          <cell r="DW127">
            <v>0</v>
          </cell>
          <cell r="DX127">
            <v>78</v>
          </cell>
          <cell r="DY127" t="e">
            <v>#VALUE!</v>
          </cell>
          <cell r="DZ127">
            <v>0</v>
          </cell>
          <cell r="EA127">
            <v>0</v>
          </cell>
          <cell r="EB127">
            <v>93</v>
          </cell>
          <cell r="EC127" t="e">
            <v>#VALUE!</v>
          </cell>
          <cell r="ED127">
            <v>0</v>
          </cell>
          <cell r="EE127">
            <v>0</v>
          </cell>
          <cell r="EF127">
            <v>78</v>
          </cell>
          <cell r="EG127" t="e">
            <v>#VALUE!</v>
          </cell>
          <cell r="EH127">
            <v>0</v>
          </cell>
          <cell r="EI127">
            <v>0</v>
          </cell>
          <cell r="EJ127">
            <v>85</v>
          </cell>
          <cell r="EK127" t="e">
            <v>#VALUE!</v>
          </cell>
          <cell r="EL127">
            <v>0</v>
          </cell>
          <cell r="EM127">
            <v>0</v>
          </cell>
          <cell r="EN127">
            <v>87</v>
          </cell>
          <cell r="EO127" t="e">
            <v>#VALUE!</v>
          </cell>
          <cell r="EP127">
            <v>0</v>
          </cell>
          <cell r="EQ127">
            <v>0</v>
          </cell>
          <cell r="ER127">
            <v>100</v>
          </cell>
          <cell r="ES127" t="e">
            <v>#VALUE!</v>
          </cell>
          <cell r="ET127">
            <v>0</v>
          </cell>
          <cell r="EU127">
            <v>0</v>
          </cell>
          <cell r="EV127">
            <v>70</v>
          </cell>
          <cell r="EW127" t="e">
            <v>#VALUE!</v>
          </cell>
          <cell r="EX127">
            <v>0</v>
          </cell>
          <cell r="EY127">
            <v>0</v>
          </cell>
          <cell r="EZ127">
            <v>86</v>
          </cell>
          <cell r="FA127" t="e">
            <v>#VALUE!</v>
          </cell>
          <cell r="FB127">
            <v>0</v>
          </cell>
          <cell r="FC127">
            <v>0</v>
          </cell>
          <cell r="FD127">
            <v>0</v>
          </cell>
          <cell r="FE127" t="e">
            <v>#VALUE!</v>
          </cell>
          <cell r="FF127">
            <v>0</v>
          </cell>
          <cell r="FG127">
            <v>0</v>
          </cell>
          <cell r="FH127">
            <v>81</v>
          </cell>
          <cell r="FI127" t="e">
            <v>#VALUE!</v>
          </cell>
          <cell r="FJ127">
            <v>0</v>
          </cell>
          <cell r="FK127">
            <v>0</v>
          </cell>
          <cell r="FL127">
            <v>95</v>
          </cell>
          <cell r="FM127" t="e">
            <v>#VALUE!</v>
          </cell>
          <cell r="FN127">
            <v>0</v>
          </cell>
          <cell r="FO127">
            <v>0</v>
          </cell>
          <cell r="FP127">
            <v>84</v>
          </cell>
          <cell r="FQ127" t="e">
            <v>#VALUE!</v>
          </cell>
          <cell r="FR127">
            <v>0</v>
          </cell>
          <cell r="FS127">
            <v>0</v>
          </cell>
          <cell r="FT127">
            <v>82</v>
          </cell>
          <cell r="FU127" t="e">
            <v>#VALUE!</v>
          </cell>
          <cell r="FV127">
            <v>0</v>
          </cell>
          <cell r="FW127">
            <v>0</v>
          </cell>
          <cell r="FX127">
            <v>85</v>
          </cell>
          <cell r="FY127" t="e">
            <v>#VALUE!</v>
          </cell>
          <cell r="FZ127">
            <v>0</v>
          </cell>
          <cell r="GA127">
            <v>0</v>
          </cell>
          <cell r="GB127">
            <v>95</v>
          </cell>
          <cell r="GC127" t="e">
            <v>#VALUE!</v>
          </cell>
          <cell r="GD127">
            <v>0</v>
          </cell>
          <cell r="GE127">
            <v>0</v>
          </cell>
          <cell r="GF127">
            <v>71</v>
          </cell>
          <cell r="GG127" t="e">
            <v>#VALUE!</v>
          </cell>
        </row>
        <row r="128">
          <cell r="DN128">
            <v>0</v>
          </cell>
          <cell r="DO128">
            <v>0</v>
          </cell>
          <cell r="DP128">
            <v>96</v>
          </cell>
          <cell r="DQ128" t="e">
            <v>#VALUE!</v>
          </cell>
          <cell r="DR128">
            <v>0</v>
          </cell>
          <cell r="DS128">
            <v>0</v>
          </cell>
          <cell r="DT128">
            <v>90</v>
          </cell>
          <cell r="DU128" t="e">
            <v>#VALUE!</v>
          </cell>
          <cell r="DV128">
            <v>0</v>
          </cell>
          <cell r="DW128">
            <v>0</v>
          </cell>
          <cell r="DX128">
            <v>78</v>
          </cell>
          <cell r="DY128" t="e">
            <v>#VALUE!</v>
          </cell>
          <cell r="DZ128">
            <v>0</v>
          </cell>
          <cell r="EA128">
            <v>0</v>
          </cell>
          <cell r="EB128">
            <v>93</v>
          </cell>
          <cell r="EC128" t="e">
            <v>#VALUE!</v>
          </cell>
          <cell r="ED128">
            <v>0</v>
          </cell>
          <cell r="EE128">
            <v>0</v>
          </cell>
          <cell r="EF128">
            <v>78</v>
          </cell>
          <cell r="EG128" t="e">
            <v>#VALUE!</v>
          </cell>
          <cell r="EH128">
            <v>0</v>
          </cell>
          <cell r="EI128">
            <v>0</v>
          </cell>
          <cell r="EJ128">
            <v>85</v>
          </cell>
          <cell r="EK128" t="e">
            <v>#VALUE!</v>
          </cell>
          <cell r="EL128">
            <v>0</v>
          </cell>
          <cell r="EM128">
            <v>0</v>
          </cell>
          <cell r="EN128">
            <v>87</v>
          </cell>
          <cell r="EO128" t="e">
            <v>#VALUE!</v>
          </cell>
          <cell r="EP128">
            <v>0</v>
          </cell>
          <cell r="EQ128">
            <v>0</v>
          </cell>
          <cell r="ER128">
            <v>100</v>
          </cell>
          <cell r="ES128" t="e">
            <v>#VALUE!</v>
          </cell>
          <cell r="ET128">
            <v>0</v>
          </cell>
          <cell r="EU128">
            <v>0</v>
          </cell>
          <cell r="EV128">
            <v>70</v>
          </cell>
          <cell r="EW128" t="e">
            <v>#VALUE!</v>
          </cell>
          <cell r="EX128">
            <v>0</v>
          </cell>
          <cell r="EY128">
            <v>0</v>
          </cell>
          <cell r="EZ128">
            <v>86</v>
          </cell>
          <cell r="FA128" t="e">
            <v>#VALUE!</v>
          </cell>
          <cell r="FB128">
            <v>0</v>
          </cell>
          <cell r="FC128">
            <v>0</v>
          </cell>
          <cell r="FD128">
            <v>0</v>
          </cell>
          <cell r="FE128" t="e">
            <v>#VALUE!</v>
          </cell>
          <cell r="FF128">
            <v>0</v>
          </cell>
          <cell r="FG128">
            <v>0</v>
          </cell>
          <cell r="FH128">
            <v>81</v>
          </cell>
          <cell r="FI128" t="e">
            <v>#VALUE!</v>
          </cell>
          <cell r="FJ128">
            <v>0</v>
          </cell>
          <cell r="FK128">
            <v>0</v>
          </cell>
          <cell r="FL128">
            <v>95</v>
          </cell>
          <cell r="FM128" t="e">
            <v>#VALUE!</v>
          </cell>
          <cell r="FN128">
            <v>0</v>
          </cell>
          <cell r="FO128">
            <v>0</v>
          </cell>
          <cell r="FP128">
            <v>84</v>
          </cell>
          <cell r="FQ128" t="e">
            <v>#VALUE!</v>
          </cell>
          <cell r="FR128">
            <v>0</v>
          </cell>
          <cell r="FS128">
            <v>0</v>
          </cell>
          <cell r="FT128">
            <v>82</v>
          </cell>
          <cell r="FU128" t="e">
            <v>#VALUE!</v>
          </cell>
          <cell r="FV128">
            <v>0</v>
          </cell>
          <cell r="FW128">
            <v>0</v>
          </cell>
          <cell r="FX128">
            <v>85</v>
          </cell>
          <cell r="FY128" t="e">
            <v>#VALUE!</v>
          </cell>
          <cell r="FZ128">
            <v>0</v>
          </cell>
          <cell r="GA128">
            <v>0</v>
          </cell>
          <cell r="GB128">
            <v>95</v>
          </cell>
          <cell r="GC128" t="e">
            <v>#VALUE!</v>
          </cell>
          <cell r="GD128">
            <v>0</v>
          </cell>
          <cell r="GE128">
            <v>0</v>
          </cell>
          <cell r="GF128">
            <v>71</v>
          </cell>
          <cell r="GG128" t="e">
            <v>#VALUE!</v>
          </cell>
        </row>
        <row r="129">
          <cell r="DN129">
            <v>0</v>
          </cell>
          <cell r="DO129">
            <v>0</v>
          </cell>
          <cell r="DP129">
            <v>96</v>
          </cell>
          <cell r="DQ129" t="e">
            <v>#VALUE!</v>
          </cell>
          <cell r="DR129">
            <v>0</v>
          </cell>
          <cell r="DS129">
            <v>0</v>
          </cell>
          <cell r="DT129">
            <v>90</v>
          </cell>
          <cell r="DU129" t="e">
            <v>#VALUE!</v>
          </cell>
          <cell r="DV129">
            <v>0</v>
          </cell>
          <cell r="DW129">
            <v>0</v>
          </cell>
          <cell r="DX129">
            <v>78</v>
          </cell>
          <cell r="DY129" t="e">
            <v>#VALUE!</v>
          </cell>
          <cell r="DZ129">
            <v>0</v>
          </cell>
          <cell r="EA129">
            <v>0</v>
          </cell>
          <cell r="EB129">
            <v>93</v>
          </cell>
          <cell r="EC129" t="e">
            <v>#VALUE!</v>
          </cell>
          <cell r="ED129">
            <v>0</v>
          </cell>
          <cell r="EE129">
            <v>0</v>
          </cell>
          <cell r="EF129">
            <v>78</v>
          </cell>
          <cell r="EG129" t="e">
            <v>#VALUE!</v>
          </cell>
          <cell r="EH129">
            <v>0</v>
          </cell>
          <cell r="EI129">
            <v>0</v>
          </cell>
          <cell r="EJ129">
            <v>85</v>
          </cell>
          <cell r="EK129" t="e">
            <v>#VALUE!</v>
          </cell>
          <cell r="EL129">
            <v>0</v>
          </cell>
          <cell r="EM129">
            <v>0</v>
          </cell>
          <cell r="EN129">
            <v>87</v>
          </cell>
          <cell r="EO129" t="e">
            <v>#VALUE!</v>
          </cell>
          <cell r="EP129">
            <v>0</v>
          </cell>
          <cell r="EQ129">
            <v>0</v>
          </cell>
          <cell r="ER129">
            <v>100</v>
          </cell>
          <cell r="ES129" t="e">
            <v>#VALUE!</v>
          </cell>
          <cell r="ET129">
            <v>0</v>
          </cell>
          <cell r="EU129">
            <v>0</v>
          </cell>
          <cell r="EV129">
            <v>70</v>
          </cell>
          <cell r="EW129" t="e">
            <v>#VALUE!</v>
          </cell>
          <cell r="EX129">
            <v>0</v>
          </cell>
          <cell r="EY129">
            <v>0</v>
          </cell>
          <cell r="EZ129">
            <v>86</v>
          </cell>
          <cell r="FA129" t="e">
            <v>#VALUE!</v>
          </cell>
          <cell r="FB129">
            <v>0</v>
          </cell>
          <cell r="FC129">
            <v>0</v>
          </cell>
          <cell r="FD129">
            <v>0</v>
          </cell>
          <cell r="FE129" t="e">
            <v>#VALUE!</v>
          </cell>
          <cell r="FF129">
            <v>0</v>
          </cell>
          <cell r="FG129">
            <v>0</v>
          </cell>
          <cell r="FH129">
            <v>81</v>
          </cell>
          <cell r="FI129" t="e">
            <v>#VALUE!</v>
          </cell>
          <cell r="FJ129">
            <v>0</v>
          </cell>
          <cell r="FK129">
            <v>0</v>
          </cell>
          <cell r="FL129">
            <v>95</v>
          </cell>
          <cell r="FM129" t="e">
            <v>#VALUE!</v>
          </cell>
          <cell r="FN129">
            <v>0</v>
          </cell>
          <cell r="FO129">
            <v>0</v>
          </cell>
          <cell r="FP129">
            <v>84</v>
          </cell>
          <cell r="FQ129" t="e">
            <v>#VALUE!</v>
          </cell>
          <cell r="FR129">
            <v>0</v>
          </cell>
          <cell r="FS129">
            <v>0</v>
          </cell>
          <cell r="FT129">
            <v>82</v>
          </cell>
          <cell r="FU129" t="e">
            <v>#VALUE!</v>
          </cell>
          <cell r="FV129">
            <v>0</v>
          </cell>
          <cell r="FW129">
            <v>0</v>
          </cell>
          <cell r="FX129">
            <v>85</v>
          </cell>
          <cell r="FY129" t="e">
            <v>#VALUE!</v>
          </cell>
          <cell r="FZ129">
            <v>0</v>
          </cell>
          <cell r="GA129">
            <v>0</v>
          </cell>
          <cell r="GB129">
            <v>95</v>
          </cell>
          <cell r="GC129" t="e">
            <v>#VALUE!</v>
          </cell>
          <cell r="GD129">
            <v>0</v>
          </cell>
          <cell r="GE129">
            <v>0</v>
          </cell>
          <cell r="GF129">
            <v>71</v>
          </cell>
          <cell r="GG129" t="e">
            <v>#VALUE!</v>
          </cell>
        </row>
        <row r="130">
          <cell r="DN130">
            <v>0</v>
          </cell>
          <cell r="DO130">
            <v>0</v>
          </cell>
          <cell r="DP130">
            <v>96</v>
          </cell>
          <cell r="DQ130" t="e">
            <v>#VALUE!</v>
          </cell>
          <cell r="DR130">
            <v>0</v>
          </cell>
          <cell r="DS130">
            <v>0</v>
          </cell>
          <cell r="DT130">
            <v>90</v>
          </cell>
          <cell r="DU130" t="e">
            <v>#VALUE!</v>
          </cell>
          <cell r="DV130">
            <v>0</v>
          </cell>
          <cell r="DW130">
            <v>0</v>
          </cell>
          <cell r="DX130">
            <v>78</v>
          </cell>
          <cell r="DY130" t="e">
            <v>#VALUE!</v>
          </cell>
          <cell r="DZ130">
            <v>0</v>
          </cell>
          <cell r="EA130">
            <v>0</v>
          </cell>
          <cell r="EB130">
            <v>93</v>
          </cell>
          <cell r="EC130" t="e">
            <v>#VALUE!</v>
          </cell>
          <cell r="ED130">
            <v>0</v>
          </cell>
          <cell r="EE130">
            <v>0</v>
          </cell>
          <cell r="EF130">
            <v>78</v>
          </cell>
          <cell r="EG130" t="e">
            <v>#VALUE!</v>
          </cell>
          <cell r="EH130">
            <v>0</v>
          </cell>
          <cell r="EI130">
            <v>0</v>
          </cell>
          <cell r="EJ130">
            <v>85</v>
          </cell>
          <cell r="EK130" t="e">
            <v>#VALUE!</v>
          </cell>
          <cell r="EL130">
            <v>0</v>
          </cell>
          <cell r="EM130">
            <v>0</v>
          </cell>
          <cell r="EN130">
            <v>87</v>
          </cell>
          <cell r="EO130" t="e">
            <v>#VALUE!</v>
          </cell>
          <cell r="EP130">
            <v>0</v>
          </cell>
          <cell r="EQ130">
            <v>0</v>
          </cell>
          <cell r="ER130">
            <v>100</v>
          </cell>
          <cell r="ES130" t="e">
            <v>#VALUE!</v>
          </cell>
          <cell r="ET130">
            <v>0</v>
          </cell>
          <cell r="EU130">
            <v>0</v>
          </cell>
          <cell r="EV130">
            <v>70</v>
          </cell>
          <cell r="EW130" t="e">
            <v>#VALUE!</v>
          </cell>
          <cell r="EX130">
            <v>0</v>
          </cell>
          <cell r="EY130">
            <v>0</v>
          </cell>
          <cell r="EZ130">
            <v>86</v>
          </cell>
          <cell r="FA130" t="e">
            <v>#VALUE!</v>
          </cell>
          <cell r="FB130">
            <v>0</v>
          </cell>
          <cell r="FC130">
            <v>0</v>
          </cell>
          <cell r="FD130">
            <v>0</v>
          </cell>
          <cell r="FE130" t="e">
            <v>#VALUE!</v>
          </cell>
          <cell r="FF130">
            <v>0</v>
          </cell>
          <cell r="FG130">
            <v>0</v>
          </cell>
          <cell r="FH130">
            <v>81</v>
          </cell>
          <cell r="FI130" t="e">
            <v>#VALUE!</v>
          </cell>
          <cell r="FJ130">
            <v>0</v>
          </cell>
          <cell r="FK130">
            <v>0</v>
          </cell>
          <cell r="FL130">
            <v>95</v>
          </cell>
          <cell r="FM130" t="e">
            <v>#VALUE!</v>
          </cell>
          <cell r="FN130">
            <v>0</v>
          </cell>
          <cell r="FO130">
            <v>0</v>
          </cell>
          <cell r="FP130">
            <v>84</v>
          </cell>
          <cell r="FQ130" t="e">
            <v>#VALUE!</v>
          </cell>
          <cell r="FR130">
            <v>0</v>
          </cell>
          <cell r="FS130">
            <v>0</v>
          </cell>
          <cell r="FT130">
            <v>82</v>
          </cell>
          <cell r="FU130" t="e">
            <v>#VALUE!</v>
          </cell>
          <cell r="FV130">
            <v>0</v>
          </cell>
          <cell r="FW130">
            <v>0</v>
          </cell>
          <cell r="FX130">
            <v>85</v>
          </cell>
          <cell r="FY130" t="e">
            <v>#VALUE!</v>
          </cell>
          <cell r="FZ130">
            <v>0</v>
          </cell>
          <cell r="GA130">
            <v>0</v>
          </cell>
          <cell r="GB130">
            <v>95</v>
          </cell>
          <cell r="GC130" t="e">
            <v>#VALUE!</v>
          </cell>
          <cell r="GD130">
            <v>0</v>
          </cell>
          <cell r="GE130">
            <v>0</v>
          </cell>
          <cell r="GF130">
            <v>71</v>
          </cell>
          <cell r="GG130" t="e">
            <v>#VALUE!</v>
          </cell>
        </row>
        <row r="131">
          <cell r="DN131">
            <v>0</v>
          </cell>
          <cell r="DO131">
            <v>0</v>
          </cell>
          <cell r="DP131">
            <v>96</v>
          </cell>
          <cell r="DQ131" t="e">
            <v>#VALUE!</v>
          </cell>
          <cell r="DR131">
            <v>0</v>
          </cell>
          <cell r="DS131">
            <v>0</v>
          </cell>
          <cell r="DT131">
            <v>90</v>
          </cell>
          <cell r="DU131" t="e">
            <v>#VALUE!</v>
          </cell>
          <cell r="DV131">
            <v>0</v>
          </cell>
          <cell r="DW131">
            <v>0</v>
          </cell>
          <cell r="DX131">
            <v>78</v>
          </cell>
          <cell r="DY131" t="e">
            <v>#VALUE!</v>
          </cell>
          <cell r="DZ131">
            <v>0</v>
          </cell>
          <cell r="EA131">
            <v>0</v>
          </cell>
          <cell r="EB131">
            <v>93</v>
          </cell>
          <cell r="EC131" t="e">
            <v>#VALUE!</v>
          </cell>
          <cell r="ED131">
            <v>0</v>
          </cell>
          <cell r="EE131">
            <v>0</v>
          </cell>
          <cell r="EF131">
            <v>78</v>
          </cell>
          <cell r="EG131" t="e">
            <v>#VALUE!</v>
          </cell>
          <cell r="EH131">
            <v>0</v>
          </cell>
          <cell r="EI131">
            <v>0</v>
          </cell>
          <cell r="EJ131">
            <v>85</v>
          </cell>
          <cell r="EK131" t="e">
            <v>#VALUE!</v>
          </cell>
          <cell r="EL131">
            <v>0</v>
          </cell>
          <cell r="EM131">
            <v>0</v>
          </cell>
          <cell r="EN131">
            <v>87</v>
          </cell>
          <cell r="EO131" t="e">
            <v>#VALUE!</v>
          </cell>
          <cell r="EP131">
            <v>0</v>
          </cell>
          <cell r="EQ131">
            <v>0</v>
          </cell>
          <cell r="ER131">
            <v>100</v>
          </cell>
          <cell r="ES131" t="e">
            <v>#VALUE!</v>
          </cell>
          <cell r="ET131">
            <v>0</v>
          </cell>
          <cell r="EU131">
            <v>0</v>
          </cell>
          <cell r="EV131">
            <v>70</v>
          </cell>
          <cell r="EW131" t="e">
            <v>#VALUE!</v>
          </cell>
          <cell r="EX131">
            <v>0</v>
          </cell>
          <cell r="EY131">
            <v>0</v>
          </cell>
          <cell r="EZ131">
            <v>86</v>
          </cell>
          <cell r="FA131" t="e">
            <v>#VALUE!</v>
          </cell>
          <cell r="FB131">
            <v>0</v>
          </cell>
          <cell r="FC131">
            <v>0</v>
          </cell>
          <cell r="FD131">
            <v>0</v>
          </cell>
          <cell r="FE131" t="e">
            <v>#VALUE!</v>
          </cell>
          <cell r="FF131">
            <v>0</v>
          </cell>
          <cell r="FG131">
            <v>0</v>
          </cell>
          <cell r="FH131">
            <v>81</v>
          </cell>
          <cell r="FI131" t="e">
            <v>#VALUE!</v>
          </cell>
          <cell r="FJ131">
            <v>0</v>
          </cell>
          <cell r="FK131">
            <v>0</v>
          </cell>
          <cell r="FL131">
            <v>95</v>
          </cell>
          <cell r="FM131" t="e">
            <v>#VALUE!</v>
          </cell>
          <cell r="FN131">
            <v>0</v>
          </cell>
          <cell r="FO131">
            <v>0</v>
          </cell>
          <cell r="FP131">
            <v>84</v>
          </cell>
          <cell r="FQ131" t="e">
            <v>#VALUE!</v>
          </cell>
          <cell r="FR131">
            <v>0</v>
          </cell>
          <cell r="FS131">
            <v>0</v>
          </cell>
          <cell r="FT131">
            <v>82</v>
          </cell>
          <cell r="FU131" t="e">
            <v>#VALUE!</v>
          </cell>
          <cell r="FV131">
            <v>0</v>
          </cell>
          <cell r="FW131">
            <v>0</v>
          </cell>
          <cell r="FX131">
            <v>85</v>
          </cell>
          <cell r="FY131" t="e">
            <v>#VALUE!</v>
          </cell>
          <cell r="FZ131">
            <v>0</v>
          </cell>
          <cell r="GA131">
            <v>0</v>
          </cell>
          <cell r="GB131">
            <v>95</v>
          </cell>
          <cell r="GC131" t="e">
            <v>#VALUE!</v>
          </cell>
          <cell r="GD131">
            <v>0</v>
          </cell>
          <cell r="GE131">
            <v>0</v>
          </cell>
          <cell r="GF131">
            <v>71</v>
          </cell>
          <cell r="GG131" t="e">
            <v>#VALUE!</v>
          </cell>
        </row>
        <row r="132">
          <cell r="DN132">
            <v>0</v>
          </cell>
          <cell r="DO132">
            <v>0</v>
          </cell>
          <cell r="DP132">
            <v>96</v>
          </cell>
          <cell r="DQ132" t="e">
            <v>#VALUE!</v>
          </cell>
          <cell r="DR132">
            <v>0</v>
          </cell>
          <cell r="DS132">
            <v>0</v>
          </cell>
          <cell r="DT132">
            <v>90</v>
          </cell>
          <cell r="DU132" t="e">
            <v>#VALUE!</v>
          </cell>
          <cell r="DV132">
            <v>0</v>
          </cell>
          <cell r="DW132">
            <v>0</v>
          </cell>
          <cell r="DX132">
            <v>78</v>
          </cell>
          <cell r="DY132" t="e">
            <v>#VALUE!</v>
          </cell>
          <cell r="DZ132">
            <v>0</v>
          </cell>
          <cell r="EA132">
            <v>0</v>
          </cell>
          <cell r="EB132">
            <v>93</v>
          </cell>
          <cell r="EC132" t="e">
            <v>#VALUE!</v>
          </cell>
          <cell r="ED132">
            <v>0</v>
          </cell>
          <cell r="EE132">
            <v>0</v>
          </cell>
          <cell r="EF132">
            <v>78</v>
          </cell>
          <cell r="EG132" t="e">
            <v>#VALUE!</v>
          </cell>
          <cell r="EH132">
            <v>0</v>
          </cell>
          <cell r="EI132">
            <v>0</v>
          </cell>
          <cell r="EJ132">
            <v>85</v>
          </cell>
          <cell r="EK132" t="e">
            <v>#VALUE!</v>
          </cell>
          <cell r="EL132">
            <v>0</v>
          </cell>
          <cell r="EM132">
            <v>0</v>
          </cell>
          <cell r="EN132">
            <v>87</v>
          </cell>
          <cell r="EO132" t="e">
            <v>#VALUE!</v>
          </cell>
          <cell r="EP132">
            <v>0</v>
          </cell>
          <cell r="EQ132">
            <v>0</v>
          </cell>
          <cell r="ER132">
            <v>100</v>
          </cell>
          <cell r="ES132" t="e">
            <v>#VALUE!</v>
          </cell>
          <cell r="ET132">
            <v>0</v>
          </cell>
          <cell r="EU132">
            <v>0</v>
          </cell>
          <cell r="EV132">
            <v>70</v>
          </cell>
          <cell r="EW132" t="e">
            <v>#VALUE!</v>
          </cell>
          <cell r="EX132">
            <v>0</v>
          </cell>
          <cell r="EY132">
            <v>0</v>
          </cell>
          <cell r="EZ132">
            <v>86</v>
          </cell>
          <cell r="FA132" t="e">
            <v>#VALUE!</v>
          </cell>
          <cell r="FB132">
            <v>0</v>
          </cell>
          <cell r="FC132">
            <v>0</v>
          </cell>
          <cell r="FD132">
            <v>0</v>
          </cell>
          <cell r="FE132" t="e">
            <v>#VALUE!</v>
          </cell>
          <cell r="FF132">
            <v>0</v>
          </cell>
          <cell r="FG132">
            <v>0</v>
          </cell>
          <cell r="FH132">
            <v>81</v>
          </cell>
          <cell r="FI132" t="e">
            <v>#VALUE!</v>
          </cell>
          <cell r="FJ132">
            <v>0</v>
          </cell>
          <cell r="FK132">
            <v>0</v>
          </cell>
          <cell r="FL132">
            <v>95</v>
          </cell>
          <cell r="FM132" t="e">
            <v>#VALUE!</v>
          </cell>
          <cell r="FN132">
            <v>0</v>
          </cell>
          <cell r="FO132">
            <v>0</v>
          </cell>
          <cell r="FP132">
            <v>84</v>
          </cell>
          <cell r="FQ132" t="e">
            <v>#VALUE!</v>
          </cell>
          <cell r="FR132">
            <v>0</v>
          </cell>
          <cell r="FS132">
            <v>0</v>
          </cell>
          <cell r="FT132">
            <v>82</v>
          </cell>
          <cell r="FU132" t="e">
            <v>#VALUE!</v>
          </cell>
          <cell r="FV132">
            <v>0</v>
          </cell>
          <cell r="FW132">
            <v>0</v>
          </cell>
          <cell r="FX132">
            <v>85</v>
          </cell>
          <cell r="FY132" t="e">
            <v>#VALUE!</v>
          </cell>
          <cell r="FZ132">
            <v>0</v>
          </cell>
          <cell r="GA132">
            <v>0</v>
          </cell>
          <cell r="GB132">
            <v>95</v>
          </cell>
          <cell r="GC132" t="e">
            <v>#VALUE!</v>
          </cell>
          <cell r="GD132">
            <v>0</v>
          </cell>
          <cell r="GE132">
            <v>0</v>
          </cell>
          <cell r="GF132">
            <v>71</v>
          </cell>
          <cell r="GG132" t="e">
            <v>#VALUE!</v>
          </cell>
        </row>
        <row r="133">
          <cell r="DN133">
            <v>0</v>
          </cell>
          <cell r="DO133">
            <v>0</v>
          </cell>
          <cell r="DP133">
            <v>96</v>
          </cell>
          <cell r="DQ133" t="e">
            <v>#VALUE!</v>
          </cell>
          <cell r="DR133">
            <v>0</v>
          </cell>
          <cell r="DS133">
            <v>0</v>
          </cell>
          <cell r="DT133">
            <v>90</v>
          </cell>
          <cell r="DU133" t="e">
            <v>#VALUE!</v>
          </cell>
          <cell r="DV133">
            <v>0</v>
          </cell>
          <cell r="DW133">
            <v>0</v>
          </cell>
          <cell r="DX133">
            <v>78</v>
          </cell>
          <cell r="DY133" t="e">
            <v>#VALUE!</v>
          </cell>
          <cell r="DZ133">
            <v>0</v>
          </cell>
          <cell r="EA133">
            <v>0</v>
          </cell>
          <cell r="EB133">
            <v>93</v>
          </cell>
          <cell r="EC133" t="e">
            <v>#VALUE!</v>
          </cell>
          <cell r="ED133">
            <v>0</v>
          </cell>
          <cell r="EE133">
            <v>0</v>
          </cell>
          <cell r="EF133">
            <v>78</v>
          </cell>
          <cell r="EG133" t="e">
            <v>#VALUE!</v>
          </cell>
          <cell r="EH133">
            <v>0</v>
          </cell>
          <cell r="EI133">
            <v>0</v>
          </cell>
          <cell r="EJ133">
            <v>85</v>
          </cell>
          <cell r="EK133" t="e">
            <v>#VALUE!</v>
          </cell>
          <cell r="EL133">
            <v>0</v>
          </cell>
          <cell r="EM133">
            <v>0</v>
          </cell>
          <cell r="EN133">
            <v>87</v>
          </cell>
          <cell r="EO133" t="e">
            <v>#VALUE!</v>
          </cell>
          <cell r="EP133">
            <v>0</v>
          </cell>
          <cell r="EQ133">
            <v>0</v>
          </cell>
          <cell r="ER133">
            <v>100</v>
          </cell>
          <cell r="ES133" t="e">
            <v>#VALUE!</v>
          </cell>
          <cell r="ET133">
            <v>0</v>
          </cell>
          <cell r="EU133">
            <v>0</v>
          </cell>
          <cell r="EV133">
            <v>70</v>
          </cell>
          <cell r="EW133" t="e">
            <v>#VALUE!</v>
          </cell>
          <cell r="EX133">
            <v>0</v>
          </cell>
          <cell r="EY133">
            <v>0</v>
          </cell>
          <cell r="EZ133">
            <v>86</v>
          </cell>
          <cell r="FA133" t="e">
            <v>#VALUE!</v>
          </cell>
          <cell r="FB133">
            <v>0</v>
          </cell>
          <cell r="FC133">
            <v>0</v>
          </cell>
          <cell r="FD133">
            <v>0</v>
          </cell>
          <cell r="FE133" t="e">
            <v>#VALUE!</v>
          </cell>
          <cell r="FF133">
            <v>0</v>
          </cell>
          <cell r="FG133">
            <v>0</v>
          </cell>
          <cell r="FH133">
            <v>81</v>
          </cell>
          <cell r="FI133" t="e">
            <v>#VALUE!</v>
          </cell>
          <cell r="FJ133">
            <v>0</v>
          </cell>
          <cell r="FK133">
            <v>0</v>
          </cell>
          <cell r="FL133">
            <v>95</v>
          </cell>
          <cell r="FM133" t="e">
            <v>#VALUE!</v>
          </cell>
          <cell r="FN133">
            <v>0</v>
          </cell>
          <cell r="FO133">
            <v>0</v>
          </cell>
          <cell r="FP133">
            <v>84</v>
          </cell>
          <cell r="FQ133" t="e">
            <v>#VALUE!</v>
          </cell>
          <cell r="FR133">
            <v>0</v>
          </cell>
          <cell r="FS133">
            <v>0</v>
          </cell>
          <cell r="FT133">
            <v>82</v>
          </cell>
          <cell r="FU133" t="e">
            <v>#VALUE!</v>
          </cell>
          <cell r="FV133">
            <v>0</v>
          </cell>
          <cell r="FW133">
            <v>0</v>
          </cell>
          <cell r="FX133">
            <v>85</v>
          </cell>
          <cell r="FY133" t="e">
            <v>#VALUE!</v>
          </cell>
          <cell r="FZ133">
            <v>0</v>
          </cell>
          <cell r="GA133">
            <v>0</v>
          </cell>
          <cell r="GB133">
            <v>95</v>
          </cell>
          <cell r="GC133" t="e">
            <v>#VALUE!</v>
          </cell>
          <cell r="GD133">
            <v>0</v>
          </cell>
          <cell r="GE133">
            <v>0</v>
          </cell>
          <cell r="GF133">
            <v>71</v>
          </cell>
          <cell r="GG133" t="e">
            <v>#VALUE!</v>
          </cell>
        </row>
        <row r="134">
          <cell r="DN134">
            <v>0</v>
          </cell>
          <cell r="DO134">
            <v>0</v>
          </cell>
          <cell r="DP134">
            <v>96</v>
          </cell>
          <cell r="DQ134" t="e">
            <v>#VALUE!</v>
          </cell>
          <cell r="DR134">
            <v>0</v>
          </cell>
          <cell r="DS134">
            <v>0</v>
          </cell>
          <cell r="DT134">
            <v>90</v>
          </cell>
          <cell r="DU134" t="e">
            <v>#VALUE!</v>
          </cell>
          <cell r="DV134">
            <v>0</v>
          </cell>
          <cell r="DW134">
            <v>0</v>
          </cell>
          <cell r="DX134">
            <v>78</v>
          </cell>
          <cell r="DY134" t="e">
            <v>#VALUE!</v>
          </cell>
          <cell r="DZ134">
            <v>0</v>
          </cell>
          <cell r="EA134">
            <v>0</v>
          </cell>
          <cell r="EB134">
            <v>93</v>
          </cell>
          <cell r="EC134" t="e">
            <v>#VALUE!</v>
          </cell>
          <cell r="ED134">
            <v>0</v>
          </cell>
          <cell r="EE134">
            <v>0</v>
          </cell>
          <cell r="EF134">
            <v>78</v>
          </cell>
          <cell r="EG134" t="e">
            <v>#VALUE!</v>
          </cell>
          <cell r="EH134">
            <v>0</v>
          </cell>
          <cell r="EI134">
            <v>0</v>
          </cell>
          <cell r="EJ134">
            <v>85</v>
          </cell>
          <cell r="EK134" t="e">
            <v>#VALUE!</v>
          </cell>
          <cell r="EL134">
            <v>0</v>
          </cell>
          <cell r="EM134">
            <v>0</v>
          </cell>
          <cell r="EN134">
            <v>87</v>
          </cell>
          <cell r="EO134" t="e">
            <v>#VALUE!</v>
          </cell>
          <cell r="EP134">
            <v>0</v>
          </cell>
          <cell r="EQ134">
            <v>0</v>
          </cell>
          <cell r="ER134">
            <v>100</v>
          </cell>
          <cell r="ES134" t="e">
            <v>#VALUE!</v>
          </cell>
          <cell r="ET134">
            <v>0</v>
          </cell>
          <cell r="EU134">
            <v>0</v>
          </cell>
          <cell r="EV134">
            <v>70</v>
          </cell>
          <cell r="EW134" t="e">
            <v>#VALUE!</v>
          </cell>
          <cell r="EX134">
            <v>0</v>
          </cell>
          <cell r="EY134">
            <v>0</v>
          </cell>
          <cell r="EZ134">
            <v>86</v>
          </cell>
          <cell r="FA134" t="e">
            <v>#VALUE!</v>
          </cell>
          <cell r="FB134">
            <v>0</v>
          </cell>
          <cell r="FC134">
            <v>0</v>
          </cell>
          <cell r="FD134">
            <v>0</v>
          </cell>
          <cell r="FE134" t="e">
            <v>#VALUE!</v>
          </cell>
          <cell r="FF134">
            <v>0</v>
          </cell>
          <cell r="FG134">
            <v>0</v>
          </cell>
          <cell r="FH134">
            <v>81</v>
          </cell>
          <cell r="FI134" t="e">
            <v>#VALUE!</v>
          </cell>
          <cell r="FJ134">
            <v>0</v>
          </cell>
          <cell r="FK134">
            <v>0</v>
          </cell>
          <cell r="FL134">
            <v>95</v>
          </cell>
          <cell r="FM134" t="e">
            <v>#VALUE!</v>
          </cell>
          <cell r="FN134">
            <v>0</v>
          </cell>
          <cell r="FO134">
            <v>0</v>
          </cell>
          <cell r="FP134">
            <v>84</v>
          </cell>
          <cell r="FQ134" t="e">
            <v>#VALUE!</v>
          </cell>
          <cell r="FR134">
            <v>0</v>
          </cell>
          <cell r="FS134">
            <v>0</v>
          </cell>
          <cell r="FT134">
            <v>82</v>
          </cell>
          <cell r="FU134" t="e">
            <v>#VALUE!</v>
          </cell>
          <cell r="FV134">
            <v>0</v>
          </cell>
          <cell r="FW134">
            <v>0</v>
          </cell>
          <cell r="FX134">
            <v>85</v>
          </cell>
          <cell r="FY134" t="e">
            <v>#VALUE!</v>
          </cell>
          <cell r="FZ134">
            <v>0</v>
          </cell>
          <cell r="GA134">
            <v>0</v>
          </cell>
          <cell r="GB134">
            <v>95</v>
          </cell>
          <cell r="GC134" t="e">
            <v>#VALUE!</v>
          </cell>
          <cell r="GD134">
            <v>0</v>
          </cell>
          <cell r="GE134">
            <v>0</v>
          </cell>
          <cell r="GF134">
            <v>71</v>
          </cell>
          <cell r="GG134" t="e">
            <v>#VALUE!</v>
          </cell>
        </row>
        <row r="135">
          <cell r="DN135">
            <v>0</v>
          </cell>
          <cell r="DO135">
            <v>0</v>
          </cell>
          <cell r="DP135">
            <v>96</v>
          </cell>
          <cell r="DQ135" t="e">
            <v>#VALUE!</v>
          </cell>
          <cell r="DR135">
            <v>0</v>
          </cell>
          <cell r="DS135">
            <v>0</v>
          </cell>
          <cell r="DT135">
            <v>90</v>
          </cell>
          <cell r="DU135" t="e">
            <v>#VALUE!</v>
          </cell>
          <cell r="DV135">
            <v>0</v>
          </cell>
          <cell r="DW135">
            <v>0</v>
          </cell>
          <cell r="DX135">
            <v>78</v>
          </cell>
          <cell r="DY135" t="e">
            <v>#VALUE!</v>
          </cell>
          <cell r="DZ135">
            <v>0</v>
          </cell>
          <cell r="EA135">
            <v>0</v>
          </cell>
          <cell r="EB135">
            <v>93</v>
          </cell>
          <cell r="EC135" t="e">
            <v>#VALUE!</v>
          </cell>
          <cell r="ED135">
            <v>0</v>
          </cell>
          <cell r="EE135">
            <v>0</v>
          </cell>
          <cell r="EF135">
            <v>78</v>
          </cell>
          <cell r="EG135" t="e">
            <v>#VALUE!</v>
          </cell>
          <cell r="EH135">
            <v>0</v>
          </cell>
          <cell r="EI135">
            <v>0</v>
          </cell>
          <cell r="EJ135">
            <v>85</v>
          </cell>
          <cell r="EK135" t="e">
            <v>#VALUE!</v>
          </cell>
          <cell r="EL135">
            <v>0</v>
          </cell>
          <cell r="EM135">
            <v>0</v>
          </cell>
          <cell r="EN135">
            <v>87</v>
          </cell>
          <cell r="EO135" t="e">
            <v>#VALUE!</v>
          </cell>
          <cell r="EP135">
            <v>0</v>
          </cell>
          <cell r="EQ135">
            <v>0</v>
          </cell>
          <cell r="ER135">
            <v>100</v>
          </cell>
          <cell r="ES135" t="e">
            <v>#VALUE!</v>
          </cell>
          <cell r="ET135">
            <v>0</v>
          </cell>
          <cell r="EU135">
            <v>0</v>
          </cell>
          <cell r="EV135">
            <v>70</v>
          </cell>
          <cell r="EW135" t="e">
            <v>#VALUE!</v>
          </cell>
          <cell r="EX135">
            <v>0</v>
          </cell>
          <cell r="EY135">
            <v>0</v>
          </cell>
          <cell r="EZ135">
            <v>86</v>
          </cell>
          <cell r="FA135" t="e">
            <v>#VALUE!</v>
          </cell>
          <cell r="FB135">
            <v>0</v>
          </cell>
          <cell r="FC135">
            <v>0</v>
          </cell>
          <cell r="FD135">
            <v>0</v>
          </cell>
          <cell r="FE135" t="e">
            <v>#VALUE!</v>
          </cell>
          <cell r="FF135">
            <v>0</v>
          </cell>
          <cell r="FG135">
            <v>0</v>
          </cell>
          <cell r="FH135">
            <v>81</v>
          </cell>
          <cell r="FI135" t="e">
            <v>#VALUE!</v>
          </cell>
          <cell r="FJ135">
            <v>0</v>
          </cell>
          <cell r="FK135">
            <v>0</v>
          </cell>
          <cell r="FL135">
            <v>95</v>
          </cell>
          <cell r="FM135" t="e">
            <v>#VALUE!</v>
          </cell>
          <cell r="FN135">
            <v>0</v>
          </cell>
          <cell r="FO135">
            <v>0</v>
          </cell>
          <cell r="FP135">
            <v>84</v>
          </cell>
          <cell r="FQ135" t="e">
            <v>#VALUE!</v>
          </cell>
          <cell r="FR135">
            <v>0</v>
          </cell>
          <cell r="FS135">
            <v>0</v>
          </cell>
          <cell r="FT135">
            <v>82</v>
          </cell>
          <cell r="FU135" t="e">
            <v>#VALUE!</v>
          </cell>
          <cell r="FV135">
            <v>0</v>
          </cell>
          <cell r="FW135">
            <v>0</v>
          </cell>
          <cell r="FX135">
            <v>85</v>
          </cell>
          <cell r="FY135" t="e">
            <v>#VALUE!</v>
          </cell>
          <cell r="FZ135">
            <v>0</v>
          </cell>
          <cell r="GA135">
            <v>0</v>
          </cell>
          <cell r="GB135">
            <v>95</v>
          </cell>
          <cell r="GC135" t="e">
            <v>#VALUE!</v>
          </cell>
          <cell r="GD135">
            <v>0</v>
          </cell>
          <cell r="GE135">
            <v>0</v>
          </cell>
          <cell r="GF135">
            <v>71</v>
          </cell>
          <cell r="GG135" t="e">
            <v>#VALUE!</v>
          </cell>
        </row>
        <row r="136">
          <cell r="DN136">
            <v>0</v>
          </cell>
          <cell r="DO136">
            <v>0</v>
          </cell>
          <cell r="DP136">
            <v>96</v>
          </cell>
          <cell r="DQ136" t="e">
            <v>#VALUE!</v>
          </cell>
          <cell r="DR136">
            <v>0</v>
          </cell>
          <cell r="DS136">
            <v>0</v>
          </cell>
          <cell r="DT136">
            <v>90</v>
          </cell>
          <cell r="DU136" t="e">
            <v>#VALUE!</v>
          </cell>
          <cell r="DV136">
            <v>0</v>
          </cell>
          <cell r="DW136">
            <v>0</v>
          </cell>
          <cell r="DX136">
            <v>78</v>
          </cell>
          <cell r="DY136" t="e">
            <v>#VALUE!</v>
          </cell>
          <cell r="DZ136">
            <v>0</v>
          </cell>
          <cell r="EA136">
            <v>0</v>
          </cell>
          <cell r="EB136">
            <v>93</v>
          </cell>
          <cell r="EC136" t="e">
            <v>#VALUE!</v>
          </cell>
          <cell r="ED136">
            <v>0</v>
          </cell>
          <cell r="EE136">
            <v>0</v>
          </cell>
          <cell r="EF136">
            <v>78</v>
          </cell>
          <cell r="EG136" t="e">
            <v>#VALUE!</v>
          </cell>
          <cell r="EH136">
            <v>0</v>
          </cell>
          <cell r="EI136">
            <v>0</v>
          </cell>
          <cell r="EJ136">
            <v>85</v>
          </cell>
          <cell r="EK136" t="e">
            <v>#VALUE!</v>
          </cell>
          <cell r="EL136">
            <v>0</v>
          </cell>
          <cell r="EM136">
            <v>0</v>
          </cell>
          <cell r="EN136">
            <v>87</v>
          </cell>
          <cell r="EO136" t="e">
            <v>#VALUE!</v>
          </cell>
          <cell r="EP136">
            <v>0</v>
          </cell>
          <cell r="EQ136">
            <v>0</v>
          </cell>
          <cell r="ER136">
            <v>100</v>
          </cell>
          <cell r="ES136" t="e">
            <v>#VALUE!</v>
          </cell>
          <cell r="ET136">
            <v>0</v>
          </cell>
          <cell r="EU136">
            <v>0</v>
          </cell>
          <cell r="EV136">
            <v>70</v>
          </cell>
          <cell r="EW136" t="e">
            <v>#VALUE!</v>
          </cell>
          <cell r="EX136">
            <v>0</v>
          </cell>
          <cell r="EY136">
            <v>0</v>
          </cell>
          <cell r="EZ136">
            <v>86</v>
          </cell>
          <cell r="FA136" t="e">
            <v>#VALUE!</v>
          </cell>
          <cell r="FB136">
            <v>0</v>
          </cell>
          <cell r="FC136">
            <v>0</v>
          </cell>
          <cell r="FD136">
            <v>0</v>
          </cell>
          <cell r="FE136" t="e">
            <v>#VALUE!</v>
          </cell>
          <cell r="FF136">
            <v>0</v>
          </cell>
          <cell r="FG136">
            <v>0</v>
          </cell>
          <cell r="FH136">
            <v>81</v>
          </cell>
          <cell r="FI136" t="e">
            <v>#VALUE!</v>
          </cell>
          <cell r="FJ136">
            <v>0</v>
          </cell>
          <cell r="FK136">
            <v>0</v>
          </cell>
          <cell r="FL136">
            <v>95</v>
          </cell>
          <cell r="FM136" t="e">
            <v>#VALUE!</v>
          </cell>
          <cell r="FN136">
            <v>0</v>
          </cell>
          <cell r="FO136">
            <v>0</v>
          </cell>
          <cell r="FP136">
            <v>84</v>
          </cell>
          <cell r="FQ136" t="e">
            <v>#VALUE!</v>
          </cell>
          <cell r="FR136">
            <v>0</v>
          </cell>
          <cell r="FS136">
            <v>0</v>
          </cell>
          <cell r="FT136">
            <v>82</v>
          </cell>
          <cell r="FU136" t="e">
            <v>#VALUE!</v>
          </cell>
          <cell r="FV136">
            <v>0</v>
          </cell>
          <cell r="FW136">
            <v>0</v>
          </cell>
          <cell r="FX136">
            <v>85</v>
          </cell>
          <cell r="FY136" t="e">
            <v>#VALUE!</v>
          </cell>
          <cell r="FZ136">
            <v>0</v>
          </cell>
          <cell r="GA136">
            <v>0</v>
          </cell>
          <cell r="GB136">
            <v>95</v>
          </cell>
          <cell r="GC136" t="e">
            <v>#VALUE!</v>
          </cell>
          <cell r="GD136">
            <v>0</v>
          </cell>
          <cell r="GE136">
            <v>0</v>
          </cell>
          <cell r="GF136">
            <v>71</v>
          </cell>
          <cell r="GG136" t="e">
            <v>#VALUE!</v>
          </cell>
        </row>
        <row r="137">
          <cell r="DN137">
            <v>0</v>
          </cell>
          <cell r="DO137">
            <v>0</v>
          </cell>
          <cell r="DP137">
            <v>96</v>
          </cell>
          <cell r="DQ137" t="e">
            <v>#VALUE!</v>
          </cell>
          <cell r="DR137">
            <v>0</v>
          </cell>
          <cell r="DS137">
            <v>0</v>
          </cell>
          <cell r="DT137">
            <v>90</v>
          </cell>
          <cell r="DU137" t="e">
            <v>#VALUE!</v>
          </cell>
          <cell r="DV137">
            <v>0</v>
          </cell>
          <cell r="DW137">
            <v>0</v>
          </cell>
          <cell r="DX137">
            <v>78</v>
          </cell>
          <cell r="DY137" t="e">
            <v>#VALUE!</v>
          </cell>
          <cell r="DZ137">
            <v>0</v>
          </cell>
          <cell r="EA137">
            <v>0</v>
          </cell>
          <cell r="EB137">
            <v>93</v>
          </cell>
          <cell r="EC137" t="e">
            <v>#VALUE!</v>
          </cell>
          <cell r="ED137">
            <v>0</v>
          </cell>
          <cell r="EE137">
            <v>0</v>
          </cell>
          <cell r="EF137">
            <v>78</v>
          </cell>
          <cell r="EG137" t="e">
            <v>#VALUE!</v>
          </cell>
          <cell r="EH137">
            <v>0</v>
          </cell>
          <cell r="EI137">
            <v>0</v>
          </cell>
          <cell r="EJ137">
            <v>85</v>
          </cell>
          <cell r="EK137" t="e">
            <v>#VALUE!</v>
          </cell>
          <cell r="EL137">
            <v>0</v>
          </cell>
          <cell r="EM137">
            <v>0</v>
          </cell>
          <cell r="EN137">
            <v>87</v>
          </cell>
          <cell r="EO137" t="e">
            <v>#VALUE!</v>
          </cell>
          <cell r="EP137">
            <v>0</v>
          </cell>
          <cell r="EQ137">
            <v>0</v>
          </cell>
          <cell r="ER137">
            <v>100</v>
          </cell>
          <cell r="ES137" t="e">
            <v>#VALUE!</v>
          </cell>
          <cell r="ET137">
            <v>0</v>
          </cell>
          <cell r="EU137">
            <v>0</v>
          </cell>
          <cell r="EV137">
            <v>70</v>
          </cell>
          <cell r="EW137" t="e">
            <v>#VALUE!</v>
          </cell>
          <cell r="EX137">
            <v>0</v>
          </cell>
          <cell r="EY137">
            <v>0</v>
          </cell>
          <cell r="EZ137">
            <v>86</v>
          </cell>
          <cell r="FA137" t="e">
            <v>#VALUE!</v>
          </cell>
          <cell r="FB137">
            <v>0</v>
          </cell>
          <cell r="FC137">
            <v>0</v>
          </cell>
          <cell r="FD137">
            <v>0</v>
          </cell>
          <cell r="FE137" t="e">
            <v>#VALUE!</v>
          </cell>
          <cell r="FF137">
            <v>0</v>
          </cell>
          <cell r="FG137">
            <v>0</v>
          </cell>
          <cell r="FH137">
            <v>81</v>
          </cell>
          <cell r="FI137" t="e">
            <v>#VALUE!</v>
          </cell>
          <cell r="FJ137">
            <v>0</v>
          </cell>
          <cell r="FK137">
            <v>0</v>
          </cell>
          <cell r="FL137">
            <v>95</v>
          </cell>
          <cell r="FM137" t="e">
            <v>#VALUE!</v>
          </cell>
          <cell r="FN137">
            <v>0</v>
          </cell>
          <cell r="FO137">
            <v>0</v>
          </cell>
          <cell r="FP137">
            <v>84</v>
          </cell>
          <cell r="FQ137" t="e">
            <v>#VALUE!</v>
          </cell>
          <cell r="FR137">
            <v>0</v>
          </cell>
          <cell r="FS137">
            <v>0</v>
          </cell>
          <cell r="FT137">
            <v>82</v>
          </cell>
          <cell r="FU137" t="e">
            <v>#VALUE!</v>
          </cell>
          <cell r="FV137">
            <v>0</v>
          </cell>
          <cell r="FW137">
            <v>0</v>
          </cell>
          <cell r="FX137">
            <v>85</v>
          </cell>
          <cell r="FY137" t="e">
            <v>#VALUE!</v>
          </cell>
          <cell r="FZ137">
            <v>0</v>
          </cell>
          <cell r="GA137">
            <v>0</v>
          </cell>
          <cell r="GB137">
            <v>95</v>
          </cell>
          <cell r="GC137" t="e">
            <v>#VALUE!</v>
          </cell>
          <cell r="GD137">
            <v>0</v>
          </cell>
          <cell r="GE137">
            <v>0</v>
          </cell>
          <cell r="GF137">
            <v>71</v>
          </cell>
          <cell r="GG137" t="e">
            <v>#VALUE!</v>
          </cell>
        </row>
        <row r="138">
          <cell r="DN138">
            <v>0</v>
          </cell>
          <cell r="DO138">
            <v>0</v>
          </cell>
          <cell r="DP138">
            <v>96</v>
          </cell>
          <cell r="DQ138" t="e">
            <v>#VALUE!</v>
          </cell>
          <cell r="DR138">
            <v>0</v>
          </cell>
          <cell r="DS138">
            <v>0</v>
          </cell>
          <cell r="DT138">
            <v>90</v>
          </cell>
          <cell r="DU138" t="e">
            <v>#VALUE!</v>
          </cell>
          <cell r="DV138">
            <v>0</v>
          </cell>
          <cell r="DW138">
            <v>0</v>
          </cell>
          <cell r="DX138">
            <v>78</v>
          </cell>
          <cell r="DY138" t="e">
            <v>#VALUE!</v>
          </cell>
          <cell r="DZ138">
            <v>0</v>
          </cell>
          <cell r="EA138">
            <v>0</v>
          </cell>
          <cell r="EB138">
            <v>93</v>
          </cell>
          <cell r="EC138" t="e">
            <v>#VALUE!</v>
          </cell>
          <cell r="ED138">
            <v>0</v>
          </cell>
          <cell r="EE138">
            <v>0</v>
          </cell>
          <cell r="EF138">
            <v>78</v>
          </cell>
          <cell r="EG138" t="e">
            <v>#VALUE!</v>
          </cell>
          <cell r="EH138">
            <v>0</v>
          </cell>
          <cell r="EI138">
            <v>0</v>
          </cell>
          <cell r="EJ138">
            <v>85</v>
          </cell>
          <cell r="EK138" t="e">
            <v>#VALUE!</v>
          </cell>
          <cell r="EL138">
            <v>0</v>
          </cell>
          <cell r="EM138">
            <v>0</v>
          </cell>
          <cell r="EN138">
            <v>87</v>
          </cell>
          <cell r="EO138" t="e">
            <v>#VALUE!</v>
          </cell>
          <cell r="EP138">
            <v>0</v>
          </cell>
          <cell r="EQ138">
            <v>0</v>
          </cell>
          <cell r="ER138">
            <v>100</v>
          </cell>
          <cell r="ES138" t="e">
            <v>#VALUE!</v>
          </cell>
          <cell r="ET138">
            <v>0</v>
          </cell>
          <cell r="EU138">
            <v>0</v>
          </cell>
          <cell r="EV138">
            <v>70</v>
          </cell>
          <cell r="EW138" t="e">
            <v>#VALUE!</v>
          </cell>
          <cell r="EX138">
            <v>0</v>
          </cell>
          <cell r="EY138">
            <v>0</v>
          </cell>
          <cell r="EZ138">
            <v>86</v>
          </cell>
          <cell r="FA138" t="e">
            <v>#VALUE!</v>
          </cell>
          <cell r="FB138">
            <v>0</v>
          </cell>
          <cell r="FC138">
            <v>0</v>
          </cell>
          <cell r="FD138">
            <v>0</v>
          </cell>
          <cell r="FE138" t="e">
            <v>#VALUE!</v>
          </cell>
          <cell r="FF138">
            <v>0</v>
          </cell>
          <cell r="FG138">
            <v>0</v>
          </cell>
          <cell r="FH138">
            <v>81</v>
          </cell>
          <cell r="FI138" t="e">
            <v>#VALUE!</v>
          </cell>
          <cell r="FJ138">
            <v>0</v>
          </cell>
          <cell r="FK138">
            <v>0</v>
          </cell>
          <cell r="FL138">
            <v>95</v>
          </cell>
          <cell r="FM138" t="e">
            <v>#VALUE!</v>
          </cell>
          <cell r="FN138">
            <v>0</v>
          </cell>
          <cell r="FO138">
            <v>0</v>
          </cell>
          <cell r="FP138">
            <v>84</v>
          </cell>
          <cell r="FQ138" t="e">
            <v>#VALUE!</v>
          </cell>
          <cell r="FR138">
            <v>0</v>
          </cell>
          <cell r="FS138">
            <v>0</v>
          </cell>
          <cell r="FT138">
            <v>82</v>
          </cell>
          <cell r="FU138" t="e">
            <v>#VALUE!</v>
          </cell>
          <cell r="FV138">
            <v>0</v>
          </cell>
          <cell r="FW138">
            <v>0</v>
          </cell>
          <cell r="FX138">
            <v>85</v>
          </cell>
          <cell r="FY138" t="e">
            <v>#VALUE!</v>
          </cell>
          <cell r="FZ138">
            <v>0</v>
          </cell>
          <cell r="GA138">
            <v>0</v>
          </cell>
          <cell r="GB138">
            <v>95</v>
          </cell>
          <cell r="GC138" t="e">
            <v>#VALUE!</v>
          </cell>
          <cell r="GD138">
            <v>0</v>
          </cell>
          <cell r="GE138">
            <v>0</v>
          </cell>
          <cell r="GF138">
            <v>71</v>
          </cell>
          <cell r="GG138" t="e">
            <v>#VALUE!</v>
          </cell>
        </row>
        <row r="139">
          <cell r="DN139">
            <v>0</v>
          </cell>
          <cell r="DO139">
            <v>0</v>
          </cell>
          <cell r="DP139">
            <v>96</v>
          </cell>
          <cell r="DQ139" t="e">
            <v>#VALUE!</v>
          </cell>
          <cell r="DR139">
            <v>0</v>
          </cell>
          <cell r="DS139">
            <v>0</v>
          </cell>
          <cell r="DT139">
            <v>90</v>
          </cell>
          <cell r="DU139" t="e">
            <v>#VALUE!</v>
          </cell>
          <cell r="DV139">
            <v>0</v>
          </cell>
          <cell r="DW139">
            <v>0</v>
          </cell>
          <cell r="DX139">
            <v>78</v>
          </cell>
          <cell r="DY139" t="e">
            <v>#VALUE!</v>
          </cell>
          <cell r="DZ139">
            <v>0</v>
          </cell>
          <cell r="EA139">
            <v>0</v>
          </cell>
          <cell r="EB139">
            <v>93</v>
          </cell>
          <cell r="EC139" t="e">
            <v>#VALUE!</v>
          </cell>
          <cell r="ED139">
            <v>0</v>
          </cell>
          <cell r="EE139">
            <v>0</v>
          </cell>
          <cell r="EF139">
            <v>78</v>
          </cell>
          <cell r="EG139" t="e">
            <v>#VALUE!</v>
          </cell>
          <cell r="EH139">
            <v>0</v>
          </cell>
          <cell r="EI139">
            <v>0</v>
          </cell>
          <cell r="EJ139">
            <v>85</v>
          </cell>
          <cell r="EK139" t="e">
            <v>#VALUE!</v>
          </cell>
          <cell r="EL139">
            <v>0</v>
          </cell>
          <cell r="EM139">
            <v>0</v>
          </cell>
          <cell r="EN139">
            <v>87</v>
          </cell>
          <cell r="EO139" t="e">
            <v>#VALUE!</v>
          </cell>
          <cell r="EP139">
            <v>0</v>
          </cell>
          <cell r="EQ139">
            <v>0</v>
          </cell>
          <cell r="ER139">
            <v>100</v>
          </cell>
          <cell r="ES139" t="e">
            <v>#VALUE!</v>
          </cell>
          <cell r="ET139">
            <v>0</v>
          </cell>
          <cell r="EU139">
            <v>0</v>
          </cell>
          <cell r="EV139">
            <v>70</v>
          </cell>
          <cell r="EW139" t="e">
            <v>#VALUE!</v>
          </cell>
          <cell r="EX139">
            <v>0</v>
          </cell>
          <cell r="EY139">
            <v>0</v>
          </cell>
          <cell r="EZ139">
            <v>86</v>
          </cell>
          <cell r="FA139" t="e">
            <v>#VALUE!</v>
          </cell>
          <cell r="FB139">
            <v>0</v>
          </cell>
          <cell r="FC139">
            <v>0</v>
          </cell>
          <cell r="FD139">
            <v>0</v>
          </cell>
          <cell r="FE139" t="e">
            <v>#VALUE!</v>
          </cell>
          <cell r="FF139">
            <v>0</v>
          </cell>
          <cell r="FG139">
            <v>0</v>
          </cell>
          <cell r="FH139">
            <v>81</v>
          </cell>
          <cell r="FI139" t="e">
            <v>#VALUE!</v>
          </cell>
          <cell r="FJ139">
            <v>0</v>
          </cell>
          <cell r="FK139">
            <v>0</v>
          </cell>
          <cell r="FL139">
            <v>95</v>
          </cell>
          <cell r="FM139" t="e">
            <v>#VALUE!</v>
          </cell>
          <cell r="FN139">
            <v>0</v>
          </cell>
          <cell r="FO139">
            <v>0</v>
          </cell>
          <cell r="FP139">
            <v>84</v>
          </cell>
          <cell r="FQ139" t="e">
            <v>#VALUE!</v>
          </cell>
          <cell r="FR139">
            <v>0</v>
          </cell>
          <cell r="FS139">
            <v>0</v>
          </cell>
          <cell r="FT139">
            <v>82</v>
          </cell>
          <cell r="FU139" t="e">
            <v>#VALUE!</v>
          </cell>
          <cell r="FV139">
            <v>0</v>
          </cell>
          <cell r="FW139">
            <v>0</v>
          </cell>
          <cell r="FX139">
            <v>85</v>
          </cell>
          <cell r="FY139" t="e">
            <v>#VALUE!</v>
          </cell>
          <cell r="FZ139">
            <v>0</v>
          </cell>
          <cell r="GA139">
            <v>0</v>
          </cell>
          <cell r="GB139">
            <v>95</v>
          </cell>
          <cell r="GC139" t="e">
            <v>#VALUE!</v>
          </cell>
          <cell r="GD139">
            <v>0</v>
          </cell>
          <cell r="GE139">
            <v>0</v>
          </cell>
          <cell r="GF139">
            <v>71</v>
          </cell>
          <cell r="GG139" t="e">
            <v>#VALUE!</v>
          </cell>
        </row>
        <row r="140">
          <cell r="DN140">
            <v>0</v>
          </cell>
          <cell r="DO140">
            <v>0</v>
          </cell>
          <cell r="DP140">
            <v>96</v>
          </cell>
          <cell r="DQ140" t="e">
            <v>#VALUE!</v>
          </cell>
          <cell r="DR140">
            <v>0</v>
          </cell>
          <cell r="DS140">
            <v>0</v>
          </cell>
          <cell r="DT140">
            <v>90</v>
          </cell>
          <cell r="DU140" t="e">
            <v>#VALUE!</v>
          </cell>
          <cell r="DV140">
            <v>0</v>
          </cell>
          <cell r="DW140">
            <v>0</v>
          </cell>
          <cell r="DX140">
            <v>78</v>
          </cell>
          <cell r="DY140" t="e">
            <v>#VALUE!</v>
          </cell>
          <cell r="DZ140">
            <v>0</v>
          </cell>
          <cell r="EA140">
            <v>0</v>
          </cell>
          <cell r="EB140">
            <v>93</v>
          </cell>
          <cell r="EC140" t="e">
            <v>#VALUE!</v>
          </cell>
          <cell r="ED140">
            <v>0</v>
          </cell>
          <cell r="EE140">
            <v>0</v>
          </cell>
          <cell r="EF140">
            <v>78</v>
          </cell>
          <cell r="EG140" t="e">
            <v>#VALUE!</v>
          </cell>
          <cell r="EH140">
            <v>0</v>
          </cell>
          <cell r="EI140">
            <v>0</v>
          </cell>
          <cell r="EJ140">
            <v>85</v>
          </cell>
          <cell r="EK140" t="e">
            <v>#VALUE!</v>
          </cell>
          <cell r="EL140">
            <v>0</v>
          </cell>
          <cell r="EM140">
            <v>0</v>
          </cell>
          <cell r="EN140">
            <v>87</v>
          </cell>
          <cell r="EO140" t="e">
            <v>#VALUE!</v>
          </cell>
          <cell r="EP140">
            <v>0</v>
          </cell>
          <cell r="EQ140">
            <v>0</v>
          </cell>
          <cell r="ER140">
            <v>100</v>
          </cell>
          <cell r="ES140" t="e">
            <v>#VALUE!</v>
          </cell>
          <cell r="ET140">
            <v>0</v>
          </cell>
          <cell r="EU140">
            <v>0</v>
          </cell>
          <cell r="EV140">
            <v>70</v>
          </cell>
          <cell r="EW140" t="e">
            <v>#VALUE!</v>
          </cell>
          <cell r="EX140">
            <v>0</v>
          </cell>
          <cell r="EY140">
            <v>0</v>
          </cell>
          <cell r="EZ140">
            <v>86</v>
          </cell>
          <cell r="FA140" t="e">
            <v>#VALUE!</v>
          </cell>
          <cell r="FB140">
            <v>0</v>
          </cell>
          <cell r="FC140">
            <v>0</v>
          </cell>
          <cell r="FD140">
            <v>0</v>
          </cell>
          <cell r="FE140" t="e">
            <v>#VALUE!</v>
          </cell>
          <cell r="FF140">
            <v>0</v>
          </cell>
          <cell r="FG140">
            <v>0</v>
          </cell>
          <cell r="FH140">
            <v>81</v>
          </cell>
          <cell r="FI140" t="e">
            <v>#VALUE!</v>
          </cell>
          <cell r="FJ140">
            <v>0</v>
          </cell>
          <cell r="FK140">
            <v>0</v>
          </cell>
          <cell r="FL140">
            <v>95</v>
          </cell>
          <cell r="FM140" t="e">
            <v>#VALUE!</v>
          </cell>
          <cell r="FN140">
            <v>0</v>
          </cell>
          <cell r="FO140">
            <v>0</v>
          </cell>
          <cell r="FP140">
            <v>84</v>
          </cell>
          <cell r="FQ140" t="e">
            <v>#VALUE!</v>
          </cell>
          <cell r="FR140">
            <v>0</v>
          </cell>
          <cell r="FS140">
            <v>0</v>
          </cell>
          <cell r="FT140">
            <v>82</v>
          </cell>
          <cell r="FU140" t="e">
            <v>#VALUE!</v>
          </cell>
          <cell r="FV140">
            <v>0</v>
          </cell>
          <cell r="FW140">
            <v>0</v>
          </cell>
          <cell r="FX140">
            <v>85</v>
          </cell>
          <cell r="FY140" t="e">
            <v>#VALUE!</v>
          </cell>
          <cell r="FZ140">
            <v>0</v>
          </cell>
          <cell r="GA140">
            <v>0</v>
          </cell>
          <cell r="GB140">
            <v>95</v>
          </cell>
          <cell r="GC140" t="e">
            <v>#VALUE!</v>
          </cell>
          <cell r="GD140">
            <v>0</v>
          </cell>
          <cell r="GE140">
            <v>0</v>
          </cell>
          <cell r="GF140">
            <v>71</v>
          </cell>
          <cell r="GG140" t="e">
            <v>#VALUE!</v>
          </cell>
        </row>
        <row r="141">
          <cell r="DN141">
            <v>0</v>
          </cell>
          <cell r="DO141">
            <v>0</v>
          </cell>
          <cell r="DP141">
            <v>96</v>
          </cell>
          <cell r="DQ141" t="e">
            <v>#VALUE!</v>
          </cell>
          <cell r="DR141">
            <v>0</v>
          </cell>
          <cell r="DS141">
            <v>0</v>
          </cell>
          <cell r="DT141">
            <v>90</v>
          </cell>
          <cell r="DU141" t="e">
            <v>#VALUE!</v>
          </cell>
          <cell r="DV141">
            <v>0</v>
          </cell>
          <cell r="DW141">
            <v>0</v>
          </cell>
          <cell r="DX141">
            <v>78</v>
          </cell>
          <cell r="DY141" t="e">
            <v>#VALUE!</v>
          </cell>
          <cell r="DZ141">
            <v>0</v>
          </cell>
          <cell r="EA141">
            <v>0</v>
          </cell>
          <cell r="EB141">
            <v>93</v>
          </cell>
          <cell r="EC141" t="e">
            <v>#VALUE!</v>
          </cell>
          <cell r="ED141">
            <v>0</v>
          </cell>
          <cell r="EE141">
            <v>0</v>
          </cell>
          <cell r="EF141">
            <v>78</v>
          </cell>
          <cell r="EG141" t="e">
            <v>#VALUE!</v>
          </cell>
          <cell r="EH141">
            <v>0</v>
          </cell>
          <cell r="EI141">
            <v>0</v>
          </cell>
          <cell r="EJ141">
            <v>85</v>
          </cell>
          <cell r="EK141" t="e">
            <v>#VALUE!</v>
          </cell>
          <cell r="EL141">
            <v>0</v>
          </cell>
          <cell r="EM141">
            <v>0</v>
          </cell>
          <cell r="EN141">
            <v>87</v>
          </cell>
          <cell r="EO141" t="e">
            <v>#VALUE!</v>
          </cell>
          <cell r="EP141">
            <v>0</v>
          </cell>
          <cell r="EQ141">
            <v>0</v>
          </cell>
          <cell r="ER141">
            <v>100</v>
          </cell>
          <cell r="ES141" t="e">
            <v>#VALUE!</v>
          </cell>
          <cell r="ET141">
            <v>0</v>
          </cell>
          <cell r="EU141">
            <v>0</v>
          </cell>
          <cell r="EV141">
            <v>70</v>
          </cell>
          <cell r="EW141" t="e">
            <v>#VALUE!</v>
          </cell>
          <cell r="EX141">
            <v>0</v>
          </cell>
          <cell r="EY141">
            <v>0</v>
          </cell>
          <cell r="EZ141">
            <v>86</v>
          </cell>
          <cell r="FA141" t="e">
            <v>#VALUE!</v>
          </cell>
          <cell r="FB141">
            <v>0</v>
          </cell>
          <cell r="FC141">
            <v>0</v>
          </cell>
          <cell r="FD141">
            <v>0</v>
          </cell>
          <cell r="FE141" t="e">
            <v>#VALUE!</v>
          </cell>
          <cell r="FF141">
            <v>0</v>
          </cell>
          <cell r="FG141">
            <v>0</v>
          </cell>
          <cell r="FH141">
            <v>81</v>
          </cell>
          <cell r="FI141" t="e">
            <v>#VALUE!</v>
          </cell>
          <cell r="FJ141">
            <v>0</v>
          </cell>
          <cell r="FK141">
            <v>0</v>
          </cell>
          <cell r="FL141">
            <v>95</v>
          </cell>
          <cell r="FM141" t="e">
            <v>#VALUE!</v>
          </cell>
          <cell r="FN141">
            <v>0</v>
          </cell>
          <cell r="FO141">
            <v>0</v>
          </cell>
          <cell r="FP141">
            <v>84</v>
          </cell>
          <cell r="FQ141" t="e">
            <v>#VALUE!</v>
          </cell>
          <cell r="FR141">
            <v>0</v>
          </cell>
          <cell r="FS141">
            <v>0</v>
          </cell>
          <cell r="FT141">
            <v>82</v>
          </cell>
          <cell r="FU141" t="e">
            <v>#VALUE!</v>
          </cell>
          <cell r="FV141">
            <v>0</v>
          </cell>
          <cell r="FW141">
            <v>0</v>
          </cell>
          <cell r="FX141">
            <v>85</v>
          </cell>
          <cell r="FY141" t="e">
            <v>#VALUE!</v>
          </cell>
          <cell r="FZ141">
            <v>0</v>
          </cell>
          <cell r="GA141">
            <v>0</v>
          </cell>
          <cell r="GB141">
            <v>95</v>
          </cell>
          <cell r="GC141" t="e">
            <v>#VALUE!</v>
          </cell>
          <cell r="GD141">
            <v>0</v>
          </cell>
          <cell r="GE141">
            <v>0</v>
          </cell>
          <cell r="GF141">
            <v>71</v>
          </cell>
          <cell r="GG141" t="e">
            <v>#VALUE!</v>
          </cell>
        </row>
      </sheetData>
      <sheetData sheetId="12"/>
      <sheetData sheetId="13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 cstate="print"/>
          <a:stretch>
            <a:fillRect/>
          </a:stretch>
        </a:blipFill>
        <a:ln w="34925">
          <a:noFill/>
        </a:ln>
        <a:effectLst>
          <a:outerShdw blurRad="107950" dist="12700" dir="5400000" algn="ctr">
            <a:srgbClr val="000000"/>
          </a:outerShdw>
        </a:effectLst>
      </a:spPr>
      <a:bodyPr rot="0" spcFirstLastPara="0" vert="horz" wrap="square" lIns="91440" tIns="45720" rIns="91440" bIns="45720" numCol="1" spcCol="0" rtlCol="0" fromWordArt="0" anchor="ctr" anchorCtr="0" forceAA="0" compatLnSpc="1">
        <a:noAutofit/>
      </a:bodyPr>
      <a:lstStyle>
        <a:defPPr>
          <a:defRPr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72"/>
  <sheetViews>
    <sheetView tabSelected="1" topLeftCell="B1" zoomScale="130" zoomScaleNormal="130" workbookViewId="0">
      <selection activeCell="B23" sqref="B23:H23"/>
    </sheetView>
  </sheetViews>
  <sheetFormatPr defaultColWidth="2.7109375" defaultRowHeight="15"/>
  <cols>
    <col min="8" max="8" width="3.28515625" customWidth="1"/>
    <col min="9" max="9" width="4.140625" customWidth="1"/>
    <col min="10" max="10" width="4" customWidth="1"/>
    <col min="11" max="11" width="4.140625" customWidth="1"/>
    <col min="13" max="13" width="4" customWidth="1"/>
    <col min="14" max="14" width="4.42578125" customWidth="1"/>
    <col min="15" max="15" width="5.28515625" customWidth="1"/>
    <col min="17" max="17" width="5" customWidth="1"/>
    <col min="18" max="18" width="2.7109375" customWidth="1"/>
    <col min="19" max="19" width="5.5703125" customWidth="1"/>
    <col min="20" max="20" width="3.5703125" customWidth="1"/>
    <col min="21" max="21" width="5.5703125" customWidth="1"/>
    <col min="22" max="22" width="3.5703125" customWidth="1"/>
    <col min="23" max="23" width="5.7109375" customWidth="1"/>
    <col min="26" max="26" width="9.42578125" customWidth="1"/>
    <col min="28" max="28" width="3.85546875" customWidth="1"/>
    <col min="29" max="29" width="3.28515625" customWidth="1"/>
    <col min="34" max="37" width="2.85546875" customWidth="1"/>
    <col min="45" max="45" width="2" customWidth="1"/>
    <col min="46" max="46" width="3.5703125" hidden="1" customWidth="1"/>
    <col min="47" max="47" width="4.140625" customWidth="1"/>
  </cols>
  <sheetData>
    <row r="1" spans="1:41">
      <c r="A1" s="71" t="s">
        <v>74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</row>
    <row r="2" spans="1:4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</row>
    <row r="3" spans="1:4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</row>
    <row r="4" spans="1:4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</row>
    <row r="5" spans="1:4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</row>
    <row r="6" spans="1:41" ht="17.25" customHeight="1" thickBot="1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</row>
    <row r="7" spans="1:41" ht="4.5" customHeight="1">
      <c r="A7" s="2"/>
      <c r="B7" s="2"/>
      <c r="C7" s="2"/>
      <c r="D7" s="2"/>
      <c r="E7" s="2"/>
      <c r="F7" s="2"/>
      <c r="G7" s="2"/>
      <c r="H7" s="2"/>
      <c r="I7" s="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128"/>
      <c r="AM7" s="128"/>
      <c r="AN7" s="128"/>
      <c r="AO7" s="128"/>
    </row>
    <row r="8" spans="1:41" ht="12" customHeight="1">
      <c r="AL8" s="23"/>
      <c r="AM8" s="81" t="s">
        <v>58</v>
      </c>
      <c r="AN8" s="81"/>
      <c r="AO8" s="22"/>
    </row>
    <row r="9" spans="1:41" ht="19.5">
      <c r="A9" s="1"/>
      <c r="B9" s="91" t="s">
        <v>0</v>
      </c>
      <c r="C9" s="91"/>
      <c r="D9" s="91"/>
      <c r="E9" s="26"/>
      <c r="F9" s="165" t="str">
        <f>VLOOKUP(AD9,'[1]Marksheet T1'!$A$11:$DK$126,2)</f>
        <v>JOHNSON NMESOMA</v>
      </c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27"/>
      <c r="Y9" s="91" t="s">
        <v>1</v>
      </c>
      <c r="Z9" s="91"/>
      <c r="AA9" s="91"/>
      <c r="AB9" s="91"/>
      <c r="AC9" s="91"/>
      <c r="AD9" s="164" t="s">
        <v>156</v>
      </c>
      <c r="AE9" s="164"/>
      <c r="AF9" s="164"/>
      <c r="AG9" s="164"/>
      <c r="AH9" s="164"/>
      <c r="AI9" s="164"/>
      <c r="AJ9" s="164"/>
      <c r="AK9" s="164"/>
      <c r="AL9" s="23"/>
      <c r="AM9" s="81"/>
      <c r="AN9" s="81"/>
      <c r="AO9" s="22"/>
    </row>
    <row r="10" spans="1:41" ht="23.25" customHeight="1">
      <c r="A10" s="3"/>
      <c r="B10" s="91" t="s">
        <v>2</v>
      </c>
      <c r="C10" s="91"/>
      <c r="D10" s="91"/>
      <c r="E10" s="27"/>
      <c r="F10" s="165">
        <f>VLOOKUP(AD9,'[1]Marksheet T1'!$A$11:$GG$133,3)</f>
        <v>0</v>
      </c>
      <c r="G10" s="165"/>
      <c r="H10" s="165"/>
      <c r="I10" s="165"/>
      <c r="J10" s="165"/>
      <c r="K10" s="27"/>
      <c r="L10" s="28"/>
      <c r="M10" s="28"/>
      <c r="N10" s="90" t="s">
        <v>5</v>
      </c>
      <c r="O10" s="90"/>
      <c r="P10" s="90"/>
      <c r="Q10" s="90"/>
      <c r="R10" s="90"/>
      <c r="S10" s="168">
        <f>AC47/100/17</f>
        <v>0.65588235294117647</v>
      </c>
      <c r="T10" s="168"/>
      <c r="U10" s="168"/>
      <c r="V10" s="168"/>
      <c r="W10" s="168"/>
      <c r="X10" s="27"/>
      <c r="Y10" s="91" t="s">
        <v>3</v>
      </c>
      <c r="Z10" s="91"/>
      <c r="AA10" s="91"/>
      <c r="AB10" s="91"/>
      <c r="AC10" s="91"/>
      <c r="AD10" s="91"/>
      <c r="AE10" s="91"/>
      <c r="AF10" s="166" t="str">
        <f>VLOOKUP(AD9,'[1]Marksheet T1'!$A$11:$GG$133,117)</f>
        <v>17th</v>
      </c>
      <c r="AG10" s="166"/>
      <c r="AH10" s="166"/>
      <c r="AI10" s="166"/>
      <c r="AJ10" s="166"/>
      <c r="AK10" s="166"/>
      <c r="AL10" s="23"/>
      <c r="AM10" s="81"/>
      <c r="AN10" s="81"/>
      <c r="AO10" s="22"/>
    </row>
    <row r="11" spans="1:41" ht="28.5" customHeight="1">
      <c r="A11" s="1"/>
      <c r="B11" s="91" t="s">
        <v>4</v>
      </c>
      <c r="C11" s="91"/>
      <c r="D11" s="91"/>
      <c r="E11" s="91"/>
      <c r="F11" s="91"/>
      <c r="G11" s="91"/>
      <c r="H11" s="91"/>
      <c r="I11" s="91"/>
      <c r="J11" s="27"/>
      <c r="K11" s="169">
        <f>COUNTA(Sheet1!B2:B48)</f>
        <v>47</v>
      </c>
      <c r="L11" s="169"/>
      <c r="M11" s="169"/>
      <c r="N11" s="91" t="s">
        <v>66</v>
      </c>
      <c r="O11" s="91"/>
      <c r="P11" s="91"/>
      <c r="Q11" s="91"/>
      <c r="R11" s="91"/>
      <c r="S11" s="91"/>
      <c r="T11" s="126">
        <f>VLOOKUP(AD9,'[1]Marksheet T1'!$A$11:$DK$126,4)</f>
        <v>0</v>
      </c>
      <c r="U11" s="126"/>
      <c r="V11" s="126"/>
      <c r="W11" s="126"/>
      <c r="X11" s="26"/>
      <c r="Y11" s="91" t="s">
        <v>6</v>
      </c>
      <c r="Z11" s="91"/>
      <c r="AA11" s="29"/>
      <c r="AB11" s="27"/>
      <c r="AC11" s="30"/>
      <c r="AD11" s="164" t="s">
        <v>59</v>
      </c>
      <c r="AE11" s="164"/>
      <c r="AF11" s="164"/>
      <c r="AG11" s="164"/>
      <c r="AH11" s="164"/>
      <c r="AI11" s="164"/>
      <c r="AJ11" s="27"/>
      <c r="AK11" s="27"/>
      <c r="AL11" s="23"/>
      <c r="AM11" s="81"/>
      <c r="AN11" s="81"/>
      <c r="AO11" s="22"/>
    </row>
    <row r="12" spans="1:41" ht="23.25" customHeight="1">
      <c r="A12" s="1"/>
      <c r="B12" s="163" t="s">
        <v>65</v>
      </c>
      <c r="C12" s="163"/>
      <c r="D12" s="163"/>
      <c r="E12" s="163"/>
      <c r="F12" s="163"/>
      <c r="G12" s="40"/>
      <c r="H12" s="40"/>
      <c r="I12" s="40"/>
      <c r="J12" s="127">
        <f>VLOOKUP(AD9,'[1]Marksheet T1'!$A$11:$GG$133,5)</f>
        <v>0</v>
      </c>
      <c r="K12" s="127"/>
      <c r="L12" s="127"/>
      <c r="M12" s="127"/>
      <c r="N12" s="163" t="s">
        <v>52</v>
      </c>
      <c r="O12" s="163"/>
      <c r="P12" s="163"/>
      <c r="Q12" s="163"/>
      <c r="R12" s="163"/>
      <c r="S12" s="163"/>
      <c r="T12" s="167" t="str">
        <f>IF(S10="","",IF(S10&lt;=40%,"FAIL",IF(S10&lt;=45%,"ON TRIAL","PASS")))</f>
        <v>PASS</v>
      </c>
      <c r="U12" s="167"/>
      <c r="V12" s="167"/>
      <c r="W12" s="167"/>
      <c r="X12" s="167"/>
      <c r="Y12" s="91" t="s">
        <v>70</v>
      </c>
      <c r="Z12" s="91"/>
      <c r="AA12" s="91"/>
      <c r="AB12" s="27"/>
      <c r="AC12" s="127">
        <f>VLOOKUP(AD9, '[1]student detail'!$A$1:$F$73, 6)</f>
        <v>0</v>
      </c>
      <c r="AD12" s="127"/>
      <c r="AE12" s="127"/>
      <c r="AF12" s="127"/>
      <c r="AG12" s="127"/>
      <c r="AH12" s="127"/>
      <c r="AI12" s="127"/>
      <c r="AJ12" s="27"/>
      <c r="AK12" s="27"/>
      <c r="AL12" s="23"/>
      <c r="AM12" s="81"/>
      <c r="AN12" s="81"/>
      <c r="AO12" s="22"/>
    </row>
    <row r="13" spans="1:41" ht="24" customHeight="1">
      <c r="A13" s="1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29"/>
      <c r="AB13" s="27"/>
      <c r="AC13" s="30"/>
      <c r="AD13" s="27"/>
      <c r="AE13" s="27"/>
      <c r="AF13" s="27"/>
      <c r="AG13" s="27"/>
      <c r="AH13" s="27"/>
      <c r="AI13" s="27"/>
      <c r="AJ13" s="27"/>
      <c r="AK13" s="27"/>
      <c r="AL13" s="23"/>
      <c r="AM13" s="81"/>
      <c r="AN13" s="81"/>
      <c r="AO13" s="22"/>
    </row>
    <row r="14" spans="1:41" ht="18" customHeight="1">
      <c r="A14" s="1"/>
      <c r="B14" s="94" t="s">
        <v>69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6"/>
      <c r="AC14" s="17"/>
      <c r="AL14" s="23"/>
      <c r="AM14" s="81"/>
      <c r="AN14" s="81"/>
      <c r="AO14" s="22"/>
    </row>
    <row r="15" spans="1:41" ht="18" customHeight="1">
      <c r="A15" s="1"/>
      <c r="B15" s="67" t="s">
        <v>7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C15" s="173" t="s">
        <v>54</v>
      </c>
      <c r="AD15" s="174"/>
      <c r="AE15" s="174"/>
      <c r="AF15" s="174"/>
      <c r="AG15" s="174"/>
      <c r="AH15" s="174"/>
      <c r="AI15" s="174"/>
      <c r="AJ15" s="174"/>
      <c r="AK15" s="174"/>
      <c r="AL15" s="23"/>
      <c r="AM15" s="81"/>
      <c r="AN15" s="81"/>
      <c r="AO15" s="22"/>
    </row>
    <row r="16" spans="1:41" ht="18" customHeight="1" thickBot="1">
      <c r="A16" s="1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C16" s="174"/>
      <c r="AD16" s="174"/>
      <c r="AE16" s="174"/>
      <c r="AF16" s="174"/>
      <c r="AG16" s="174"/>
      <c r="AH16" s="174"/>
      <c r="AI16" s="174"/>
      <c r="AJ16" s="174"/>
      <c r="AK16" s="174"/>
      <c r="AL16" s="23"/>
      <c r="AM16" s="81"/>
      <c r="AN16" s="81"/>
      <c r="AO16" s="22"/>
    </row>
    <row r="17" spans="1:46" ht="18.75" customHeight="1">
      <c r="A17" s="1"/>
      <c r="B17" s="170" t="s">
        <v>8</v>
      </c>
      <c r="C17" s="170"/>
      <c r="D17" s="170"/>
      <c r="E17" s="170"/>
      <c r="F17" s="170"/>
      <c r="G17" s="170"/>
      <c r="H17" s="170"/>
      <c r="I17" s="97" t="s">
        <v>60</v>
      </c>
      <c r="J17" s="175"/>
      <c r="K17" s="97" t="s">
        <v>61</v>
      </c>
      <c r="L17" s="103"/>
      <c r="M17" s="97" t="s">
        <v>62</v>
      </c>
      <c r="N17" s="103"/>
      <c r="O17" s="97" t="s">
        <v>67</v>
      </c>
      <c r="P17" s="103"/>
      <c r="Q17" s="106" t="s">
        <v>68</v>
      </c>
      <c r="R17" s="103"/>
      <c r="S17" s="97" t="s">
        <v>55</v>
      </c>
      <c r="T17" s="103"/>
      <c r="U17" s="97" t="s">
        <v>63</v>
      </c>
      <c r="V17" s="103"/>
      <c r="W17" s="97" t="s">
        <v>64</v>
      </c>
      <c r="X17" s="103"/>
      <c r="Y17" s="100" t="s">
        <v>9</v>
      </c>
      <c r="Z17" s="100"/>
      <c r="AA17" s="100"/>
      <c r="AL17" s="23"/>
      <c r="AM17" s="81"/>
      <c r="AN17" s="81"/>
      <c r="AO17" s="22"/>
    </row>
    <row r="18" spans="1:46" ht="15" customHeight="1">
      <c r="B18" s="171"/>
      <c r="C18" s="171"/>
      <c r="D18" s="171"/>
      <c r="E18" s="171"/>
      <c r="F18" s="171"/>
      <c r="G18" s="171"/>
      <c r="H18" s="171"/>
      <c r="I18" s="98"/>
      <c r="J18" s="176"/>
      <c r="K18" s="98"/>
      <c r="L18" s="104"/>
      <c r="M18" s="98"/>
      <c r="N18" s="104"/>
      <c r="O18" s="98"/>
      <c r="P18" s="104"/>
      <c r="Q18" s="107"/>
      <c r="R18" s="104"/>
      <c r="S18" s="98"/>
      <c r="T18" s="104"/>
      <c r="U18" s="98"/>
      <c r="V18" s="104"/>
      <c r="W18" s="98"/>
      <c r="X18" s="104"/>
      <c r="Y18" s="101"/>
      <c r="Z18" s="101"/>
      <c r="AA18" s="101"/>
      <c r="AC18" s="142" t="s">
        <v>10</v>
      </c>
      <c r="AD18" s="143"/>
      <c r="AE18" s="143"/>
      <c r="AF18" s="143"/>
      <c r="AG18" s="144"/>
      <c r="AH18" s="64" t="s">
        <v>11</v>
      </c>
      <c r="AI18" s="65"/>
      <c r="AJ18" s="65"/>
      <c r="AK18" s="66"/>
      <c r="AL18" s="23"/>
      <c r="AM18" s="81"/>
      <c r="AN18" s="81"/>
      <c r="AO18" s="22"/>
    </row>
    <row r="19" spans="1:46">
      <c r="B19" s="171"/>
      <c r="C19" s="171"/>
      <c r="D19" s="171"/>
      <c r="E19" s="171"/>
      <c r="F19" s="171"/>
      <c r="G19" s="171"/>
      <c r="H19" s="171"/>
      <c r="I19" s="98"/>
      <c r="J19" s="176"/>
      <c r="K19" s="98"/>
      <c r="L19" s="104"/>
      <c r="M19" s="98"/>
      <c r="N19" s="104"/>
      <c r="O19" s="98"/>
      <c r="P19" s="104"/>
      <c r="Q19" s="107"/>
      <c r="R19" s="104"/>
      <c r="S19" s="98"/>
      <c r="T19" s="104"/>
      <c r="U19" s="98"/>
      <c r="V19" s="104"/>
      <c r="W19" s="98"/>
      <c r="X19" s="104"/>
      <c r="Y19" s="101"/>
      <c r="Z19" s="101"/>
      <c r="AA19" s="101"/>
      <c r="AC19" s="142"/>
      <c r="AD19" s="143"/>
      <c r="AE19" s="143"/>
      <c r="AF19" s="143"/>
      <c r="AG19" s="144"/>
      <c r="AH19" s="6">
        <v>1</v>
      </c>
      <c r="AI19" s="6">
        <v>2</v>
      </c>
      <c r="AJ19" s="6">
        <v>3</v>
      </c>
      <c r="AK19" s="6">
        <v>4</v>
      </c>
      <c r="AL19" s="23"/>
      <c r="AM19" s="81"/>
      <c r="AN19" s="81"/>
      <c r="AO19" s="22"/>
      <c r="AT19">
        <v>1800</v>
      </c>
    </row>
    <row r="20" spans="1:46" ht="22.5" customHeight="1" thickBot="1">
      <c r="B20" s="172"/>
      <c r="C20" s="172"/>
      <c r="D20" s="172"/>
      <c r="E20" s="172"/>
      <c r="F20" s="172"/>
      <c r="G20" s="172"/>
      <c r="H20" s="172"/>
      <c r="I20" s="99"/>
      <c r="J20" s="177"/>
      <c r="K20" s="99"/>
      <c r="L20" s="105"/>
      <c r="M20" s="99"/>
      <c r="N20" s="105"/>
      <c r="O20" s="99"/>
      <c r="P20" s="105"/>
      <c r="Q20" s="108"/>
      <c r="R20" s="105"/>
      <c r="S20" s="99"/>
      <c r="T20" s="105"/>
      <c r="U20" s="99"/>
      <c r="V20" s="105"/>
      <c r="W20" s="99"/>
      <c r="X20" s="105"/>
      <c r="Y20" s="102"/>
      <c r="Z20" s="102"/>
      <c r="AA20" s="102"/>
      <c r="AC20" s="61" t="s">
        <v>12</v>
      </c>
      <c r="AD20" s="62"/>
      <c r="AE20" s="62"/>
      <c r="AF20" s="62"/>
      <c r="AG20" s="63"/>
      <c r="AH20" s="7"/>
      <c r="AI20" s="7"/>
      <c r="AJ20" s="8" t="s">
        <v>13</v>
      </c>
      <c r="AK20" s="7"/>
      <c r="AL20" s="23"/>
      <c r="AM20" s="81"/>
      <c r="AN20" s="81"/>
      <c r="AO20" s="22"/>
      <c r="AT20">
        <v>100</v>
      </c>
    </row>
    <row r="21" spans="1:46" ht="18" thickTop="1">
      <c r="B21" s="178" t="str">
        <f>[1]Marksheet!$D8</f>
        <v>ENGLISH LANG.</v>
      </c>
      <c r="C21" s="179"/>
      <c r="D21" s="179"/>
      <c r="E21" s="179"/>
      <c r="F21" s="179"/>
      <c r="G21" s="179"/>
      <c r="H21" s="179"/>
      <c r="I21" s="54">
        <f>VLOOKUP(AD9,'[1]Marksheet T1'!$A$11:$GG$133,6)</f>
        <v>15</v>
      </c>
      <c r="J21" s="55"/>
      <c r="K21" s="54">
        <f>VLOOKUP(AD9,'[1]Marksheet T1'!$A$11:$GG$133,7)</f>
        <v>20</v>
      </c>
      <c r="L21" s="55"/>
      <c r="M21" s="54">
        <f>VLOOKUP(AD9,'[1]Marksheet T1'!$A$11:$GG$133,8)</f>
        <v>42</v>
      </c>
      <c r="N21" s="55"/>
      <c r="O21" s="54">
        <f>VLOOKUP(AD9,'[1]Marksheet T1'!$A$11:$GG$133,9)</f>
        <v>77</v>
      </c>
      <c r="P21" s="55"/>
      <c r="Q21" s="54" t="str">
        <f>VLOOKUP(AD9,'[1]Marksheet T1'!$A$11:$GG$133,11)</f>
        <v>B1</v>
      </c>
      <c r="R21" s="56"/>
      <c r="S21" s="57" t="str">
        <f>VLOOKUP(AD9,'[1]Marksheet T1'!$A$11:$GG$133,121)</f>
        <v>23rd</v>
      </c>
      <c r="T21" s="56"/>
      <c r="U21" s="57">
        <f>VLOOKUP(AD9,'[1]Marksheet T1'!$A$11:$GG$133,119)</f>
        <v>26</v>
      </c>
      <c r="V21" s="56"/>
      <c r="W21" s="57">
        <f>VLOOKUP(AD9,'[1]Marksheet T1'!$A$11:$GG$133,120)</f>
        <v>96</v>
      </c>
      <c r="X21" s="56"/>
      <c r="Y21" s="69" t="str">
        <f>IF(AT21="","",IF(AT21&lt;='[1]Basic Data Entry Sheet'!$G$24,"Fail",IF(AT21&lt;='[1]Basic Data Entry Sheet'!$G$23,"Pass",IF(AT21&lt;='[1]Basic Data Entry Sheet'!$G$22,"Fair",IF(AT21&lt;='[1]Basic Data Entry Sheet'!$G$21,"Average",IF(AT21&lt;='[1]Basic Data Entry Sheet'!$G$20,"Good",IF(AT21&lt;='[1]Basic Data Entry Sheet'!$G$19,"Very Good",IF(AT21&lt;='[1]Basic Data Entry Sheet'!$G$18,"Excellent","Distinction"))))))))</f>
        <v>Excellent</v>
      </c>
      <c r="Z21" s="69"/>
      <c r="AA21" s="70"/>
      <c r="AC21" s="61" t="s">
        <v>14</v>
      </c>
      <c r="AD21" s="62"/>
      <c r="AE21" s="62"/>
      <c r="AF21" s="62"/>
      <c r="AG21" s="63"/>
      <c r="AH21" s="7"/>
      <c r="AI21" s="7"/>
      <c r="AJ21" s="9"/>
      <c r="AK21" s="8" t="s">
        <v>13</v>
      </c>
      <c r="AL21" s="23"/>
      <c r="AM21" s="81"/>
      <c r="AN21" s="81"/>
      <c r="AO21" s="22"/>
      <c r="AT21">
        <f>O21/$AT$20*100</f>
        <v>77</v>
      </c>
    </row>
    <row r="22" spans="1:46" ht="17.25">
      <c r="B22" s="86"/>
      <c r="C22" s="87"/>
      <c r="D22" s="87"/>
      <c r="E22" s="87"/>
      <c r="F22" s="87"/>
      <c r="G22" s="87"/>
      <c r="H22" s="49"/>
      <c r="I22" s="43"/>
      <c r="J22" s="43"/>
      <c r="K22" s="43"/>
      <c r="L22" s="43"/>
      <c r="M22" s="43"/>
      <c r="N22" s="43"/>
      <c r="O22" s="43"/>
      <c r="P22" s="43"/>
      <c r="Q22" s="43"/>
      <c r="R22" s="31"/>
      <c r="S22" s="31"/>
      <c r="T22" s="31"/>
      <c r="U22" s="31"/>
      <c r="V22" s="31"/>
      <c r="W22" s="31"/>
      <c r="X22" s="59"/>
      <c r="Y22" s="59"/>
      <c r="Z22" s="59"/>
      <c r="AA22" s="60"/>
      <c r="AC22" s="61" t="s">
        <v>15</v>
      </c>
      <c r="AD22" s="62"/>
      <c r="AE22" s="62"/>
      <c r="AF22" s="62"/>
      <c r="AG22" s="63"/>
      <c r="AH22" s="7"/>
      <c r="AI22" s="7"/>
      <c r="AJ22" s="8" t="s">
        <v>13</v>
      </c>
      <c r="AK22" s="9"/>
      <c r="AL22" s="23"/>
      <c r="AM22" s="81"/>
      <c r="AN22" s="81"/>
      <c r="AO22" s="22"/>
    </row>
    <row r="23" spans="1:46" ht="17.25">
      <c r="B23" s="82" t="str">
        <f>[1]Marksheet!$I8</f>
        <v>MATHEMATICS</v>
      </c>
      <c r="C23" s="83"/>
      <c r="D23" s="83"/>
      <c r="E23" s="83"/>
      <c r="F23" s="83"/>
      <c r="G23" s="83"/>
      <c r="H23" s="83"/>
      <c r="I23" s="41">
        <f>VLOOKUP(AD9,'[1]Marksheet T1'!$A$11:$GG$133,12)</f>
        <v>20</v>
      </c>
      <c r="J23" s="42"/>
      <c r="K23" s="41">
        <f>VLOOKUP(AD9,'[1]Marksheet T1'!$A$11:$GG$133,13)</f>
        <v>15</v>
      </c>
      <c r="L23" s="42"/>
      <c r="M23" s="41">
        <f>VLOOKUP(AD9,'[1]Marksheet T1'!$A$11:$GG$133,14)</f>
        <v>14</v>
      </c>
      <c r="N23" s="42"/>
      <c r="O23" s="41">
        <f>VLOOKUP(AD9,'[1]Marksheet T1'!$A$11:$GG$133,15)</f>
        <v>49</v>
      </c>
      <c r="P23" s="42"/>
      <c r="Q23" s="41" t="str">
        <f>VLOOKUP(AD9,'[1]Marksheet T1'!$A$11:$GG$133,17)</f>
        <v>C5</v>
      </c>
      <c r="R23" s="32"/>
      <c r="S23" s="33" t="str">
        <f>VLOOKUP(AD9,'[1]Marksheet T1'!$A$11:$GG$133,125)</f>
        <v>34th</v>
      </c>
      <c r="T23" s="32"/>
      <c r="U23" s="33">
        <f>VLOOKUP(AD9,'[1]Marksheet T1'!$A$11:$GG$133,123)</f>
        <v>0</v>
      </c>
      <c r="V23" s="32"/>
      <c r="W23" s="33">
        <f>VLOOKUP(AD9,'[1]Marksheet T1'!$A$11:$GG$133,124)</f>
        <v>90</v>
      </c>
      <c r="X23" s="32"/>
      <c r="Y23" s="84" t="str">
        <f>IF(AT23="","",IF(AT23&lt;='[1]Basic Data Entry Sheet'!$G$24,"Fail",IF(AT23&lt;='[1]Basic Data Entry Sheet'!$G$23,"Pass",IF(AT23&lt;='[1]Basic Data Entry Sheet'!$G$22,"Fair",IF(AT23&lt;='[1]Basic Data Entry Sheet'!$G$21,"Average",IF(AT23&lt;='[1]Basic Data Entry Sheet'!$G$20,"Good",IF(AT23&lt;='[1]Basic Data Entry Sheet'!$G$19,"Very Good",IF(AT23&lt;='[1]Basic Data Entry Sheet'!$G$18,"Excellent","Distinction"))))))))</f>
        <v>Average</v>
      </c>
      <c r="Z23" s="84"/>
      <c r="AA23" s="85"/>
      <c r="AC23" s="61" t="s">
        <v>16</v>
      </c>
      <c r="AD23" s="62"/>
      <c r="AE23" s="62"/>
      <c r="AF23" s="62"/>
      <c r="AG23" s="63"/>
      <c r="AH23" s="7"/>
      <c r="AI23" s="7"/>
      <c r="AJ23" s="8" t="s">
        <v>13</v>
      </c>
      <c r="AK23" s="7"/>
      <c r="AL23" s="23"/>
      <c r="AM23" s="81"/>
      <c r="AN23" s="81"/>
      <c r="AO23" s="22"/>
      <c r="AT23">
        <f>O23/$AT$20*100</f>
        <v>49</v>
      </c>
    </row>
    <row r="24" spans="1:46" ht="17.25">
      <c r="B24" s="86"/>
      <c r="C24" s="87"/>
      <c r="D24" s="87"/>
      <c r="E24" s="87"/>
      <c r="F24" s="87"/>
      <c r="G24" s="87"/>
      <c r="H24" s="49"/>
      <c r="I24" s="43"/>
      <c r="J24" s="43"/>
      <c r="K24" s="43"/>
      <c r="L24" s="43"/>
      <c r="M24" s="43"/>
      <c r="N24" s="43"/>
      <c r="O24" s="43"/>
      <c r="P24" s="43"/>
      <c r="Q24" s="43"/>
      <c r="R24" s="31"/>
      <c r="S24" s="31"/>
      <c r="T24" s="31"/>
      <c r="U24" s="31"/>
      <c r="V24" s="31"/>
      <c r="W24" s="31"/>
      <c r="X24" s="59"/>
      <c r="Y24" s="59"/>
      <c r="Z24" s="59"/>
      <c r="AA24" s="60"/>
      <c r="AC24" s="61" t="s">
        <v>17</v>
      </c>
      <c r="AD24" s="62"/>
      <c r="AE24" s="62"/>
      <c r="AF24" s="62"/>
      <c r="AG24" s="63"/>
      <c r="AH24" s="7"/>
      <c r="AI24" s="8" t="s">
        <v>13</v>
      </c>
      <c r="AJ24" s="9"/>
      <c r="AK24" s="7"/>
      <c r="AL24" s="23"/>
      <c r="AM24" s="81"/>
      <c r="AN24" s="81"/>
      <c r="AO24" s="22"/>
    </row>
    <row r="25" spans="1:46" ht="17.25">
      <c r="B25" s="82" t="str">
        <f>[1]Marksheet!$N8</f>
        <v>IGBO LANG.</v>
      </c>
      <c r="C25" s="83"/>
      <c r="D25" s="83"/>
      <c r="E25" s="83"/>
      <c r="F25" s="83"/>
      <c r="G25" s="83"/>
      <c r="H25" s="83"/>
      <c r="I25" s="41">
        <f>VLOOKUP(AD9,'[1]Marksheet T1'!$A$11:$GG$133,18)</f>
        <v>10</v>
      </c>
      <c r="J25" s="42"/>
      <c r="K25" s="41">
        <f>VLOOKUP(AD9,'[1]Marksheet T1'!$A$11:$GG$133,19)</f>
        <v>20</v>
      </c>
      <c r="L25" s="42"/>
      <c r="M25" s="41">
        <f>VLOOKUP(AD9,'[1]Marksheet T1'!$A$11:$GG$133,20)</f>
        <v>39</v>
      </c>
      <c r="N25" s="42"/>
      <c r="O25" s="41">
        <f>VLOOKUP(AD9,'[1]Marksheet T1'!$A$11:$GG$133,21)</f>
        <v>69</v>
      </c>
      <c r="P25" s="42"/>
      <c r="Q25" s="41" t="str">
        <f>VLOOKUP(AD9,'[1]Marksheet T1'!$A$11:$GG$133,23)</f>
        <v>B2</v>
      </c>
      <c r="R25" s="32"/>
      <c r="S25" s="33" t="str">
        <f>VLOOKUP(AD9,'[1]Marksheet T1'!$A$11:$GG$133,129)</f>
        <v>5th</v>
      </c>
      <c r="T25" s="32"/>
      <c r="U25" s="33">
        <f>VLOOKUP(AD9,'[1]Marksheet T1'!$A$11:$GG$133,127)</f>
        <v>0</v>
      </c>
      <c r="V25" s="32"/>
      <c r="W25" s="33">
        <f>VLOOKUP(AD9,'[1]Marksheet T1'!$A$11:$GG$133,128)</f>
        <v>78</v>
      </c>
      <c r="X25" s="32"/>
      <c r="Y25" s="84" t="str">
        <f>IF(AT25="","",IF(AT25&lt;='[1]Basic Data Entry Sheet'!$G$24,"Fail",IF(AT25&lt;='[1]Basic Data Entry Sheet'!$G$23,"Pass",IF(AT25&lt;='[1]Basic Data Entry Sheet'!$G$22,"Fair",IF(AT25&lt;='[1]Basic Data Entry Sheet'!$G$21,"Average",IF(AT25&lt;='[1]Basic Data Entry Sheet'!$G$20,"Good",IF(AT25&lt;='[1]Basic Data Entry Sheet'!$G$19,"Very Good",IF(AT25&lt;='[1]Basic Data Entry Sheet'!$G$18,"Excellent","Distinction"))))))))</f>
        <v>Very Good</v>
      </c>
      <c r="Z25" s="84"/>
      <c r="AA25" s="85"/>
      <c r="AC25" s="61" t="s">
        <v>18</v>
      </c>
      <c r="AD25" s="62"/>
      <c r="AE25" s="62"/>
      <c r="AF25" s="62"/>
      <c r="AG25" s="63"/>
      <c r="AH25" s="7"/>
      <c r="AI25" s="9"/>
      <c r="AJ25" s="8" t="s">
        <v>13</v>
      </c>
      <c r="AK25" s="7"/>
      <c r="AL25" s="23"/>
      <c r="AM25" s="81"/>
      <c r="AN25" s="81"/>
      <c r="AO25" s="22"/>
      <c r="AT25">
        <f>O25/$AT$20*100</f>
        <v>69</v>
      </c>
    </row>
    <row r="26" spans="1:46" ht="17.25">
      <c r="B26" s="86"/>
      <c r="C26" s="87"/>
      <c r="D26" s="87"/>
      <c r="E26" s="87"/>
      <c r="F26" s="87"/>
      <c r="G26" s="87"/>
      <c r="H26" s="49"/>
      <c r="I26" s="43"/>
      <c r="J26" s="43"/>
      <c r="K26" s="43"/>
      <c r="L26" s="43"/>
      <c r="M26" s="43"/>
      <c r="N26" s="43"/>
      <c r="O26" s="43"/>
      <c r="P26" s="43"/>
      <c r="Q26" s="43"/>
      <c r="R26" s="31"/>
      <c r="S26" s="31"/>
      <c r="T26" s="31"/>
      <c r="U26" s="31"/>
      <c r="V26" s="31"/>
      <c r="W26" s="31"/>
      <c r="X26" s="59"/>
      <c r="Y26" s="59"/>
      <c r="Z26" s="59"/>
      <c r="AA26" s="60"/>
      <c r="AC26" s="61" t="s">
        <v>19</v>
      </c>
      <c r="AD26" s="62"/>
      <c r="AE26" s="62"/>
      <c r="AF26" s="62"/>
      <c r="AG26" s="63"/>
      <c r="AH26" s="7"/>
      <c r="AI26" s="8" t="s">
        <v>13</v>
      </c>
      <c r="AJ26" s="9"/>
      <c r="AK26" s="7"/>
      <c r="AL26" s="23"/>
      <c r="AM26" s="81"/>
      <c r="AN26" s="81"/>
      <c r="AO26" s="22"/>
    </row>
    <row r="27" spans="1:46" ht="17.25">
      <c r="B27" s="82" t="str">
        <f>[1]Marksheet!$S8</f>
        <v>BIOLOGY</v>
      </c>
      <c r="C27" s="83"/>
      <c r="D27" s="83"/>
      <c r="E27" s="83"/>
      <c r="F27" s="83"/>
      <c r="G27" s="83"/>
      <c r="H27" s="83"/>
      <c r="I27" s="41">
        <f>VLOOKUP(AD9,'[1]Marksheet T1'!$A$11:$GG$133,24)</f>
        <v>14</v>
      </c>
      <c r="J27" s="42"/>
      <c r="K27" s="41">
        <f>VLOOKUP(AD9,'[1]Marksheet T1'!$A$11:$GG$133,25)</f>
        <v>14</v>
      </c>
      <c r="L27" s="42"/>
      <c r="M27" s="41">
        <f>VLOOKUP(AD9,'[1]Marksheet T1'!$A$11:$GG$133,26)</f>
        <v>24</v>
      </c>
      <c r="N27" s="42"/>
      <c r="O27" s="41">
        <f>VLOOKUP(AD9,'[1]Marksheet T1'!$A$11:$GG$133,27)</f>
        <v>52</v>
      </c>
      <c r="P27" s="42"/>
      <c r="Q27" s="41" t="str">
        <f>VLOOKUP(AD9,'[1]Marksheet T1'!$A$11:$GG$133,29)</f>
        <v>C4</v>
      </c>
      <c r="R27" s="32"/>
      <c r="S27" s="33" t="str">
        <f>VLOOKUP(AD9,'[1]Marksheet T1'!$A$11:$GG$133,133)</f>
        <v>28th</v>
      </c>
      <c r="T27" s="32"/>
      <c r="U27" s="33">
        <f>VLOOKUP(AD9,'[1]Marksheet T1'!$A$11:$GG$133,131)</f>
        <v>10</v>
      </c>
      <c r="V27" s="32"/>
      <c r="W27" s="33">
        <f>VLOOKUP(AD9,'[1]Marksheet T1'!$A$11:$GG$133,132)</f>
        <v>93</v>
      </c>
      <c r="X27" s="32"/>
      <c r="Y27" s="84" t="str">
        <f>IF(AT27="","",IF(AT27&lt;='[1]Basic Data Entry Sheet'!$G$24,"Fail",IF(AT27&lt;='[1]Basic Data Entry Sheet'!$G$23,"Pass",IF(AT27&lt;='[1]Basic Data Entry Sheet'!$G$22,"Fair",IF(AT27&lt;='[1]Basic Data Entry Sheet'!$G$21,"Average",IF(AT27&lt;='[1]Basic Data Entry Sheet'!$G$20,"Good",IF(AT27&lt;='[1]Basic Data Entry Sheet'!$G$19,"Very Good",IF(AT27&lt;='[1]Basic Data Entry Sheet'!$G$18,"Excellent","Distinction"))))))))</f>
        <v>Good</v>
      </c>
      <c r="Z27" s="84"/>
      <c r="AA27" s="85"/>
      <c r="AI27" s="9"/>
      <c r="AL27" s="23"/>
      <c r="AM27" s="81"/>
      <c r="AN27" s="81"/>
      <c r="AO27" s="22"/>
      <c r="AT27">
        <f>O27/$AT$20*100</f>
        <v>52</v>
      </c>
    </row>
    <row r="28" spans="1:46" ht="17.25">
      <c r="B28" s="86"/>
      <c r="C28" s="87"/>
      <c r="D28" s="87"/>
      <c r="E28" s="87"/>
      <c r="F28" s="87"/>
      <c r="G28" s="87"/>
      <c r="H28" s="49"/>
      <c r="I28" s="43"/>
      <c r="J28" s="43"/>
      <c r="K28" s="43"/>
      <c r="L28" s="43"/>
      <c r="M28" s="43"/>
      <c r="N28" s="43"/>
      <c r="O28" s="43"/>
      <c r="P28" s="43"/>
      <c r="Q28" s="43"/>
      <c r="R28" s="31"/>
      <c r="S28" s="31"/>
      <c r="T28" s="31"/>
      <c r="U28" s="31"/>
      <c r="V28" s="31"/>
      <c r="W28" s="31"/>
      <c r="X28" s="59"/>
      <c r="Y28" s="59"/>
      <c r="Z28" s="59"/>
      <c r="AA28" s="60"/>
      <c r="AC28" s="130" t="s">
        <v>20</v>
      </c>
      <c r="AD28" s="131"/>
      <c r="AE28" s="131"/>
      <c r="AF28" s="131"/>
      <c r="AG28" s="132"/>
      <c r="AH28" s="180" t="s">
        <v>21</v>
      </c>
      <c r="AI28" s="181"/>
      <c r="AJ28" s="181"/>
      <c r="AK28" s="182"/>
      <c r="AL28" s="23"/>
      <c r="AM28" s="25"/>
      <c r="AN28" s="25"/>
      <c r="AO28" s="22"/>
    </row>
    <row r="29" spans="1:46" ht="17.25">
      <c r="B29" s="82" t="str">
        <f>[1]Marksheet!$X8</f>
        <v>CHEMISTRY</v>
      </c>
      <c r="C29" s="83"/>
      <c r="D29" s="83"/>
      <c r="E29" s="83"/>
      <c r="F29" s="83"/>
      <c r="G29" s="83"/>
      <c r="H29" s="83"/>
      <c r="I29" s="41">
        <f>VLOOKUP(AD9,'[1]Marksheet T1'!$A$11:$GG$133,30)</f>
        <v>12</v>
      </c>
      <c r="J29" s="42"/>
      <c r="K29" s="41">
        <f>VLOOKUP(AD9,'[1]Marksheet T1'!$A$11:$GG$133,31)</f>
        <v>10</v>
      </c>
      <c r="L29" s="42"/>
      <c r="M29" s="41">
        <f>VLOOKUP(AD9,'[1]Marksheet T1'!$A$11:$GG$133,32)</f>
        <v>40</v>
      </c>
      <c r="N29" s="42"/>
      <c r="O29" s="41">
        <f>VLOOKUP(AD9,'[1]Marksheet T1'!$A$11:$GG$133,33)</f>
        <v>62</v>
      </c>
      <c r="P29" s="42"/>
      <c r="Q29" s="41" t="str">
        <f>VLOOKUP(AD9,'[1]Marksheet T1'!$A$11:$GG$133,35)</f>
        <v>B2</v>
      </c>
      <c r="R29" s="32"/>
      <c r="S29" s="33" t="str">
        <f>VLOOKUP(AD9,'[1]Marksheet T1'!$A$11:$GG$133,137)</f>
        <v>15th</v>
      </c>
      <c r="T29" s="32"/>
      <c r="U29" s="33">
        <f>VLOOKUP(AD9,'[1]Marksheet T1'!$A$11:$GG$133,135)</f>
        <v>0</v>
      </c>
      <c r="V29" s="32"/>
      <c r="W29" s="33">
        <f>VLOOKUP(AD9,'[1]Marksheet T1'!$A$11:$GG$133,136)</f>
        <v>78</v>
      </c>
      <c r="X29" s="32"/>
      <c r="Y29" s="84" t="str">
        <f>IF(AT29="","",IF(AT29&lt;='[1]Basic Data Entry Sheet'!$G$24,"Fail",IF(AT29&lt;='[1]Basic Data Entry Sheet'!$G$23,"Pass",IF(AT29&lt;='[1]Basic Data Entry Sheet'!$G$22,"Fair",IF(AT29&lt;='[1]Basic Data Entry Sheet'!$G$21,"Average",IF(AT29&lt;='[1]Basic Data Entry Sheet'!$G$20,"Good",IF(AT29&lt;='[1]Basic Data Entry Sheet'!$G$19,"Very Good",IF(AT29&lt;='[1]Basic Data Entry Sheet'!$G$18,"Excellent","Distinction"))))))))</f>
        <v>Very Good</v>
      </c>
      <c r="Z29" s="84"/>
      <c r="AA29" s="85"/>
      <c r="AC29" s="133"/>
      <c r="AD29" s="134"/>
      <c r="AE29" s="134"/>
      <c r="AF29" s="134"/>
      <c r="AG29" s="135"/>
      <c r="AH29" s="10">
        <v>1</v>
      </c>
      <c r="AI29" s="10">
        <v>2</v>
      </c>
      <c r="AJ29" s="10">
        <v>3</v>
      </c>
      <c r="AK29" s="10">
        <v>4</v>
      </c>
      <c r="AL29" s="23"/>
      <c r="AM29" s="25"/>
      <c r="AN29" s="25"/>
      <c r="AO29" s="22"/>
      <c r="AT29">
        <f>O29/$AT$20*100</f>
        <v>62</v>
      </c>
    </row>
    <row r="30" spans="1:46" ht="15" customHeight="1">
      <c r="B30" s="109"/>
      <c r="C30" s="110"/>
      <c r="D30" s="110"/>
      <c r="E30" s="110"/>
      <c r="F30" s="110"/>
      <c r="G30" s="110"/>
      <c r="H30" s="49"/>
      <c r="I30" s="43"/>
      <c r="J30" s="43"/>
      <c r="K30" s="43"/>
      <c r="L30" s="43"/>
      <c r="M30" s="43"/>
      <c r="N30" s="43"/>
      <c r="O30" s="43"/>
      <c r="P30" s="43"/>
      <c r="Q30" s="43"/>
      <c r="R30" s="31"/>
      <c r="S30" s="31"/>
      <c r="T30" s="31"/>
      <c r="U30" s="31"/>
      <c r="V30" s="31"/>
      <c r="W30" s="31"/>
      <c r="X30" s="59"/>
      <c r="Y30" s="59"/>
      <c r="Z30" s="59"/>
      <c r="AA30" s="60"/>
      <c r="AC30" s="136" t="s">
        <v>22</v>
      </c>
      <c r="AD30" s="137"/>
      <c r="AE30" s="137"/>
      <c r="AF30" s="137"/>
      <c r="AG30" s="138"/>
      <c r="AH30" s="88"/>
      <c r="AI30" s="88"/>
      <c r="AJ30" s="124" t="s">
        <v>13</v>
      </c>
      <c r="AK30" s="88"/>
      <c r="AL30" s="23"/>
      <c r="AM30" s="25"/>
      <c r="AN30" s="25"/>
      <c r="AO30" s="22"/>
    </row>
    <row r="31" spans="1:46" ht="15" customHeight="1">
      <c r="B31" s="82" t="str">
        <f>[1]Marksheet!$AC8</f>
        <v>PHYSICS</v>
      </c>
      <c r="C31" s="83"/>
      <c r="D31" s="83"/>
      <c r="E31" s="83"/>
      <c r="F31" s="83"/>
      <c r="G31" s="83"/>
      <c r="H31" s="83"/>
      <c r="I31" s="41">
        <f>VLOOKUP(AD9,'[1]Marksheet T1'!$A$11:$GG$133,36)</f>
        <v>18</v>
      </c>
      <c r="J31" s="42"/>
      <c r="K31" s="41">
        <f>VLOOKUP(AD9,'[1]Marksheet T1'!$A$11:$GG$133,37)</f>
        <v>18</v>
      </c>
      <c r="L31" s="42"/>
      <c r="M31" s="41">
        <f>VLOOKUP(AD9,'[1]Marksheet T1'!$A$11:$GG$133,38)</f>
        <v>33</v>
      </c>
      <c r="N31" s="42"/>
      <c r="O31" s="41">
        <f>VLOOKUP(AD9,'[1]Marksheet T1'!$A$11:$GG$133,39)</f>
        <v>69</v>
      </c>
      <c r="P31" s="42"/>
      <c r="Q31" s="41" t="str">
        <f>VLOOKUP(AD9,'[1]Marksheet T1'!$A$11:$GG$133,41)</f>
        <v>B2</v>
      </c>
      <c r="R31" s="32"/>
      <c r="S31" s="33" t="str">
        <f>VLOOKUP(AD9,'[1]Marksheet T1'!$A$11:$GG$133,141)</f>
        <v>18th</v>
      </c>
      <c r="T31" s="32"/>
      <c r="U31" s="33">
        <f>VLOOKUP(AD9,'[1]Marksheet T1'!$A$11:$GG$133,139)</f>
        <v>36</v>
      </c>
      <c r="V31" s="32"/>
      <c r="W31" s="33">
        <f>VLOOKUP(AD9,'[1]Marksheet T1'!$A$11:$GG$133,140)</f>
        <v>85</v>
      </c>
      <c r="X31" s="32"/>
      <c r="Y31" s="84" t="str">
        <f>IF(AT31="","",IF(AT31&lt;='[1]Basic Data Entry Sheet'!$G$24,"Fail",IF(AT31&lt;='[1]Basic Data Entry Sheet'!$G$23,"Pass",IF(AT31&lt;='[1]Basic Data Entry Sheet'!$G$22,"Fair",IF(AT31&lt;='[1]Basic Data Entry Sheet'!$G$21,"Average",IF(AT31&lt;='[1]Basic Data Entry Sheet'!$G$20,"Good",IF(AT31&lt;='[1]Basic Data Entry Sheet'!$G$19,"Very Good",IF(AT31&lt;='[1]Basic Data Entry Sheet'!$G$18,"Excellent","Distinction"))))))))</f>
        <v>Very Good</v>
      </c>
      <c r="Z31" s="84"/>
      <c r="AA31" s="85"/>
      <c r="AC31" s="139"/>
      <c r="AD31" s="140"/>
      <c r="AE31" s="140"/>
      <c r="AF31" s="140"/>
      <c r="AG31" s="141"/>
      <c r="AH31" s="89"/>
      <c r="AI31" s="89"/>
      <c r="AJ31" s="125"/>
      <c r="AK31" s="89"/>
      <c r="AL31" s="23"/>
      <c r="AM31" s="25"/>
      <c r="AN31" s="25"/>
      <c r="AO31" s="22"/>
      <c r="AT31">
        <f>O31/$AT$20*100</f>
        <v>69</v>
      </c>
    </row>
    <row r="32" spans="1:46" ht="17.25">
      <c r="B32" s="109"/>
      <c r="C32" s="110"/>
      <c r="D32" s="110"/>
      <c r="E32" s="110"/>
      <c r="F32" s="110"/>
      <c r="G32" s="110"/>
      <c r="H32" s="49"/>
      <c r="I32" s="43"/>
      <c r="J32" s="43"/>
      <c r="K32" s="43"/>
      <c r="L32" s="43"/>
      <c r="M32" s="43"/>
      <c r="N32" s="43"/>
      <c r="O32" s="43"/>
      <c r="P32" s="43"/>
      <c r="Q32" s="43"/>
      <c r="R32" s="31"/>
      <c r="S32" s="31"/>
      <c r="T32" s="31"/>
      <c r="U32" s="31"/>
      <c r="V32" s="31"/>
      <c r="W32" s="31"/>
      <c r="X32" s="59"/>
      <c r="Y32" s="59"/>
      <c r="Z32" s="59"/>
      <c r="AA32" s="60"/>
      <c r="AC32" s="118" t="s">
        <v>23</v>
      </c>
      <c r="AD32" s="118"/>
      <c r="AE32" s="118"/>
      <c r="AF32" s="118"/>
      <c r="AG32" s="118"/>
      <c r="AH32" s="88"/>
      <c r="AI32" s="124" t="s">
        <v>13</v>
      </c>
      <c r="AJ32" s="88"/>
      <c r="AK32" s="88"/>
      <c r="AL32" s="23"/>
      <c r="AM32" s="25"/>
      <c r="AN32" s="25"/>
      <c r="AO32" s="22"/>
    </row>
    <row r="33" spans="2:46" ht="17.25">
      <c r="B33" s="82" t="str">
        <f>[1]Marksheet!$AH8</f>
        <v>CRS</v>
      </c>
      <c r="C33" s="83"/>
      <c r="D33" s="83"/>
      <c r="E33" s="83"/>
      <c r="F33" s="83"/>
      <c r="G33" s="83"/>
      <c r="H33" s="83"/>
      <c r="I33" s="41">
        <f>VLOOKUP(AD9,'[1]Marksheet T1'!$A$11:$GG$133,42)</f>
        <v>20</v>
      </c>
      <c r="J33" s="42"/>
      <c r="K33" s="41">
        <f>VLOOKUP(AD9,'[1]Marksheet T1'!$A$11:$GG$133,43)</f>
        <v>10</v>
      </c>
      <c r="L33" s="42"/>
      <c r="M33" s="41">
        <f>VLOOKUP(AD9,'[1]Marksheet T1'!$A$11:$GG$133,44)</f>
        <v>50</v>
      </c>
      <c r="N33" s="42"/>
      <c r="O33" s="41">
        <f>VLOOKUP(AD9,'[1]Marksheet T1'!$A$11:$GG$133,45)</f>
        <v>80</v>
      </c>
      <c r="P33" s="42"/>
      <c r="Q33" s="41" t="str">
        <f>VLOOKUP(AD9,'[1]Marksheet T1'!$A$11:$GG$133,47)</f>
        <v>B1</v>
      </c>
      <c r="R33" s="32"/>
      <c r="S33" s="33" t="str">
        <f>VLOOKUP(AD9,'[1]Marksheet T1'!$A$11:$GG$133,145)</f>
        <v>14th</v>
      </c>
      <c r="T33" s="32"/>
      <c r="U33" s="33">
        <f>VLOOKUP(AD9,'[1]Marksheet T1'!$A$11:$GG$133,143)</f>
        <v>0</v>
      </c>
      <c r="V33" s="32"/>
      <c r="W33" s="33">
        <f>VLOOKUP(AD9,'[1]Marksheet T1'!$A$11:$GG$133,144)</f>
        <v>87</v>
      </c>
      <c r="X33" s="32"/>
      <c r="Y33" s="84" t="str">
        <f>IF(AT33="","",IF(AT33&lt;='[1]Basic Data Entry Sheet'!$G$24,"Fail",IF(AT33&lt;='[1]Basic Data Entry Sheet'!$G$23,"Pass",IF(AT33&lt;='[1]Basic Data Entry Sheet'!$G$22,"Fair",IF(AT33&lt;='[1]Basic Data Entry Sheet'!$G$21,"Average",IF(AT33&lt;='[1]Basic Data Entry Sheet'!$G$20,"Good",IF(AT33&lt;='[1]Basic Data Entry Sheet'!$G$19,"Very Good",IF(AT33&lt;='[1]Basic Data Entry Sheet'!$G$18,"Excellent","Distinction"))))))))</f>
        <v>Excellent</v>
      </c>
      <c r="Z33" s="84"/>
      <c r="AA33" s="85"/>
      <c r="AC33" s="118"/>
      <c r="AD33" s="118"/>
      <c r="AE33" s="118"/>
      <c r="AF33" s="118"/>
      <c r="AG33" s="118"/>
      <c r="AH33" s="89"/>
      <c r="AI33" s="125"/>
      <c r="AJ33" s="89"/>
      <c r="AK33" s="89"/>
      <c r="AL33" s="23"/>
      <c r="AM33" s="25"/>
      <c r="AN33" s="25"/>
      <c r="AO33" s="22"/>
      <c r="AT33">
        <f>O33/$AT$20*100</f>
        <v>80</v>
      </c>
    </row>
    <row r="34" spans="2:46" ht="17.25">
      <c r="B34" s="109"/>
      <c r="C34" s="110"/>
      <c r="D34" s="110"/>
      <c r="E34" s="110"/>
      <c r="F34" s="110"/>
      <c r="G34" s="110"/>
      <c r="H34" s="50"/>
      <c r="I34" s="43"/>
      <c r="J34" s="43"/>
      <c r="K34" s="43"/>
      <c r="L34" s="43"/>
      <c r="M34" s="43"/>
      <c r="N34" s="43"/>
      <c r="O34" s="43"/>
      <c r="P34" s="43"/>
      <c r="Q34" s="43"/>
      <c r="R34" s="31"/>
      <c r="S34" s="31"/>
      <c r="T34" s="31"/>
      <c r="U34" s="31"/>
      <c r="V34" s="31"/>
      <c r="W34" s="31"/>
      <c r="X34" s="31"/>
      <c r="Y34" s="59"/>
      <c r="Z34" s="59"/>
      <c r="AA34" s="60"/>
      <c r="AC34" s="118" t="s">
        <v>24</v>
      </c>
      <c r="AD34" s="118"/>
      <c r="AE34" s="118"/>
      <c r="AF34" s="118"/>
      <c r="AG34" s="118"/>
      <c r="AH34" s="88"/>
      <c r="AI34" s="124" t="s">
        <v>13</v>
      </c>
      <c r="AJ34" s="88"/>
      <c r="AK34" s="88"/>
      <c r="AL34" s="23"/>
      <c r="AM34" s="25"/>
      <c r="AN34" s="25"/>
      <c r="AO34" s="22"/>
    </row>
    <row r="35" spans="2:46" ht="17.25">
      <c r="B35" s="82" t="str">
        <f>[1]Marksheet!$AM8</f>
        <v>LITERATURE</v>
      </c>
      <c r="C35" s="83"/>
      <c r="D35" s="83"/>
      <c r="E35" s="83"/>
      <c r="F35" s="83"/>
      <c r="G35" s="83"/>
      <c r="H35" s="83"/>
      <c r="I35" s="41">
        <f>VLOOKUP(AD9,'[1]Marksheet T1'!$A$11:$GG$133,48)</f>
        <v>20</v>
      </c>
      <c r="J35" s="42"/>
      <c r="K35" s="41">
        <f>VLOOKUP(AD9,'[1]Marksheet T1'!$A$11:$GG$133,49)</f>
        <v>20</v>
      </c>
      <c r="L35" s="42"/>
      <c r="M35" s="41">
        <f>VLOOKUP(AD9,'[1]Marksheet T1'!$A$11:$GG$133,50)</f>
        <v>57</v>
      </c>
      <c r="N35" s="42"/>
      <c r="O35" s="41">
        <f>VLOOKUP(AD9,'[1]Marksheet T1'!$A$11:$GG$133,51)</f>
        <v>97</v>
      </c>
      <c r="P35" s="42"/>
      <c r="Q35" s="41" t="str">
        <f>VLOOKUP(AD9,'[1]Marksheet T1'!$A$11:$GG$133,53)</f>
        <v>A</v>
      </c>
      <c r="R35" s="32"/>
      <c r="S35" s="33" t="str">
        <f>VLOOKUP(AD9,'[1]Marksheet T1'!$A$11:$GG$133,149)</f>
        <v>3rd</v>
      </c>
      <c r="T35" s="32"/>
      <c r="U35" s="33">
        <f>VLOOKUP(AD9,'[1]Marksheet T1'!$A$11:$GG$133,147)</f>
        <v>0</v>
      </c>
      <c r="V35" s="32"/>
      <c r="W35" s="33">
        <f>VLOOKUP(AD9,'[1]Marksheet T1'!$A$11:$GG$133,148)</f>
        <v>100</v>
      </c>
      <c r="X35" s="32"/>
      <c r="Y35" s="84" t="str">
        <f>IF(AT35="","",IF(AT35&lt;='[1]Basic Data Entry Sheet'!$G$24,"Fail",IF(AT35&lt;='[1]Basic Data Entry Sheet'!$G$23,"Pass",IF(AT35&lt;='[1]Basic Data Entry Sheet'!$G$22,"Fair",IF(AT35&lt;='[1]Basic Data Entry Sheet'!$G$21,"Average",IF(AT35&lt;='[1]Basic Data Entry Sheet'!$G$20,"Good",IF(AT35&lt;='[1]Basic Data Entry Sheet'!$G$19,"Very Good",IF(AT35&lt;='[1]Basic Data Entry Sheet'!$G$18,"Excellent","Distinction"))))))))</f>
        <v>Distinction</v>
      </c>
      <c r="Z35" s="84"/>
      <c r="AA35" s="85"/>
      <c r="AC35" s="118"/>
      <c r="AD35" s="118"/>
      <c r="AE35" s="118"/>
      <c r="AF35" s="118"/>
      <c r="AG35" s="118"/>
      <c r="AH35" s="89"/>
      <c r="AI35" s="125"/>
      <c r="AJ35" s="89"/>
      <c r="AK35" s="89"/>
      <c r="AL35" s="23"/>
      <c r="AM35" s="25"/>
      <c r="AN35" s="25"/>
      <c r="AO35" s="22"/>
      <c r="AT35">
        <f>O35/$AT$20*100</f>
        <v>97</v>
      </c>
    </row>
    <row r="36" spans="2:46" ht="17.25">
      <c r="B36" s="86"/>
      <c r="C36" s="87"/>
      <c r="D36" s="87"/>
      <c r="E36" s="87"/>
      <c r="F36" s="87"/>
      <c r="G36" s="87"/>
      <c r="H36" s="51"/>
      <c r="I36" s="43"/>
      <c r="J36" s="43"/>
      <c r="K36" s="43"/>
      <c r="L36" s="43"/>
      <c r="M36" s="43"/>
      <c r="N36" s="43"/>
      <c r="O36" s="43"/>
      <c r="P36" s="43"/>
      <c r="Q36" s="43"/>
      <c r="R36" s="31"/>
      <c r="S36" s="31"/>
      <c r="T36" s="31"/>
      <c r="U36" s="31"/>
      <c r="V36" s="31"/>
      <c r="W36" s="31"/>
      <c r="X36" s="59"/>
      <c r="Y36" s="59"/>
      <c r="Z36" s="59"/>
      <c r="AA36" s="60"/>
      <c r="AC36" s="118" t="s">
        <v>25</v>
      </c>
      <c r="AD36" s="118"/>
      <c r="AE36" s="118"/>
      <c r="AF36" s="118"/>
      <c r="AG36" s="118"/>
      <c r="AH36" s="88"/>
      <c r="AI36" s="124" t="s">
        <v>13</v>
      </c>
      <c r="AJ36" s="88"/>
      <c r="AK36" s="88"/>
      <c r="AL36" s="23"/>
      <c r="AM36" s="25"/>
      <c r="AN36" s="25"/>
      <c r="AO36" s="22"/>
    </row>
    <row r="37" spans="2:46" ht="17.25">
      <c r="B37" s="82" t="str">
        <f>[1]Marksheet!$AR$8</f>
        <v>AGRIC SCIENCE</v>
      </c>
      <c r="C37" s="83"/>
      <c r="D37" s="83"/>
      <c r="E37" s="83"/>
      <c r="F37" s="83"/>
      <c r="G37" s="83"/>
      <c r="H37" s="83"/>
      <c r="I37" s="41">
        <f>VLOOKUP(AD9,'[1]Marksheet T1'!$A$11:$GG$133,54)</f>
        <v>2</v>
      </c>
      <c r="J37" s="42"/>
      <c r="K37" s="41">
        <f>VLOOKUP(AD9,'[1]Marksheet T1'!$A$11:$GG$133,55)</f>
        <v>3</v>
      </c>
      <c r="L37" s="42"/>
      <c r="M37" s="41">
        <f>VLOOKUP(AD9,'[1]Marksheet T1'!$A$11:$GG$133,56)</f>
        <v>30</v>
      </c>
      <c r="N37" s="42"/>
      <c r="O37" s="41">
        <f>VLOOKUP(AD9,'[1]Marksheet T1'!$A$11:$GG$133,57)</f>
        <v>35</v>
      </c>
      <c r="P37" s="42"/>
      <c r="Q37" s="41" t="str">
        <f>VLOOKUP(AD9,'[1]Marksheet T1'!$A$11:$GG$133,59)</f>
        <v>F9</v>
      </c>
      <c r="R37" s="32"/>
      <c r="S37" s="33" t="str">
        <f>VLOOKUP(AD9,'[1]Marksheet T1'!$A$11:$GG$133,153)</f>
        <v>30th</v>
      </c>
      <c r="T37" s="32"/>
      <c r="U37" s="33">
        <f>VLOOKUP(AD9,'[1]Marksheet T1'!$A$11:$GG$133,151)</f>
        <v>5</v>
      </c>
      <c r="V37" s="32"/>
      <c r="W37" s="33">
        <f>VLOOKUP(AD9,'[1]Marksheet T1'!$A$11:$GG$133,152)</f>
        <v>70</v>
      </c>
      <c r="X37" s="32"/>
      <c r="Y37" s="84" t="str">
        <f>IF(AT37="","",IF(AT37&lt;='[1]Basic Data Entry Sheet'!$G$24,"Fail",IF(AT37&lt;='[1]Basic Data Entry Sheet'!$G$23,"Pass",IF(AT37&lt;='[1]Basic Data Entry Sheet'!$G$22,"Fair",IF(AT37&lt;='[1]Basic Data Entry Sheet'!$G$21,"Average",IF(AT37&lt;='[1]Basic Data Entry Sheet'!$G$20,"Good",IF(AT37&lt;='[1]Basic Data Entry Sheet'!$G$19,"Very Good",IF(AT37&lt;='[1]Basic Data Entry Sheet'!$G$18,"Excellent","Distinction"))))))))</f>
        <v>Fail</v>
      </c>
      <c r="Z37" s="84"/>
      <c r="AA37" s="85"/>
      <c r="AC37" s="118"/>
      <c r="AD37" s="118"/>
      <c r="AE37" s="118"/>
      <c r="AF37" s="118"/>
      <c r="AG37" s="118"/>
      <c r="AH37" s="89"/>
      <c r="AI37" s="125"/>
      <c r="AJ37" s="89"/>
      <c r="AK37" s="89"/>
      <c r="AL37" s="23"/>
      <c r="AM37" s="25"/>
      <c r="AN37" s="25"/>
      <c r="AO37" s="22"/>
      <c r="AT37">
        <f>O37/$AT$20*100</f>
        <v>35</v>
      </c>
    </row>
    <row r="38" spans="2:46" ht="17.25">
      <c r="B38" s="109"/>
      <c r="C38" s="110"/>
      <c r="D38" s="110"/>
      <c r="E38" s="110"/>
      <c r="F38" s="110"/>
      <c r="G38" s="110"/>
      <c r="H38" s="50"/>
      <c r="I38" s="43"/>
      <c r="J38" s="43"/>
      <c r="K38" s="43"/>
      <c r="L38" s="43"/>
      <c r="M38" s="43"/>
      <c r="N38" s="43"/>
      <c r="O38" s="43"/>
      <c r="P38" s="43"/>
      <c r="Q38" s="43"/>
      <c r="R38" s="31"/>
      <c r="S38" s="31"/>
      <c r="T38" s="31"/>
      <c r="U38" s="31"/>
      <c r="V38" s="31"/>
      <c r="W38" s="31"/>
      <c r="X38" s="31"/>
      <c r="Y38" s="59"/>
      <c r="Z38" s="59"/>
      <c r="AA38" s="60"/>
      <c r="AC38" s="117" t="s">
        <v>26</v>
      </c>
      <c r="AD38" s="117"/>
      <c r="AE38" s="117"/>
      <c r="AF38" s="117"/>
      <c r="AG38" s="117"/>
      <c r="AH38" s="7"/>
      <c r="AI38" s="8" t="s">
        <v>13</v>
      </c>
      <c r="AJ38" s="7"/>
      <c r="AK38" s="7"/>
      <c r="AL38" s="23"/>
      <c r="AM38" s="25"/>
      <c r="AN38" s="25"/>
      <c r="AO38" s="22"/>
    </row>
    <row r="39" spans="2:46" ht="17.25">
      <c r="B39" s="82" t="str">
        <f>[1]Marksheet!$AW$8</f>
        <v>ECONOMICS</v>
      </c>
      <c r="C39" s="83"/>
      <c r="D39" s="83"/>
      <c r="E39" s="83"/>
      <c r="F39" s="83"/>
      <c r="G39" s="83"/>
      <c r="H39" s="83"/>
      <c r="I39" s="41">
        <f>VLOOKUP(AD9,'[1]Marksheet T1'!$A$11:$GG$133,60)</f>
        <v>12</v>
      </c>
      <c r="J39" s="42"/>
      <c r="K39" s="41">
        <f>VLOOKUP(AD9,'[1]Marksheet T1'!$A$11:$GG$133,61)</f>
        <v>12</v>
      </c>
      <c r="L39" s="42"/>
      <c r="M39" s="41">
        <f>VLOOKUP(AD9,'[1]Marksheet T1'!$A$11:$GG$133,62)</f>
        <v>36</v>
      </c>
      <c r="N39" s="42"/>
      <c r="O39" s="41">
        <f>VLOOKUP(AD9,'[1]Marksheet T1'!$A$11:$GG$133,63)</f>
        <v>60</v>
      </c>
      <c r="P39" s="42"/>
      <c r="Q39" s="41" t="str">
        <f>VLOOKUP(AD9,'[1]Marksheet T1'!$A$11:$GG$133,65)</f>
        <v>C4</v>
      </c>
      <c r="R39" s="32"/>
      <c r="S39" s="33" t="str">
        <f>VLOOKUP(AD9,'[1]Marksheet T1'!$A$11:$GG$133,157)</f>
        <v>26th</v>
      </c>
      <c r="T39" s="32"/>
      <c r="U39" s="33">
        <f>VLOOKUP(AD9,'[1]Marksheet T1'!$A$11:$GG$133,155)</f>
        <v>0</v>
      </c>
      <c r="V39" s="32"/>
      <c r="W39" s="33">
        <f>VLOOKUP(AD9,'[1]Marksheet T1'!$A$11:$GG$133,156)</f>
        <v>86</v>
      </c>
      <c r="X39" s="32"/>
      <c r="Y39" s="84" t="str">
        <f>IF(AT39="","",IF(AT39&lt;='[1]Basic Data Entry Sheet'!$G$24,"Fail",IF(AT39&lt;='[1]Basic Data Entry Sheet'!$G$23,"Pass",IF(AT39&lt;='[1]Basic Data Entry Sheet'!$G$22,"Fair",IF(AT39&lt;='[1]Basic Data Entry Sheet'!$G$21,"Average",IF(AT39&lt;='[1]Basic Data Entry Sheet'!$G$20,"Good",IF(AT39&lt;='[1]Basic Data Entry Sheet'!$G$19,"Very Good",IF(AT39&lt;='[1]Basic Data Entry Sheet'!$G$18,"Excellent","Distinction"))))))))</f>
        <v>Good</v>
      </c>
      <c r="Z39" s="84"/>
      <c r="AA39" s="85"/>
      <c r="AC39" s="118" t="s">
        <v>27</v>
      </c>
      <c r="AD39" s="118"/>
      <c r="AE39" s="118"/>
      <c r="AF39" s="118"/>
      <c r="AG39" s="118"/>
      <c r="AH39" s="88"/>
      <c r="AI39" s="88"/>
      <c r="AJ39" s="124" t="s">
        <v>13</v>
      </c>
      <c r="AK39" s="88"/>
      <c r="AL39" s="23"/>
      <c r="AM39" s="25"/>
      <c r="AN39" s="25"/>
      <c r="AO39" s="22"/>
      <c r="AT39">
        <f>O39/$AT$20*100</f>
        <v>60</v>
      </c>
    </row>
    <row r="40" spans="2:46" ht="17.25">
      <c r="B40" s="109"/>
      <c r="C40" s="110"/>
      <c r="D40" s="110"/>
      <c r="E40" s="110"/>
      <c r="F40" s="110"/>
      <c r="G40" s="110"/>
      <c r="H40" s="50"/>
      <c r="I40" s="43"/>
      <c r="J40" s="43"/>
      <c r="K40" s="43"/>
      <c r="L40" s="43"/>
      <c r="M40" s="43"/>
      <c r="N40" s="43"/>
      <c r="O40" s="43"/>
      <c r="P40" s="43"/>
      <c r="Q40" s="43"/>
      <c r="R40" s="31"/>
      <c r="S40" s="31"/>
      <c r="T40" s="31"/>
      <c r="U40" s="31"/>
      <c r="V40" s="31"/>
      <c r="W40" s="31"/>
      <c r="X40" s="31"/>
      <c r="Y40" s="59"/>
      <c r="Z40" s="59"/>
      <c r="AA40" s="60"/>
      <c r="AC40" s="118"/>
      <c r="AD40" s="118"/>
      <c r="AE40" s="118"/>
      <c r="AF40" s="118"/>
      <c r="AG40" s="118"/>
      <c r="AH40" s="89"/>
      <c r="AI40" s="89"/>
      <c r="AJ40" s="125"/>
      <c r="AK40" s="89"/>
      <c r="AL40" s="23"/>
      <c r="AM40" s="25"/>
      <c r="AN40" s="25"/>
      <c r="AO40" s="22"/>
    </row>
    <row r="41" spans="2:46" ht="17.25" hidden="1">
      <c r="B41" s="82" t="str">
        <f>[1]Marksheet!$BB$8</f>
        <v>GEOGRAPHY</v>
      </c>
      <c r="C41" s="83"/>
      <c r="D41" s="83"/>
      <c r="E41" s="83"/>
      <c r="F41" s="83"/>
      <c r="G41" s="83"/>
      <c r="H41" s="83"/>
      <c r="I41" s="41">
        <f>VLOOKUP(AD9,'[1]Marksheet T1'!$A$11:$GG$133,66)</f>
        <v>0</v>
      </c>
      <c r="J41" s="42"/>
      <c r="K41" s="41">
        <f>VLOOKUP(AD9,'[1]Marksheet T1'!$A$11:$GG$133,67)</f>
        <v>0</v>
      </c>
      <c r="L41" s="42"/>
      <c r="M41" s="41">
        <f>VLOOKUP(AD9,'[1]Marksheet T1'!$A$11:$GG$133,68)</f>
        <v>0</v>
      </c>
      <c r="N41" s="42"/>
      <c r="O41" s="41">
        <f>VLOOKUP(AD9,'[1]Marksheet T1'!$A$11:$GG$133,69)</f>
        <v>0</v>
      </c>
      <c r="P41" s="42"/>
      <c r="Q41" s="41" t="str">
        <f>VLOOKUP(AD9,'[1]Marksheet T1'!$A$11:$GG$133,71)</f>
        <v>F9</v>
      </c>
      <c r="R41" s="32"/>
      <c r="S41" s="33" t="str">
        <f>VLOOKUP(AD9,'[1]Marksheet T1'!$A$11:$GG$133,161)</f>
        <v>1st</v>
      </c>
      <c r="T41" s="32"/>
      <c r="U41" s="33">
        <f>VLOOKUP(AD9,'[1]Marksheet T1'!$A$11:$GG$133,159)</f>
        <v>0</v>
      </c>
      <c r="V41" s="32"/>
      <c r="W41" s="33">
        <f>VLOOKUP(AD9,'[1]Marksheet T1'!$A$11:$GG$133,160)</f>
        <v>0</v>
      </c>
      <c r="X41" s="32"/>
      <c r="Y41" s="84" t="str">
        <f>IF(AT41="","",IF(AT41&lt;='[1]Basic Data Entry Sheet'!$G$24,"Fail",IF(AT41&lt;='[1]Basic Data Entry Sheet'!$G$23,"Pass",IF(AT41&lt;='[1]Basic Data Entry Sheet'!$G$22,"Fair",IF(AT41&lt;='[1]Basic Data Entry Sheet'!$G$21,"Average",IF(AT41&lt;='[1]Basic Data Entry Sheet'!$G$20,"Good",IF(AT41&lt;='[1]Basic Data Entry Sheet'!$G$19,"Very Good",IF(AT41&lt;='[1]Basic Data Entry Sheet'!$G$18,"Excellent","Distinction"))))))))</f>
        <v>Fail</v>
      </c>
      <c r="Z41" s="84"/>
      <c r="AA41" s="85"/>
      <c r="AC41" s="118" t="s">
        <v>28</v>
      </c>
      <c r="AD41" s="118"/>
      <c r="AE41" s="118"/>
      <c r="AF41" s="118"/>
      <c r="AG41" s="118"/>
      <c r="AH41" s="88"/>
      <c r="AI41" s="88"/>
      <c r="AJ41" s="124" t="s">
        <v>13</v>
      </c>
      <c r="AK41" s="88"/>
      <c r="AL41" s="23"/>
      <c r="AM41" s="25"/>
      <c r="AN41" s="25"/>
      <c r="AO41" s="22"/>
      <c r="AT41">
        <f>O41/$AT$20*100</f>
        <v>0</v>
      </c>
    </row>
    <row r="42" spans="2:46" ht="17.25" hidden="1">
      <c r="B42" s="109"/>
      <c r="C42" s="110"/>
      <c r="D42" s="110"/>
      <c r="E42" s="110"/>
      <c r="F42" s="110"/>
      <c r="G42" s="110"/>
      <c r="H42" s="50"/>
      <c r="I42" s="43"/>
      <c r="J42" s="43"/>
      <c r="K42" s="43"/>
      <c r="L42" s="43"/>
      <c r="M42" s="43"/>
      <c r="N42" s="43"/>
      <c r="O42" s="43"/>
      <c r="P42" s="43"/>
      <c r="Q42" s="43"/>
      <c r="R42" s="31"/>
      <c r="S42" s="31"/>
      <c r="T42" s="31"/>
      <c r="U42" s="31"/>
      <c r="V42" s="31"/>
      <c r="W42" s="31"/>
      <c r="X42" s="31"/>
      <c r="Y42" s="59"/>
      <c r="Z42" s="59"/>
      <c r="AA42" s="60"/>
      <c r="AC42" s="118"/>
      <c r="AD42" s="118"/>
      <c r="AE42" s="118"/>
      <c r="AF42" s="118"/>
      <c r="AG42" s="118"/>
      <c r="AH42" s="89"/>
      <c r="AI42" s="89"/>
      <c r="AJ42" s="125"/>
      <c r="AK42" s="89"/>
      <c r="AL42" s="23"/>
      <c r="AM42" s="25"/>
      <c r="AN42" s="25"/>
      <c r="AO42" s="22"/>
    </row>
    <row r="43" spans="2:46" ht="17.25" customHeight="1">
      <c r="B43" s="82" t="s">
        <v>72</v>
      </c>
      <c r="C43" s="83"/>
      <c r="D43" s="83"/>
      <c r="E43" s="83"/>
      <c r="F43" s="83"/>
      <c r="G43" s="83"/>
      <c r="H43" s="83"/>
      <c r="I43" s="41">
        <f>VLOOKUP(AD9,'[1]Marksheet T1'!$A$11:$GG$133,72)</f>
        <v>5</v>
      </c>
      <c r="J43" s="42"/>
      <c r="K43" s="41">
        <f>VLOOKUP(AD9,'[1]Marksheet T1'!$A$11:$GG$133,73)</f>
        <v>14</v>
      </c>
      <c r="L43" s="42"/>
      <c r="M43" s="41">
        <f>VLOOKUP(AD9,'[1]Marksheet T1'!$A$11:$GG$133,74)</f>
        <v>26</v>
      </c>
      <c r="N43" s="42"/>
      <c r="O43" s="41">
        <f>VLOOKUP(AD9,'[1]Marksheet T1'!$A$11:$GG$133,75)</f>
        <v>45</v>
      </c>
      <c r="P43" s="42"/>
      <c r="Q43" s="41" t="str">
        <f>VLOOKUP(AD9,'[1]Marksheet T1'!$A$11:$GG$133,77)</f>
        <v>D</v>
      </c>
      <c r="R43" s="32"/>
      <c r="S43" s="33" t="str">
        <f>VLOOKUP(AD9,'[1]Marksheet T1'!$A$11:$GG$133,165)</f>
        <v>26th</v>
      </c>
      <c r="T43" s="32"/>
      <c r="U43" s="33">
        <f>VLOOKUP(AD9,'[1]Marksheet T1'!$A$11:$GG$133,163)</f>
        <v>19</v>
      </c>
      <c r="V43" s="32"/>
      <c r="W43" s="33">
        <f>VLOOKUP(AD9,'[1]Marksheet T1'!$A$11:$GG$133,164)</f>
        <v>81</v>
      </c>
      <c r="X43" s="32"/>
      <c r="Y43" s="84" t="str">
        <f>IF(AT43="","",IF(AT43&lt;='[1]Basic Data Entry Sheet'!$G$24,"Fail",IF(AT43&lt;='[1]Basic Data Entry Sheet'!$G$23,"Pass",IF(AT43&lt;='[1]Basic Data Entry Sheet'!$G$22,"Fair",IF(AT43&lt;='[1]Basic Data Entry Sheet'!$G$21,"Average",IF(AT43&lt;='[1]Basic Data Entry Sheet'!$G$20,"Good",IF(AT43&lt;='[1]Basic Data Entry Sheet'!$G$19,"Very Good",IF(AT43&lt;='[1]Basic Data Entry Sheet'!$G$18,"Excellent","Distinction"))))))))</f>
        <v>Fair</v>
      </c>
      <c r="Z43" s="84"/>
      <c r="AA43" s="85"/>
      <c r="AL43" s="23"/>
      <c r="AM43" s="25"/>
      <c r="AN43" s="25"/>
      <c r="AO43" s="22"/>
      <c r="AT43">
        <f>O43/$AT$20*100</f>
        <v>45</v>
      </c>
    </row>
    <row r="44" spans="2:46" ht="17.25" customHeight="1">
      <c r="B44" s="109"/>
      <c r="C44" s="110"/>
      <c r="D44" s="110"/>
      <c r="E44" s="110"/>
      <c r="F44" s="110"/>
      <c r="G44" s="110"/>
      <c r="H44" s="50"/>
      <c r="I44" s="43"/>
      <c r="J44" s="43"/>
      <c r="K44" s="43"/>
      <c r="L44" s="43"/>
      <c r="M44" s="43"/>
      <c r="N44" s="43"/>
      <c r="O44" s="43"/>
      <c r="P44" s="43"/>
      <c r="Q44" s="43"/>
      <c r="R44" s="31"/>
      <c r="S44" s="31"/>
      <c r="T44" s="31"/>
      <c r="U44" s="31"/>
      <c r="V44" s="31"/>
      <c r="W44" s="31"/>
      <c r="X44" s="59"/>
      <c r="Y44" s="59"/>
      <c r="Z44" s="59"/>
      <c r="AA44" s="60"/>
      <c r="AC44" s="111" t="s">
        <v>29</v>
      </c>
      <c r="AD44" s="112"/>
      <c r="AE44" s="112"/>
      <c r="AF44" s="112"/>
      <c r="AG44" s="113"/>
      <c r="AH44" s="111" t="s">
        <v>30</v>
      </c>
      <c r="AI44" s="112"/>
      <c r="AJ44" s="112"/>
      <c r="AK44" s="113"/>
      <c r="AL44" s="23"/>
      <c r="AM44" s="25"/>
      <c r="AN44" s="25"/>
      <c r="AO44" s="22"/>
    </row>
    <row r="45" spans="2:46" ht="17.25">
      <c r="B45" s="82" t="str">
        <f>[1]Marksheet!$BL$8</f>
        <v>GOVERNMENT</v>
      </c>
      <c r="C45" s="83"/>
      <c r="D45" s="83"/>
      <c r="E45" s="83"/>
      <c r="F45" s="83"/>
      <c r="G45" s="83"/>
      <c r="H45" s="83"/>
      <c r="I45" s="41">
        <f>VLOOKUP(AD9,'[1]Marksheet T1'!$A$11:$GG$133,78)</f>
        <v>15</v>
      </c>
      <c r="J45" s="42"/>
      <c r="K45" s="41">
        <f>VLOOKUP(AD9,'[1]Marksheet T1'!$A$11:$GG$133,79)</f>
        <v>20</v>
      </c>
      <c r="L45" s="42"/>
      <c r="M45" s="41">
        <f>VLOOKUP(AD9,'[1]Marksheet T1'!$A$11:$GG$133,80)</f>
        <v>55</v>
      </c>
      <c r="N45" s="42"/>
      <c r="O45" s="41">
        <f>VLOOKUP(AD9,'[1]Marksheet T1'!$A$11:$GG$133,81)</f>
        <v>90</v>
      </c>
      <c r="P45" s="42"/>
      <c r="Q45" s="41" t="str">
        <f>VLOOKUP(AD9,'[1]Marksheet T1'!$A$11:$GG$133,83)</f>
        <v>A</v>
      </c>
      <c r="R45" s="32"/>
      <c r="S45" s="33" t="str">
        <f>VLOOKUP(AD9,'[1]Marksheet T1'!$A$11:$GG$133,169)</f>
        <v>6th</v>
      </c>
      <c r="T45" s="32"/>
      <c r="U45" s="33">
        <f>VLOOKUP(AD9,'[1]Marksheet T1'!$A$11:$GG$133,167)</f>
        <v>0</v>
      </c>
      <c r="V45" s="32"/>
      <c r="W45" s="33">
        <f>VLOOKUP(AD9,'[1]Marksheet T1'!$A$11:$GG$133,168)</f>
        <v>95</v>
      </c>
      <c r="X45" s="32"/>
      <c r="Y45" s="84" t="str">
        <f>IF(AT45="","",IF(AT45&lt;='[1]Basic Data Entry Sheet'!$G$24,"Fail",IF(AT45&lt;='[1]Basic Data Entry Sheet'!$G$23,"Pass",IF(AT45&lt;='[1]Basic Data Entry Sheet'!$G$22,"Fair",IF(AT45&lt;='[1]Basic Data Entry Sheet'!$G$21,"Average",IF(AT45&lt;='[1]Basic Data Entry Sheet'!$G$20,"Good",IF(AT45&lt;='[1]Basic Data Entry Sheet'!$G$19,"Very Good",IF(AT45&lt;='[1]Basic Data Entry Sheet'!$G$18,"Excellent","Distinction"))))))))</f>
        <v>Distinction</v>
      </c>
      <c r="Z45" s="84"/>
      <c r="AA45" s="85"/>
      <c r="AC45" s="111" t="s">
        <v>31</v>
      </c>
      <c r="AD45" s="112"/>
      <c r="AE45" s="112"/>
      <c r="AF45" s="112"/>
      <c r="AG45" s="113"/>
      <c r="AH45" s="111" t="s">
        <v>32</v>
      </c>
      <c r="AI45" s="112"/>
      <c r="AJ45" s="112"/>
      <c r="AK45" s="113"/>
      <c r="AL45" s="23"/>
      <c r="AM45" s="25"/>
      <c r="AN45" s="25"/>
      <c r="AO45" s="22"/>
      <c r="AT45">
        <f>O45/$AT$20*100</f>
        <v>90</v>
      </c>
    </row>
    <row r="46" spans="2:46" ht="17.25">
      <c r="B46" s="109"/>
      <c r="C46" s="110"/>
      <c r="D46" s="110"/>
      <c r="E46" s="110"/>
      <c r="F46" s="110"/>
      <c r="G46" s="110"/>
      <c r="H46" s="50"/>
      <c r="I46" s="43"/>
      <c r="J46" s="43"/>
      <c r="K46" s="43"/>
      <c r="L46" s="43"/>
      <c r="M46" s="43"/>
      <c r="N46" s="43"/>
      <c r="O46" s="43"/>
      <c r="P46" s="43"/>
      <c r="Q46" s="43"/>
      <c r="R46" s="31"/>
      <c r="S46" s="31"/>
      <c r="T46" s="31"/>
      <c r="U46" s="31"/>
      <c r="V46" s="31"/>
      <c r="W46" s="31"/>
      <c r="X46" s="59"/>
      <c r="Y46" s="59"/>
      <c r="Z46" s="59"/>
      <c r="AA46" s="60"/>
      <c r="AC46" s="120" t="s">
        <v>33</v>
      </c>
      <c r="AD46" s="121"/>
      <c r="AE46" s="121"/>
      <c r="AF46" s="121"/>
      <c r="AG46" s="121"/>
      <c r="AH46" s="121"/>
      <c r="AI46" s="121"/>
      <c r="AJ46" s="121"/>
      <c r="AK46" s="122"/>
      <c r="AL46" s="23"/>
      <c r="AM46" s="25"/>
      <c r="AN46" s="25"/>
      <c r="AO46" s="22"/>
    </row>
    <row r="47" spans="2:46" ht="17.25">
      <c r="B47" s="82" t="s">
        <v>73</v>
      </c>
      <c r="C47" s="83"/>
      <c r="D47" s="83"/>
      <c r="E47" s="83"/>
      <c r="F47" s="83"/>
      <c r="G47" s="83"/>
      <c r="H47" s="83"/>
      <c r="I47" s="41">
        <f>VLOOKUP(AD9,'[1]Marksheet T1'!$A$11:$GG$133,84)</f>
        <v>19</v>
      </c>
      <c r="J47" s="42"/>
      <c r="K47" s="41">
        <f>VLOOKUP(AD9,'[1]Marksheet T1'!$A$11:$GG$133,85)</f>
        <v>10</v>
      </c>
      <c r="L47" s="42"/>
      <c r="M47" s="41">
        <f>VLOOKUP(AD9,'[1]Marksheet T1'!$A$11:$GG$133,86)</f>
        <v>44</v>
      </c>
      <c r="N47" s="42"/>
      <c r="O47" s="41">
        <f>VLOOKUP(AD9,'[1]Marksheet T1'!$A$11:$GG$133,87)</f>
        <v>73</v>
      </c>
      <c r="P47" s="42"/>
      <c r="Q47" s="41" t="str">
        <f>VLOOKUP(AD9,'[1]Marksheet T1'!$A$11:$GG$133,89)</f>
        <v>B1</v>
      </c>
      <c r="R47" s="32"/>
      <c r="S47" s="33" t="str">
        <f>VLOOKUP(AD9,'[1]Marksheet T1'!$A$11:$GG$133,173)</f>
        <v>8th</v>
      </c>
      <c r="T47" s="32"/>
      <c r="U47" s="33">
        <f>VLOOKUP(AD9,'[1]Marksheet T1'!$A$11:$GG$133,171)</f>
        <v>0</v>
      </c>
      <c r="V47" s="32"/>
      <c r="W47" s="33">
        <f>VLOOKUP(AD9,'[1]Marksheet T1'!$A$11:$GG$133,172)</f>
        <v>84</v>
      </c>
      <c r="X47" s="32"/>
      <c r="Y47" s="84" t="str">
        <f>IF(AT47="","",IF(AT47&lt;='[1]Basic Data Entry Sheet'!$G$24,"Fail",IF(AT47&lt;='[1]Basic Data Entry Sheet'!$G$23,"Pass",IF(AT47&lt;='[1]Basic Data Entry Sheet'!$G$22,"Fair",IF(AT47&lt;='[1]Basic Data Entry Sheet'!$G$21,"Average",IF(AT47&lt;='[1]Basic Data Entry Sheet'!$G$20,"Good",IF(AT47&lt;='[1]Basic Data Entry Sheet'!$G$19,"Very Good",IF(AT47&lt;='[1]Basic Data Entry Sheet'!$G$18,"Excellent","Distinction"))))))))</f>
        <v>Excellent</v>
      </c>
      <c r="Z47" s="84"/>
      <c r="AA47" s="85"/>
      <c r="AB47" s="11"/>
      <c r="AC47" s="114">
        <f>VLOOKUP(AD9,'[1]Marksheet T1'!$A$11:$GG$133,114)</f>
        <v>1115</v>
      </c>
      <c r="AD47" s="115"/>
      <c r="AE47" s="115"/>
      <c r="AF47" s="115"/>
      <c r="AG47" s="115"/>
      <c r="AH47" s="115"/>
      <c r="AI47" s="115"/>
      <c r="AJ47" s="115"/>
      <c r="AK47" s="116"/>
      <c r="AL47" s="23"/>
      <c r="AM47" s="25"/>
      <c r="AN47" s="25"/>
      <c r="AO47" s="22"/>
      <c r="AT47">
        <f>O47/$AT$20*100</f>
        <v>73</v>
      </c>
    </row>
    <row r="48" spans="2:46" ht="17.25">
      <c r="B48" s="109"/>
      <c r="C48" s="110"/>
      <c r="D48" s="110"/>
      <c r="E48" s="110"/>
      <c r="F48" s="110"/>
      <c r="G48" s="110"/>
      <c r="H48" s="50"/>
      <c r="I48" s="43"/>
      <c r="J48" s="43"/>
      <c r="K48" s="43"/>
      <c r="L48" s="43"/>
      <c r="M48" s="43"/>
      <c r="N48" s="43"/>
      <c r="O48" s="43"/>
      <c r="P48" s="43"/>
      <c r="Q48" s="43"/>
      <c r="R48" s="31"/>
      <c r="S48" s="31"/>
      <c r="T48" s="31"/>
      <c r="U48" s="31"/>
      <c r="V48" s="31"/>
      <c r="W48" s="31"/>
      <c r="X48" s="59"/>
      <c r="Y48" s="59"/>
      <c r="Z48" s="59"/>
      <c r="AA48" s="60"/>
      <c r="AC48" s="120" t="s">
        <v>34</v>
      </c>
      <c r="AD48" s="121"/>
      <c r="AE48" s="121"/>
      <c r="AF48" s="121"/>
      <c r="AG48" s="121"/>
      <c r="AH48" s="121"/>
      <c r="AI48" s="121"/>
      <c r="AJ48" s="121"/>
      <c r="AK48" s="122"/>
      <c r="AL48" s="23"/>
      <c r="AM48" s="25"/>
      <c r="AN48" s="25"/>
      <c r="AO48" s="22"/>
    </row>
    <row r="49" spans="1:46" ht="17.25">
      <c r="B49" s="82" t="str">
        <f>[1]Marksheet!$BV$8</f>
        <v>COMP. SCIENCE</v>
      </c>
      <c r="C49" s="83"/>
      <c r="D49" s="83"/>
      <c r="E49" s="83"/>
      <c r="F49" s="83"/>
      <c r="G49" s="83"/>
      <c r="H49" s="83"/>
      <c r="I49" s="41">
        <f>VLOOKUP(AD9,'[1]Marksheet T1'!$A$11:$GG$133,90)</f>
        <v>20</v>
      </c>
      <c r="J49" s="42"/>
      <c r="K49" s="41">
        <f>VLOOKUP(AD9,'[1]Marksheet T1'!$A$11:$GG$133,91)</f>
        <v>10</v>
      </c>
      <c r="L49" s="42"/>
      <c r="M49" s="41">
        <f>VLOOKUP(AD9,'[1]Marksheet T1'!$A$11:$GG$133,92)</f>
        <v>33</v>
      </c>
      <c r="N49" s="42"/>
      <c r="O49" s="41">
        <f>VLOOKUP(AD9,'[1]Marksheet T1'!$A$11:$GG$133,93)</f>
        <v>63</v>
      </c>
      <c r="P49" s="42"/>
      <c r="Q49" s="41" t="str">
        <f>VLOOKUP(AD9,'[1]Marksheet T1'!$A$11:$GG$133,95)</f>
        <v>B2</v>
      </c>
      <c r="R49" s="32"/>
      <c r="S49" s="33" t="str">
        <f>VLOOKUP(AD9,'[1]Marksheet T1'!$A$11:$GG$133,177)</f>
        <v>12th</v>
      </c>
      <c r="T49" s="32"/>
      <c r="U49" s="33">
        <f>VLOOKUP(AD9,'[1]Marksheet T1'!$A$11:$GG$133,175)</f>
        <v>0</v>
      </c>
      <c r="V49" s="32"/>
      <c r="W49" s="33">
        <f>VLOOKUP(AD9,'[1]Marksheet T1'!$A$11:$GG$133,176)</f>
        <v>82</v>
      </c>
      <c r="X49" s="32"/>
      <c r="Y49" s="84" t="str">
        <f>IF(AT49="","",IF(AT49&lt;='[1]Basic Data Entry Sheet'!$G$24,"Fail",IF(AT49&lt;='[1]Basic Data Entry Sheet'!$G$23,"Pass",IF(AT49&lt;='[1]Basic Data Entry Sheet'!$G$22,"Fair",IF(AT49&lt;='[1]Basic Data Entry Sheet'!$G$21,"Average",IF(AT49&lt;='[1]Basic Data Entry Sheet'!$G$20,"Good",IF(AT49&lt;='[1]Basic Data Entry Sheet'!$G$19,"Very Good",IF(AT49&lt;='[1]Basic Data Entry Sheet'!$G$18,"Excellent","Distinction"))))))))</f>
        <v>Very Good</v>
      </c>
      <c r="Z49" s="84"/>
      <c r="AA49" s="85"/>
      <c r="AB49" s="11"/>
      <c r="AC49" s="114" t="str">
        <f>IF(AT60="","",IF(AT60&lt;=45,"FAILED","PASSED"))</f>
        <v>PASSED</v>
      </c>
      <c r="AD49" s="115"/>
      <c r="AE49" s="115"/>
      <c r="AF49" s="115"/>
      <c r="AG49" s="115"/>
      <c r="AH49" s="115"/>
      <c r="AI49" s="115"/>
      <c r="AJ49" s="115"/>
      <c r="AK49" s="116"/>
      <c r="AL49" s="23"/>
      <c r="AM49" s="25"/>
      <c r="AN49" s="25"/>
      <c r="AO49" s="22"/>
      <c r="AT49">
        <f>O49/$AT$20*100</f>
        <v>63</v>
      </c>
    </row>
    <row r="50" spans="1:46" ht="17.25">
      <c r="B50" s="109"/>
      <c r="C50" s="110"/>
      <c r="D50" s="110"/>
      <c r="E50" s="110"/>
      <c r="F50" s="110"/>
      <c r="G50" s="110"/>
      <c r="H50" s="50"/>
      <c r="I50" s="43"/>
      <c r="J50" s="43"/>
      <c r="K50" s="43"/>
      <c r="L50" s="43"/>
      <c r="M50" s="43"/>
      <c r="N50" s="43"/>
      <c r="O50" s="43"/>
      <c r="P50" s="43"/>
      <c r="Q50" s="43"/>
      <c r="R50" s="31"/>
      <c r="S50" s="31"/>
      <c r="T50" s="31"/>
      <c r="U50" s="31"/>
      <c r="V50" s="31"/>
      <c r="W50" s="31"/>
      <c r="X50" s="59"/>
      <c r="Y50" s="59"/>
      <c r="Z50" s="59"/>
      <c r="AA50" s="60"/>
      <c r="AL50" s="23"/>
      <c r="AM50" s="25"/>
      <c r="AN50" s="25"/>
      <c r="AO50" s="22"/>
    </row>
    <row r="51" spans="1:46" ht="15" customHeight="1" thickBot="1">
      <c r="B51" s="82" t="str">
        <f>[1]Marksheet!$CA$8</f>
        <v>MARKETING</v>
      </c>
      <c r="C51" s="83"/>
      <c r="D51" s="83"/>
      <c r="E51" s="83"/>
      <c r="F51" s="83"/>
      <c r="G51" s="83"/>
      <c r="H51" s="83"/>
      <c r="I51" s="41">
        <f>VLOOKUP(AD9,'[1]Marksheet T1'!$A$11:$GG$133,96)</f>
        <v>0</v>
      </c>
      <c r="J51" s="42"/>
      <c r="K51" s="41">
        <f>VLOOKUP(AD9,'[1]Marksheet T1'!$A$11:$GG$133,97)</f>
        <v>20</v>
      </c>
      <c r="L51" s="42"/>
      <c r="M51" s="41">
        <f>VLOOKUP(AD9,'[1]Marksheet T1'!$A$11:$GG$133,98)</f>
        <v>26</v>
      </c>
      <c r="N51" s="42"/>
      <c r="O51" s="41">
        <f>VLOOKUP(AD9,'[1]Marksheet T1'!$A$11:$GG$133,99)</f>
        <v>46</v>
      </c>
      <c r="P51" s="42"/>
      <c r="Q51" s="41" t="str">
        <f>VLOOKUP(AD9,'[1]Marksheet T1'!$A$11:$GG$133,101)</f>
        <v>C5</v>
      </c>
      <c r="R51" s="32"/>
      <c r="S51" s="33" t="str">
        <f>VLOOKUP(AD9,'[1]Marksheet T1'!$A$11:$GG$133,181)</f>
        <v>36th</v>
      </c>
      <c r="T51" s="32"/>
      <c r="U51" s="33">
        <f>VLOOKUP(AD9,'[1]Marksheet T1'!$A$11:$GG$133,179)</f>
        <v>0</v>
      </c>
      <c r="V51" s="32"/>
      <c r="W51" s="33">
        <f>VLOOKUP(AD9,'[1]Marksheet T1'!$A$11:$GG$133,180)</f>
        <v>85</v>
      </c>
      <c r="X51" s="32"/>
      <c r="Y51" s="84" t="str">
        <f>IF(AT51="","",IF(AT51&lt;='[1]Basic Data Entry Sheet'!$G$24,"Fail",IF(AT51&lt;='[1]Basic Data Entry Sheet'!$G$23,"Pass",IF(AT51&lt;='[1]Basic Data Entry Sheet'!$G$22,"Fair",IF(AT51&lt;='[1]Basic Data Entry Sheet'!$G$21,"Average",IF(AT51&lt;='[1]Basic Data Entry Sheet'!$G$20,"Good",IF(AT51&lt;='[1]Basic Data Entry Sheet'!$G$19,"Very Good",IF(AT51&lt;='[1]Basic Data Entry Sheet'!$G$18,"Excellent","Distinction"))))))))</f>
        <v>Average</v>
      </c>
      <c r="Z51" s="84"/>
      <c r="AA51" s="85"/>
      <c r="AL51" s="23"/>
      <c r="AM51" s="25"/>
      <c r="AN51" s="25"/>
      <c r="AO51" s="22"/>
      <c r="AT51">
        <f>O51/$AT$20*100</f>
        <v>46</v>
      </c>
    </row>
    <row r="52" spans="1:46" ht="17.25">
      <c r="A52" s="58">
        <f>VLOOKUP(AD9,'[1]Marksheet T1'!$A$11:$GG$133,102)</f>
        <v>15</v>
      </c>
      <c r="B52" s="52"/>
      <c r="C52" s="53"/>
      <c r="D52" s="53"/>
      <c r="E52" s="53"/>
      <c r="F52" s="53"/>
      <c r="G52" s="53"/>
      <c r="H52" s="53"/>
      <c r="I52" s="44"/>
      <c r="J52" s="44"/>
      <c r="K52" s="44"/>
      <c r="L52" s="44"/>
      <c r="M52" s="44"/>
      <c r="N52" s="44"/>
      <c r="O52" s="44"/>
      <c r="P52" s="44"/>
      <c r="Q52" s="44"/>
      <c r="R52" s="34"/>
      <c r="S52" s="34"/>
      <c r="T52" s="34"/>
      <c r="U52" s="34"/>
      <c r="V52" s="34"/>
      <c r="W52" s="34"/>
      <c r="X52" s="34"/>
      <c r="Y52" s="34"/>
      <c r="Z52" s="34"/>
      <c r="AA52" s="35"/>
      <c r="AC52" s="145" t="s">
        <v>35</v>
      </c>
      <c r="AD52" s="146"/>
      <c r="AE52" s="146"/>
      <c r="AF52" s="146"/>
      <c r="AG52" s="146"/>
      <c r="AH52" s="146"/>
      <c r="AI52" s="146"/>
      <c r="AJ52" s="146"/>
      <c r="AK52" s="147"/>
      <c r="AL52" s="23"/>
      <c r="AM52" s="25"/>
      <c r="AN52" s="25"/>
      <c r="AO52" s="22"/>
    </row>
    <row r="53" spans="1:46" ht="18" thickBot="1">
      <c r="B53" s="157" t="str">
        <f>[1]Marksheet!$CF$8</f>
        <v>HISTORY</v>
      </c>
      <c r="C53" s="158"/>
      <c r="D53" s="158"/>
      <c r="E53" s="158"/>
      <c r="F53" s="158"/>
      <c r="G53" s="158"/>
      <c r="H53" s="158"/>
      <c r="I53" s="45">
        <f>VLOOKUP(AD9,'[1]Marksheet T1'!$A$11:$GG$133,102)</f>
        <v>15</v>
      </c>
      <c r="J53" s="42"/>
      <c r="K53" s="45">
        <f>VLOOKUP(AD9,'[1]Marksheet T1'!$A$11:$GG$133,103)</f>
        <v>20</v>
      </c>
      <c r="L53" s="42"/>
      <c r="M53" s="41">
        <f>VLOOKUP(AD9,'[1]Marksheet T1'!$A$11:$GG$133,104)</f>
        <v>55</v>
      </c>
      <c r="N53" s="42"/>
      <c r="O53" s="41">
        <f>VLOOKUP(AD9,'[1]Marksheet T1'!$A$11:$GG$133,105)</f>
        <v>90</v>
      </c>
      <c r="P53" s="42"/>
      <c r="Q53" s="41" t="str">
        <f>VLOOKUP(AD9,'[1]Marksheet T1'!$A$11:$GG$133,107)</f>
        <v>A</v>
      </c>
      <c r="R53" s="32"/>
      <c r="S53" s="36" t="str">
        <f>VLOOKUP(AD9,'[1]Marksheet T1'!$A$11:$GG$133,185)</f>
        <v>7th</v>
      </c>
      <c r="T53" s="32"/>
      <c r="U53" s="36">
        <f>VLOOKUP(AD9,'[1]Marksheet T1'!$A$11:$GG$133,183)</f>
        <v>0</v>
      </c>
      <c r="V53" s="32"/>
      <c r="W53" s="33">
        <f>VLOOKUP(AD9,'[1]Marksheet T1'!$A$11:$GG$133,184)</f>
        <v>95</v>
      </c>
      <c r="X53" s="32"/>
      <c r="Y53" s="153" t="str">
        <f>IF(AT53="","",IF(AT53&lt;='[1]Basic Data Entry Sheet'!$G$24,"Fail",IF(AT53&lt;='[1]Basic Data Entry Sheet'!$G$23,"Pass",IF(AT53&lt;='[1]Basic Data Entry Sheet'!$G$22,"Fair",IF(AT53&lt;='[1]Basic Data Entry Sheet'!$G$21,"Average",IF(AT53&lt;='[1]Basic Data Entry Sheet'!$G$20,"Good",IF(AT53&lt;='[1]Basic Data Entry Sheet'!$G$19,"Very Good",IF(AT53&lt;='[1]Basic Data Entry Sheet'!$G$18,"Excellent","Distinction"))))))))</f>
        <v>Distinction</v>
      </c>
      <c r="Z53" s="153"/>
      <c r="AA53" s="154"/>
      <c r="AC53" s="148"/>
      <c r="AD53" s="149"/>
      <c r="AE53" s="149"/>
      <c r="AF53" s="149"/>
      <c r="AG53" s="149"/>
      <c r="AH53" s="149"/>
      <c r="AI53" s="149"/>
      <c r="AJ53" s="149"/>
      <c r="AK53" s="150"/>
      <c r="AL53" s="23"/>
      <c r="AM53" s="25"/>
      <c r="AN53" s="25"/>
      <c r="AO53" s="22"/>
      <c r="AT53">
        <f>O53/$AT$20*100</f>
        <v>90</v>
      </c>
    </row>
    <row r="54" spans="1:46" ht="18" thickBot="1">
      <c r="B54" s="52"/>
      <c r="C54" s="53"/>
      <c r="D54" s="53"/>
      <c r="E54" s="53"/>
      <c r="F54" s="53"/>
      <c r="G54" s="53"/>
      <c r="H54" s="53"/>
      <c r="I54" s="44"/>
      <c r="J54" s="44"/>
      <c r="K54" s="44"/>
      <c r="L54" s="44"/>
      <c r="M54" s="44"/>
      <c r="N54" s="44"/>
      <c r="O54" s="44"/>
      <c r="P54" s="44"/>
      <c r="Q54" s="44"/>
      <c r="R54" s="34"/>
      <c r="S54" s="34"/>
      <c r="T54" s="34"/>
      <c r="U54" s="34"/>
      <c r="V54" s="34"/>
      <c r="W54" s="34"/>
      <c r="X54" s="34"/>
      <c r="Y54" s="34"/>
      <c r="Z54" s="34"/>
      <c r="AA54" s="35"/>
      <c r="AC54" s="12" t="s">
        <v>36</v>
      </c>
      <c r="AD54" s="12" t="s">
        <v>37</v>
      </c>
      <c r="AE54" s="12" t="s">
        <v>38</v>
      </c>
      <c r="AF54" s="12" t="s">
        <v>39</v>
      </c>
      <c r="AG54" s="12" t="s">
        <v>40</v>
      </c>
      <c r="AH54" s="12" t="s">
        <v>41</v>
      </c>
      <c r="AI54" s="13" t="s">
        <v>42</v>
      </c>
      <c r="AJ54" s="12" t="s">
        <v>43</v>
      </c>
      <c r="AK54" s="14" t="s">
        <v>44</v>
      </c>
      <c r="AL54" s="23"/>
      <c r="AM54" s="25"/>
      <c r="AN54" s="25"/>
      <c r="AO54" s="22"/>
    </row>
    <row r="55" spans="1:46" ht="18" thickBot="1">
      <c r="B55" s="155" t="str">
        <f>[1]Marksheet!$CK$8</f>
        <v>FRENCH</v>
      </c>
      <c r="C55" s="156"/>
      <c r="D55" s="156"/>
      <c r="E55" s="156"/>
      <c r="F55" s="156"/>
      <c r="G55" s="156"/>
      <c r="H55" s="156"/>
      <c r="I55" s="46">
        <f>VLOOKUP(AD9,'[1]Marksheet T1'!$A$11:$GG$141,108)</f>
        <v>15</v>
      </c>
      <c r="J55" s="47"/>
      <c r="K55" s="46">
        <f>VLOOKUP(AD9,'[1]Marksheet T1'!$A$11:$GG$133,109)</f>
        <v>17</v>
      </c>
      <c r="L55" s="47"/>
      <c r="M55" s="48">
        <f>VLOOKUP(AD9,'[1]Marksheet T1'!$A$11:$GG$133,110)</f>
        <v>26</v>
      </c>
      <c r="N55" s="47"/>
      <c r="O55" s="48">
        <f>VLOOKUP(AD9,'[1]Marksheet T1'!$A$11:$GG$133,111)</f>
        <v>58</v>
      </c>
      <c r="P55" s="47"/>
      <c r="Q55" s="48" t="str">
        <f>VLOOKUP(AD9,'[1]Marksheet T1'!$A$11:$GG$133,113)</f>
        <v>C4</v>
      </c>
      <c r="R55" s="37"/>
      <c r="S55" s="38" t="str">
        <f>VLOOKUP(AD9,'[1]Marksheet T1'!$A$11:$GG$133,189)</f>
        <v>13th</v>
      </c>
      <c r="T55" s="37"/>
      <c r="U55" s="38">
        <f>VLOOKUP(AD9,'[1]Marksheet T1'!$A$11:$GG$133,187)</f>
        <v>24</v>
      </c>
      <c r="V55" s="37"/>
      <c r="W55" s="39">
        <f>VLOOKUP(AD9,'[1]Marksheet T1'!$A$11:$GG$133,188)</f>
        <v>71</v>
      </c>
      <c r="X55" s="37"/>
      <c r="Y55" s="159" t="str">
        <f>IF(AT55="","",IF(AT55&lt;='[1]Basic Data Entry Sheet'!$G$24,"Fail",IF(AT55&lt;='[1]Basic Data Entry Sheet'!$G$23,"Pass",IF(AT55&lt;='[1]Basic Data Entry Sheet'!$G$22,"Fair",IF(AT55&lt;='[1]Basic Data Entry Sheet'!$G$21,"Average",IF(AT55&lt;='[1]Basic Data Entry Sheet'!$G$20,"Good",IF(AT55&lt;='[1]Basic Data Entry Sheet'!$G$19,"Very Good",IF(AT55&lt;='[1]Basic Data Entry Sheet'!$G$18,"Excellent","Distinction"))))))))</f>
        <v>Good</v>
      </c>
      <c r="Z55" s="159"/>
      <c r="AA55" s="160"/>
      <c r="AC55" s="12" t="s">
        <v>45</v>
      </c>
      <c r="AD55" s="12">
        <f>COUNTIF(Q21:Q55,"A")</f>
        <v>3</v>
      </c>
      <c r="AE55" s="15">
        <f>COUNTIF(Q21:Q55,"B1")</f>
        <v>3</v>
      </c>
      <c r="AF55" s="12">
        <f>COUNTIF(Q21:Q55,"B2")</f>
        <v>4</v>
      </c>
      <c r="AG55" s="15">
        <f>COUNTIF(Q21:Q55,"C4")</f>
        <v>3</v>
      </c>
      <c r="AH55" s="15">
        <f>COUNTIF(Q21:Q55,"C5")</f>
        <v>2</v>
      </c>
      <c r="AI55" s="12">
        <f>COUNTIF(Q21:Q55,"E8")</f>
        <v>0</v>
      </c>
      <c r="AJ55" s="12">
        <f>COUNTIF(Q21:Q55,"E8")</f>
        <v>0</v>
      </c>
      <c r="AK55" s="14">
        <f>COUNTIF(Q21:Q55,"F9")</f>
        <v>2</v>
      </c>
      <c r="AL55" s="23"/>
      <c r="AM55" s="25"/>
      <c r="AN55" s="25"/>
      <c r="AO55" s="22"/>
      <c r="AT55">
        <f>O55/$AT$20*100</f>
        <v>57.999999999999993</v>
      </c>
    </row>
    <row r="56" spans="1:46" ht="15.75" thickTop="1">
      <c r="B56" s="151" t="s">
        <v>71</v>
      </c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23"/>
      <c r="AM56" s="25"/>
      <c r="AN56" s="25"/>
      <c r="AO56" s="22"/>
    </row>
    <row r="57" spans="1:46" ht="63.75" customHeight="1" thickBot="1"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23"/>
      <c r="AM57" s="25"/>
      <c r="AN57" s="25"/>
      <c r="AO57" s="22"/>
    </row>
    <row r="58" spans="1:46" ht="15.75">
      <c r="B58" s="78" t="s">
        <v>57</v>
      </c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80"/>
      <c r="AL58" s="23"/>
      <c r="AM58" s="25"/>
      <c r="AN58" s="25"/>
      <c r="AO58" s="22"/>
    </row>
    <row r="59" spans="1:46">
      <c r="B59" s="76" t="s">
        <v>46</v>
      </c>
      <c r="C59" s="76"/>
      <c r="D59" s="76"/>
      <c r="E59" s="76"/>
      <c r="F59" s="76"/>
      <c r="G59" s="76"/>
      <c r="H59" s="76"/>
      <c r="I59" s="76"/>
      <c r="J59" s="77" t="str">
        <f>IF(AT60="","",IF(AT60&lt;=40,"Pay attention in class discautions  to improve.",IF(AT60&lt;=60,"Gives up easily in dificulty and can't atempt the task.",IF(AT60&lt;=75,"What an outstandimg result. Keep up your good work.","Hard works pays, you came out with flying colours."))))</f>
        <v>What an outstandimg result. Keep up your good work.</v>
      </c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23"/>
      <c r="AM59" s="25"/>
      <c r="AN59" s="25"/>
      <c r="AO59" s="22"/>
    </row>
    <row r="60" spans="1:46">
      <c r="B60" s="76"/>
      <c r="C60" s="76"/>
      <c r="D60" s="76"/>
      <c r="E60" s="76"/>
      <c r="F60" s="76"/>
      <c r="G60" s="76"/>
      <c r="H60" s="76"/>
      <c r="I60" s="76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23"/>
      <c r="AM60" s="25"/>
      <c r="AN60" s="25"/>
      <c r="AO60" s="22"/>
      <c r="AT60" s="16">
        <f>AVERAGE(AT21,AT23,AT25,AT27,AT29,AT31,AT33,AT35,AT37,AT39,AT41,AT43,AT45,AT47,AT49,AT51,AT53,AT55)</f>
        <v>61.944444444444443</v>
      </c>
    </row>
    <row r="61" spans="1:46">
      <c r="B61" s="76" t="s">
        <v>47</v>
      </c>
      <c r="C61" s="76"/>
      <c r="D61" s="76"/>
      <c r="E61" s="76"/>
      <c r="F61" s="76"/>
      <c r="G61" s="76"/>
      <c r="H61" s="76"/>
      <c r="I61" s="76"/>
      <c r="J61" s="77" t="str">
        <f>IF(AT60="","",IF(AT60&lt;=40,"Pay closer attention to the class its beneficial.",IF(AT60&lt;=60,"Don't give up easily in difficulties. Put in more efforts",IF(AT60&lt;=75,"You came out with flying colours ", "What a wonderful result. You deserve a hand shake because of your good performance"))))</f>
        <v xml:space="preserve">You came out with flying colours </v>
      </c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23"/>
      <c r="AM61" s="25"/>
      <c r="AN61" s="25"/>
      <c r="AO61" s="22"/>
    </row>
    <row r="62" spans="1:46">
      <c r="B62" s="76"/>
      <c r="C62" s="76"/>
      <c r="D62" s="76"/>
      <c r="E62" s="76"/>
      <c r="F62" s="76"/>
      <c r="G62" s="76"/>
      <c r="H62" s="76"/>
      <c r="I62" s="76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23"/>
      <c r="AM62" s="25"/>
      <c r="AN62" s="25"/>
      <c r="AO62" s="22"/>
    </row>
    <row r="63" spans="1:46" ht="15.75" thickBot="1">
      <c r="AE63" s="19"/>
      <c r="AF63" s="19"/>
      <c r="AG63" s="19"/>
      <c r="AH63" s="19"/>
      <c r="AI63" s="19"/>
      <c r="AJ63" s="19"/>
      <c r="AK63" s="19"/>
      <c r="AL63" s="23"/>
      <c r="AM63" s="25"/>
      <c r="AN63" s="25"/>
      <c r="AO63" s="22"/>
    </row>
    <row r="64" spans="1:46" ht="18" thickBot="1">
      <c r="B64" s="73" t="s">
        <v>56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5"/>
      <c r="AL64" s="24"/>
      <c r="AM64" s="25"/>
      <c r="AN64" s="25"/>
      <c r="AO64" s="22"/>
    </row>
    <row r="65" spans="1:41" ht="15.75" thickBot="1">
      <c r="B65" s="20"/>
      <c r="AE65" s="18"/>
      <c r="AK65" s="21"/>
      <c r="AL65" s="23"/>
      <c r="AM65" s="25"/>
      <c r="AN65" s="25"/>
      <c r="AO65" s="22"/>
    </row>
    <row r="66" spans="1:41" ht="18" thickBot="1">
      <c r="B66" s="129" t="s">
        <v>48</v>
      </c>
      <c r="C66" s="129"/>
      <c r="D66" s="129"/>
      <c r="E66" s="129"/>
      <c r="F66" s="129"/>
      <c r="G66" s="119">
        <v>46003</v>
      </c>
      <c r="H66" s="119"/>
      <c r="I66" s="119"/>
      <c r="J66" s="119"/>
      <c r="L66" s="111" t="s">
        <v>49</v>
      </c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3"/>
      <c r="AE66" s="18"/>
      <c r="AK66" s="21"/>
      <c r="AL66" s="23"/>
      <c r="AM66" s="25"/>
      <c r="AN66" s="25"/>
      <c r="AO66" s="22"/>
    </row>
    <row r="67" spans="1:41" ht="18" thickBot="1">
      <c r="B67" s="123" t="s">
        <v>50</v>
      </c>
      <c r="C67" s="123"/>
      <c r="D67" s="123"/>
      <c r="E67" s="123"/>
      <c r="F67" s="123"/>
      <c r="G67" s="119">
        <v>46034</v>
      </c>
      <c r="H67" s="119"/>
      <c r="I67" s="119"/>
      <c r="J67" s="119"/>
      <c r="L67" s="111" t="s">
        <v>51</v>
      </c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3"/>
      <c r="AE67" s="18"/>
      <c r="AK67" s="21"/>
      <c r="AL67" s="23"/>
      <c r="AM67" s="25"/>
      <c r="AN67" s="25"/>
      <c r="AO67" s="22"/>
    </row>
    <row r="68" spans="1:41" ht="15" customHeight="1">
      <c r="B68" s="161" t="s">
        <v>75</v>
      </c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23"/>
      <c r="AM68" s="25"/>
      <c r="AN68" s="25"/>
      <c r="AO68" s="22"/>
    </row>
    <row r="69" spans="1:41"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23"/>
      <c r="AM69" s="25"/>
      <c r="AN69" s="25"/>
      <c r="AO69" s="22"/>
    </row>
    <row r="70" spans="1:41" ht="15.75" thickBot="1"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23"/>
      <c r="AM70" s="25"/>
      <c r="AN70" s="25"/>
      <c r="AO70" s="22"/>
    </row>
    <row r="71" spans="1:4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L71" s="23"/>
      <c r="AM71" s="25"/>
      <c r="AN71" s="25"/>
      <c r="AO71" s="22"/>
    </row>
    <row r="72" spans="1:41">
      <c r="A72" s="72" t="s">
        <v>53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</sheetData>
  <mergeCells count="180">
    <mergeCell ref="AC15:AK16"/>
    <mergeCell ref="J17:J20"/>
    <mergeCell ref="B21:H21"/>
    <mergeCell ref="B22:G22"/>
    <mergeCell ref="B30:G30"/>
    <mergeCell ref="X30:AA30"/>
    <mergeCell ref="Y31:AA31"/>
    <mergeCell ref="AC32:AG33"/>
    <mergeCell ref="B29:H29"/>
    <mergeCell ref="B31:H31"/>
    <mergeCell ref="B33:H33"/>
    <mergeCell ref="Y33:AA33"/>
    <mergeCell ref="X28:AA28"/>
    <mergeCell ref="B25:H25"/>
    <mergeCell ref="B27:H27"/>
    <mergeCell ref="AH28:AK28"/>
    <mergeCell ref="B68:AK70"/>
    <mergeCell ref="AK36:AK37"/>
    <mergeCell ref="AI30:AI31"/>
    <mergeCell ref="AI32:AI33"/>
    <mergeCell ref="AI34:AI35"/>
    <mergeCell ref="AI36:AI37"/>
    <mergeCell ref="B9:D9"/>
    <mergeCell ref="B10:D10"/>
    <mergeCell ref="Y11:Z11"/>
    <mergeCell ref="N12:S12"/>
    <mergeCell ref="AD9:AK9"/>
    <mergeCell ref="F10:J10"/>
    <mergeCell ref="AF10:AK10"/>
    <mergeCell ref="B11:I11"/>
    <mergeCell ref="B12:F12"/>
    <mergeCell ref="J12:M12"/>
    <mergeCell ref="AD11:AI11"/>
    <mergeCell ref="T12:X12"/>
    <mergeCell ref="F9:W9"/>
    <mergeCell ref="Y9:AC9"/>
    <mergeCell ref="S10:W10"/>
    <mergeCell ref="Y10:AE10"/>
    <mergeCell ref="K11:M11"/>
    <mergeCell ref="N11:S11"/>
    <mergeCell ref="B45:H45"/>
    <mergeCell ref="B43:H43"/>
    <mergeCell ref="AJ39:AJ40"/>
    <mergeCell ref="T11:W11"/>
    <mergeCell ref="AC12:AI12"/>
    <mergeCell ref="AL7:AO7"/>
    <mergeCell ref="AJ41:AJ42"/>
    <mergeCell ref="B66:F66"/>
    <mergeCell ref="AC34:AG35"/>
    <mergeCell ref="AC36:AG37"/>
    <mergeCell ref="AC28:AG29"/>
    <mergeCell ref="AC30:AG31"/>
    <mergeCell ref="AC18:AG19"/>
    <mergeCell ref="AJ34:AJ35"/>
    <mergeCell ref="AJ36:AJ37"/>
    <mergeCell ref="AC52:AK53"/>
    <mergeCell ref="B56:AK57"/>
    <mergeCell ref="Y51:AA51"/>
    <mergeCell ref="Y53:AA53"/>
    <mergeCell ref="B55:H55"/>
    <mergeCell ref="B53:H53"/>
    <mergeCell ref="B51:H51"/>
    <mergeCell ref="B49:H49"/>
    <mergeCell ref="Y55:AA55"/>
    <mergeCell ref="G67:J67"/>
    <mergeCell ref="G66:J66"/>
    <mergeCell ref="B46:G46"/>
    <mergeCell ref="X46:AA46"/>
    <mergeCell ref="AC46:AK46"/>
    <mergeCell ref="Y47:AA47"/>
    <mergeCell ref="AC47:AK47"/>
    <mergeCell ref="Y37:AA37"/>
    <mergeCell ref="B35:H35"/>
    <mergeCell ref="B67:F67"/>
    <mergeCell ref="L67:AB67"/>
    <mergeCell ref="AH34:AH35"/>
    <mergeCell ref="AH36:AH37"/>
    <mergeCell ref="AH39:AH40"/>
    <mergeCell ref="AH41:AH42"/>
    <mergeCell ref="B48:G48"/>
    <mergeCell ref="X48:AA48"/>
    <mergeCell ref="AC48:AK48"/>
    <mergeCell ref="B47:H47"/>
    <mergeCell ref="Y43:AA43"/>
    <mergeCell ref="B44:G44"/>
    <mergeCell ref="X44:AA44"/>
    <mergeCell ref="AC44:AG44"/>
    <mergeCell ref="AH44:AK44"/>
    <mergeCell ref="AK41:AK42"/>
    <mergeCell ref="AI39:AI40"/>
    <mergeCell ref="AI41:AI42"/>
    <mergeCell ref="L66:AB66"/>
    <mergeCell ref="Y49:AA49"/>
    <mergeCell ref="AC49:AK49"/>
    <mergeCell ref="B38:G38"/>
    <mergeCell ref="Y38:AA38"/>
    <mergeCell ref="AC38:AG38"/>
    <mergeCell ref="Y39:AA39"/>
    <mergeCell ref="B40:G40"/>
    <mergeCell ref="Y40:AA40"/>
    <mergeCell ref="Y41:AA41"/>
    <mergeCell ref="AC39:AG40"/>
    <mergeCell ref="B41:H41"/>
    <mergeCell ref="B39:H39"/>
    <mergeCell ref="B42:G42"/>
    <mergeCell ref="Y42:AA42"/>
    <mergeCell ref="B50:G50"/>
    <mergeCell ref="X50:AA50"/>
    <mergeCell ref="Y45:AA45"/>
    <mergeCell ref="AC45:AG45"/>
    <mergeCell ref="AH45:AK45"/>
    <mergeCell ref="AC41:AG42"/>
    <mergeCell ref="T17:T20"/>
    <mergeCell ref="V17:V20"/>
    <mergeCell ref="X17:X20"/>
    <mergeCell ref="AK39:AK40"/>
    <mergeCell ref="Y35:AA35"/>
    <mergeCell ref="B36:G36"/>
    <mergeCell ref="X36:AA36"/>
    <mergeCell ref="B37:H37"/>
    <mergeCell ref="B32:G32"/>
    <mergeCell ref="X32:AA32"/>
    <mergeCell ref="B34:G34"/>
    <mergeCell ref="Y34:AA34"/>
    <mergeCell ref="AC21:AG21"/>
    <mergeCell ref="AK34:AK35"/>
    <mergeCell ref="AJ32:AJ33"/>
    <mergeCell ref="AH30:AH31"/>
    <mergeCell ref="AH32:AH33"/>
    <mergeCell ref="AJ30:AJ31"/>
    <mergeCell ref="B17:H20"/>
    <mergeCell ref="I17:I20"/>
    <mergeCell ref="Y23:AA23"/>
    <mergeCell ref="AC23:AG23"/>
    <mergeCell ref="B24:G24"/>
    <mergeCell ref="Y29:AA29"/>
    <mergeCell ref="AK30:AK31"/>
    <mergeCell ref="AK32:AK33"/>
    <mergeCell ref="N10:R10"/>
    <mergeCell ref="Y12:AA12"/>
    <mergeCell ref="B13:L13"/>
    <mergeCell ref="M13:Z13"/>
    <mergeCell ref="B14:AA14"/>
    <mergeCell ref="AC22:AG22"/>
    <mergeCell ref="K17:K20"/>
    <mergeCell ref="Y17:AA20"/>
    <mergeCell ref="W17:W20"/>
    <mergeCell ref="U17:U20"/>
    <mergeCell ref="S17:S20"/>
    <mergeCell ref="R17:R20"/>
    <mergeCell ref="Q17:Q20"/>
    <mergeCell ref="P17:P20"/>
    <mergeCell ref="O17:O20"/>
    <mergeCell ref="N17:N20"/>
    <mergeCell ref="M17:M20"/>
    <mergeCell ref="L17:L20"/>
    <mergeCell ref="X24:AA24"/>
    <mergeCell ref="AC24:AG24"/>
    <mergeCell ref="AH18:AK18"/>
    <mergeCell ref="B15:AA16"/>
    <mergeCell ref="AC20:AG20"/>
    <mergeCell ref="Y21:AA21"/>
    <mergeCell ref="A1:AO6"/>
    <mergeCell ref="A72:AO72"/>
    <mergeCell ref="B64:AK64"/>
    <mergeCell ref="B61:I62"/>
    <mergeCell ref="J61:AK62"/>
    <mergeCell ref="B59:I60"/>
    <mergeCell ref="J59:AK60"/>
    <mergeCell ref="B58:AK58"/>
    <mergeCell ref="AM8:AN27"/>
    <mergeCell ref="B23:H23"/>
    <mergeCell ref="Y25:AA25"/>
    <mergeCell ref="AC25:AG25"/>
    <mergeCell ref="B26:G26"/>
    <mergeCell ref="X26:AA26"/>
    <mergeCell ref="AC26:AG26"/>
    <mergeCell ref="Y27:AA27"/>
    <mergeCell ref="B28:G28"/>
    <mergeCell ref="X22:AA22"/>
  </mergeCells>
  <pageMargins left="0.49" right="0.15" top="0.25" bottom="0.03" header="0.05" footer="0.02"/>
  <pageSetup paperSize="9" scale="66" orientation="portrait" r:id="rId1"/>
  <headerFooter>
    <oddHeader>&amp;CPrepared by GLOBIXTECH &amp;D&amp;RPage &amp;P</oddHeader>
  </headerFooter>
  <ignoredErrors>
    <ignoredError sqref="K28 K30 K32 K34 K36 K38 K40 K42 K44 K46 K48 K50 K52 K54" evalError="1"/>
  </ignoredErrors>
  <drawing r:id="rId2"/>
  <legacyDrawing r:id="rId3"/>
  <controls>
    <mc:AlternateContent xmlns:mc="http://schemas.openxmlformats.org/markup-compatibility/2006">
      <mc:Choice Requires="x14">
        <control shapeId="1041" r:id="rId4" name="CommandButton1">
          <controlPr defaultSize="0" autoLine="0" r:id="rId5">
            <anchor moveWithCells="1">
              <from>
                <xdr:col>29</xdr:col>
                <xdr:colOff>28575</xdr:colOff>
                <xdr:row>12</xdr:row>
                <xdr:rowOff>142875</xdr:rowOff>
              </from>
              <to>
                <xdr:col>35</xdr:col>
                <xdr:colOff>152400</xdr:colOff>
                <xdr:row>13</xdr:row>
                <xdr:rowOff>190500</xdr:rowOff>
              </to>
            </anchor>
          </controlPr>
        </control>
      </mc:Choice>
      <mc:Fallback>
        <control shapeId="1041" r:id="rId4" name="CommandButton1"/>
      </mc:Fallback>
    </mc:AlternateContent>
    <mc:AlternateContent xmlns:mc="http://schemas.openxmlformats.org/markup-compatibility/2006">
      <mc:Choice Requires="x14">
        <control shapeId="1044" r:id="rId6" name="Button 20">
          <controlPr defaultSize="0" print="0" autoFill="0" autoPict="0" macro="[0]!Button20_Click">
            <anchor moveWithCells="1" sizeWithCells="1">
              <from>
                <xdr:col>30</xdr:col>
                <xdr:colOff>19050</xdr:colOff>
                <xdr:row>4</xdr:row>
                <xdr:rowOff>133350</xdr:rowOff>
              </from>
              <to>
                <xdr:col>35</xdr:col>
                <xdr:colOff>9525</xdr:colOff>
                <xdr:row>5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2831E2-4F78-4571-AD83-7BEFE09BC00D}">
          <x14:formula1>
            <xm:f>Sheet1!$A$2:$A$48</xm:f>
          </x14:formula1>
          <xm:sqref>AD9:AK9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99D2-E7DA-4357-9B6A-12B713A377D2}">
  <sheetPr codeName="Sheet2"/>
  <dimension ref="A2:B48"/>
  <sheetViews>
    <sheetView workbookViewId="0">
      <selection activeCell="B2" sqref="B2"/>
    </sheetView>
  </sheetViews>
  <sheetFormatPr defaultRowHeight="15"/>
  <cols>
    <col min="1" max="1" width="21.42578125" customWidth="1"/>
    <col min="2" max="2" width="31.7109375" customWidth="1"/>
  </cols>
  <sheetData>
    <row r="2" spans="1:2">
      <c r="A2" t="s">
        <v>76</v>
      </c>
      <c r="B2" t="s">
        <v>77</v>
      </c>
    </row>
    <row r="3" spans="1:2">
      <c r="A3" t="s">
        <v>78</v>
      </c>
      <c r="B3" t="s">
        <v>79</v>
      </c>
    </row>
    <row r="4" spans="1:2">
      <c r="A4" t="s">
        <v>80</v>
      </c>
      <c r="B4" t="s">
        <v>81</v>
      </c>
    </row>
    <row r="5" spans="1:2">
      <c r="A5" t="s">
        <v>82</v>
      </c>
      <c r="B5" t="s">
        <v>83</v>
      </c>
    </row>
    <row r="6" spans="1:2">
      <c r="A6" t="s">
        <v>84</v>
      </c>
      <c r="B6" t="s">
        <v>85</v>
      </c>
    </row>
    <row r="7" spans="1:2">
      <c r="A7" t="s">
        <v>86</v>
      </c>
      <c r="B7" t="s">
        <v>87</v>
      </c>
    </row>
    <row r="8" spans="1:2">
      <c r="A8" t="s">
        <v>88</v>
      </c>
      <c r="B8" t="s">
        <v>89</v>
      </c>
    </row>
    <row r="9" spans="1:2">
      <c r="A9" t="s">
        <v>90</v>
      </c>
      <c r="B9" t="s">
        <v>91</v>
      </c>
    </row>
    <row r="10" spans="1:2">
      <c r="A10" t="s">
        <v>92</v>
      </c>
      <c r="B10" t="s">
        <v>93</v>
      </c>
    </row>
    <row r="11" spans="1:2">
      <c r="A11" t="s">
        <v>94</v>
      </c>
      <c r="B11" t="s">
        <v>95</v>
      </c>
    </row>
    <row r="12" spans="1:2">
      <c r="A12" t="s">
        <v>96</v>
      </c>
      <c r="B12" t="s">
        <v>97</v>
      </c>
    </row>
    <row r="13" spans="1:2">
      <c r="A13" t="s">
        <v>98</v>
      </c>
      <c r="B13" t="s">
        <v>99</v>
      </c>
    </row>
    <row r="14" spans="1:2">
      <c r="A14" t="s">
        <v>100</v>
      </c>
      <c r="B14" t="s">
        <v>101</v>
      </c>
    </row>
    <row r="15" spans="1:2">
      <c r="A15" t="s">
        <v>102</v>
      </c>
      <c r="B15" t="s">
        <v>103</v>
      </c>
    </row>
    <row r="16" spans="1:2">
      <c r="A16" t="s">
        <v>104</v>
      </c>
      <c r="B16" t="s">
        <v>105</v>
      </c>
    </row>
    <row r="17" spans="1:2">
      <c r="A17" t="s">
        <v>106</v>
      </c>
      <c r="B17" t="s">
        <v>107</v>
      </c>
    </row>
    <row r="18" spans="1:2">
      <c r="A18" t="s">
        <v>108</v>
      </c>
      <c r="B18" t="s">
        <v>109</v>
      </c>
    </row>
    <row r="19" spans="1:2">
      <c r="A19" t="s">
        <v>110</v>
      </c>
      <c r="B19" t="s">
        <v>111</v>
      </c>
    </row>
    <row r="20" spans="1:2">
      <c r="A20" t="s">
        <v>112</v>
      </c>
      <c r="B20" t="s">
        <v>113</v>
      </c>
    </row>
    <row r="21" spans="1:2">
      <c r="A21" t="s">
        <v>114</v>
      </c>
      <c r="B21" t="s">
        <v>115</v>
      </c>
    </row>
    <row r="22" spans="1:2">
      <c r="A22" t="s">
        <v>116</v>
      </c>
      <c r="B22" t="s">
        <v>117</v>
      </c>
    </row>
    <row r="23" spans="1:2">
      <c r="A23" t="s">
        <v>118</v>
      </c>
      <c r="B23" t="s">
        <v>119</v>
      </c>
    </row>
    <row r="24" spans="1:2">
      <c r="A24" t="s">
        <v>120</v>
      </c>
      <c r="B24" t="s">
        <v>121</v>
      </c>
    </row>
    <row r="25" spans="1:2">
      <c r="A25" t="s">
        <v>122</v>
      </c>
      <c r="B25" t="s">
        <v>123</v>
      </c>
    </row>
    <row r="26" spans="1:2">
      <c r="A26" t="s">
        <v>124</v>
      </c>
      <c r="B26" t="s">
        <v>125</v>
      </c>
    </row>
    <row r="27" spans="1:2">
      <c r="A27" t="s">
        <v>126</v>
      </c>
      <c r="B27" t="s">
        <v>127</v>
      </c>
    </row>
    <row r="28" spans="1:2">
      <c r="A28" t="s">
        <v>128</v>
      </c>
      <c r="B28" t="s">
        <v>129</v>
      </c>
    </row>
    <row r="29" spans="1:2">
      <c r="A29" t="s">
        <v>130</v>
      </c>
      <c r="B29" t="s">
        <v>131</v>
      </c>
    </row>
    <row r="30" spans="1:2">
      <c r="A30" t="s">
        <v>132</v>
      </c>
      <c r="B30" t="s">
        <v>133</v>
      </c>
    </row>
    <row r="31" spans="1:2">
      <c r="A31" t="s">
        <v>134</v>
      </c>
      <c r="B31" t="s">
        <v>135</v>
      </c>
    </row>
    <row r="32" spans="1:2">
      <c r="A32" t="s">
        <v>136</v>
      </c>
      <c r="B32" t="s">
        <v>137</v>
      </c>
    </row>
    <row r="33" spans="1:2">
      <c r="A33" t="s">
        <v>138</v>
      </c>
      <c r="B33" t="s">
        <v>139</v>
      </c>
    </row>
    <row r="34" spans="1:2">
      <c r="A34" t="s">
        <v>140</v>
      </c>
      <c r="B34" t="s">
        <v>141</v>
      </c>
    </row>
    <row r="35" spans="1:2">
      <c r="A35" t="s">
        <v>142</v>
      </c>
      <c r="B35" t="s">
        <v>143</v>
      </c>
    </row>
    <row r="36" spans="1:2">
      <c r="A36" t="s">
        <v>144</v>
      </c>
      <c r="B36" t="s">
        <v>145</v>
      </c>
    </row>
    <row r="37" spans="1:2">
      <c r="A37" t="s">
        <v>146</v>
      </c>
      <c r="B37" t="s">
        <v>147</v>
      </c>
    </row>
    <row r="38" spans="1:2">
      <c r="A38" t="s">
        <v>148</v>
      </c>
      <c r="B38" t="s">
        <v>149</v>
      </c>
    </row>
    <row r="39" spans="1:2">
      <c r="A39" t="s">
        <v>150</v>
      </c>
      <c r="B39" t="s">
        <v>151</v>
      </c>
    </row>
    <row r="40" spans="1:2">
      <c r="A40" t="s">
        <v>152</v>
      </c>
      <c r="B40" t="s">
        <v>153</v>
      </c>
    </row>
    <row r="41" spans="1:2">
      <c r="A41" t="s">
        <v>154</v>
      </c>
      <c r="B41" t="s">
        <v>155</v>
      </c>
    </row>
    <row r="42" spans="1:2">
      <c r="A42" t="s">
        <v>156</v>
      </c>
      <c r="B42" t="s">
        <v>157</v>
      </c>
    </row>
    <row r="43" spans="1:2">
      <c r="A43" t="s">
        <v>158</v>
      </c>
      <c r="B43" t="s">
        <v>159</v>
      </c>
    </row>
    <row r="44" spans="1:2">
      <c r="A44" t="s">
        <v>160</v>
      </c>
      <c r="B44" t="s">
        <v>161</v>
      </c>
    </row>
    <row r="45" spans="1:2">
      <c r="A45" t="s">
        <v>162</v>
      </c>
      <c r="B45" t="s">
        <v>163</v>
      </c>
    </row>
    <row r="46" spans="1:2">
      <c r="A46" t="s">
        <v>164</v>
      </c>
      <c r="B46" t="s">
        <v>165</v>
      </c>
    </row>
    <row r="47" spans="1:2">
      <c r="A47" t="s">
        <v>166</v>
      </c>
      <c r="B47" t="s">
        <v>167</v>
      </c>
    </row>
    <row r="48" spans="1:2">
      <c r="A48" t="s">
        <v>168</v>
      </c>
      <c r="B4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BONUS DOMINUS</dc:creator>
  <cp:lastModifiedBy>Birxy Anyaegbu</cp:lastModifiedBy>
  <cp:lastPrinted>2025-12-16T11:08:04Z</cp:lastPrinted>
  <dcterms:created xsi:type="dcterms:W3CDTF">2021-11-05T03:24:00Z</dcterms:created>
  <dcterms:modified xsi:type="dcterms:W3CDTF">2026-04-19T22:43:01Z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E717D18094C74E2BBB3EE47A4B7A4954</vt:lpwstr>
  </property>
  <property fmtid="{D5CDD505-2E9C-101B-9397-08002B2CF9AE}" pid="3" name="KSOProductBuildVer">
    <vt:lpwstr>1033-11.2.0.10463</vt:lpwstr>
  </property>
</Properties>
</file>