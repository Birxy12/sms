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rxy\sms\src\assets\"/>
    </mc:Choice>
  </mc:AlternateContent>
  <xr:revisionPtr revIDLastSave="0" documentId="8_{BEDE2665-7300-4F5A-8157-99F97F14D431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SS1" sheetId="9" r:id="rId1"/>
    <sheet name="Sheet1" sheetId="10" r:id="rId2"/>
  </sheets>
  <externalReferences>
    <externalReference r:id="rId3"/>
    <externalReference r:id="rId4"/>
    <externalReference r:id="rId5"/>
  </externalReferences>
  <calcPr calcId="181029"/>
</workbook>
</file>

<file path=xl/calcChain.xml><?xml version="1.0" encoding="utf-8"?>
<calcChain xmlns="http://schemas.openxmlformats.org/spreadsheetml/2006/main">
  <c r="Y30" i="9" l="1"/>
  <c r="W53" i="9"/>
  <c r="W51" i="9"/>
  <c r="W49" i="9"/>
  <c r="W47" i="9"/>
  <c r="W45" i="9"/>
  <c r="W43" i="9"/>
  <c r="W41" i="9"/>
  <c r="W36" i="9"/>
  <c r="W34" i="9"/>
  <c r="W32" i="9"/>
  <c r="W30" i="9"/>
  <c r="W28" i="9"/>
  <c r="W26" i="9"/>
  <c r="U53" i="9"/>
  <c r="U51" i="9"/>
  <c r="U49" i="9"/>
  <c r="U47" i="9"/>
  <c r="U45" i="9"/>
  <c r="U43" i="9"/>
  <c r="U41" i="9"/>
  <c r="U36" i="9"/>
  <c r="U34" i="9"/>
  <c r="U32" i="9"/>
  <c r="U30" i="9"/>
  <c r="U28" i="9"/>
  <c r="U26" i="9"/>
  <c r="S53" i="9"/>
  <c r="S51" i="9"/>
  <c r="S49" i="9"/>
  <c r="S47" i="9"/>
  <c r="S45" i="9"/>
  <c r="S43" i="9"/>
  <c r="S41" i="9"/>
  <c r="S36" i="9"/>
  <c r="S34" i="9"/>
  <c r="S32" i="9"/>
  <c r="S30" i="9"/>
  <c r="S28" i="9"/>
  <c r="S26" i="9"/>
  <c r="O53" i="9"/>
  <c r="O51" i="9"/>
  <c r="O49" i="9"/>
  <c r="O47" i="9"/>
  <c r="O45" i="9"/>
  <c r="O43" i="9"/>
  <c r="O41" i="9"/>
  <c r="O36" i="9"/>
  <c r="O34" i="9"/>
  <c r="O32" i="9"/>
  <c r="O30" i="9"/>
  <c r="O28" i="9"/>
  <c r="O26" i="9"/>
  <c r="M53" i="9"/>
  <c r="M51" i="9"/>
  <c r="M49" i="9"/>
  <c r="M47" i="9"/>
  <c r="M45" i="9"/>
  <c r="M43" i="9"/>
  <c r="M41" i="9"/>
  <c r="M36" i="9"/>
  <c r="M34" i="9"/>
  <c r="M32" i="9"/>
  <c r="M30" i="9"/>
  <c r="M28" i="9"/>
  <c r="M26" i="9"/>
  <c r="K53" i="9"/>
  <c r="K51" i="9"/>
  <c r="K49" i="9"/>
  <c r="K47" i="9"/>
  <c r="K45" i="9"/>
  <c r="K43" i="9"/>
  <c r="K41" i="9"/>
  <c r="K36" i="9"/>
  <c r="K34" i="9"/>
  <c r="K32" i="9"/>
  <c r="K30" i="9"/>
  <c r="K28" i="9"/>
  <c r="I53" i="9"/>
  <c r="I51" i="9"/>
  <c r="I49" i="9"/>
  <c r="I47" i="9"/>
  <c r="I45" i="9"/>
  <c r="I43" i="9"/>
  <c r="I41" i="9"/>
  <c r="I36" i="9"/>
  <c r="I34" i="9"/>
  <c r="AC49" i="9"/>
  <c r="S10" i="9" s="1"/>
  <c r="I32" i="9"/>
  <c r="I30" i="9"/>
  <c r="W24" i="9"/>
  <c r="U24" i="9"/>
  <c r="S24" i="9"/>
  <c r="O24" i="9"/>
  <c r="M24" i="9"/>
  <c r="K26" i="9"/>
  <c r="K24" i="9"/>
  <c r="I28" i="9"/>
  <c r="I26" i="9"/>
  <c r="I24" i="9"/>
  <c r="T11" i="9"/>
  <c r="AC10" i="9"/>
  <c r="H12" i="9"/>
  <c r="F10" i="9"/>
  <c r="F9" i="9"/>
  <c r="B51" i="9" l="1"/>
  <c r="B53" i="9"/>
  <c r="B49" i="9"/>
  <c r="B47" i="9"/>
  <c r="B45" i="9"/>
  <c r="B41" i="9"/>
  <c r="B30" i="9"/>
  <c r="B28" i="9"/>
  <c r="B26" i="9"/>
  <c r="B24" i="9"/>
  <c r="B36" i="9" l="1"/>
  <c r="B34" i="9"/>
  <c r="B32" i="9"/>
  <c r="B43" i="9" l="1"/>
  <c r="AT62" i="9" l="1"/>
  <c r="AT53" i="9" l="1"/>
  <c r="Y53" i="9" s="1"/>
  <c r="AT51" i="9"/>
  <c r="Y51" i="9" s="1"/>
  <c r="AT49" i="9"/>
  <c r="Y49" i="9" s="1"/>
  <c r="AT47" i="9"/>
  <c r="Y47" i="9" s="1"/>
  <c r="AT45" i="9"/>
  <c r="Y45" i="9" s="1"/>
  <c r="AT43" i="9"/>
  <c r="Y43" i="9" s="1"/>
  <c r="AT41" i="9"/>
  <c r="Y41" i="9" s="1"/>
  <c r="AT36" i="9"/>
  <c r="Y36" i="9" s="1"/>
  <c r="AT34" i="9"/>
  <c r="Y34" i="9" s="1"/>
  <c r="AT32" i="9"/>
  <c r="Y32" i="9" s="1"/>
  <c r="AT30" i="9"/>
  <c r="AT26" i="9"/>
  <c r="Y26" i="9" s="1"/>
  <c r="AT24" i="9"/>
  <c r="Y24" i="9" s="1"/>
  <c r="AT28" i="9"/>
  <c r="Y28" i="9" s="1"/>
  <c r="J63" i="9" l="1"/>
  <c r="J61" i="9"/>
  <c r="AC51" i="9"/>
  <c r="T12" i="9"/>
  <c r="Q47" i="9" l="1"/>
  <c r="Q49" i="9"/>
  <c r="Q51" i="9"/>
  <c r="Q53" i="9"/>
  <c r="Q45" i="9"/>
  <c r="Q43" i="9"/>
  <c r="Q41" i="9"/>
  <c r="Q36" i="9"/>
  <c r="Q34" i="9"/>
  <c r="Q32" i="9"/>
  <c r="Q30" i="9"/>
  <c r="Q28" i="9"/>
  <c r="Q26" i="9"/>
  <c r="Q24" i="9"/>
  <c r="AD56" i="9" l="1"/>
  <c r="AK56" i="9"/>
  <c r="AJ56" i="9"/>
  <c r="AI56" i="9"/>
  <c r="AH56" i="9"/>
  <c r="AG56" i="9"/>
  <c r="AF56" i="9"/>
  <c r="AE56" i="9"/>
</calcChain>
</file>

<file path=xl/sharedStrings.xml><?xml version="1.0" encoding="utf-8"?>
<sst xmlns="http://schemas.openxmlformats.org/spreadsheetml/2006/main" count="124" uniqueCount="112">
  <si>
    <t>NAME :</t>
  </si>
  <si>
    <t>REG NO:</t>
  </si>
  <si>
    <t>SEX :</t>
  </si>
  <si>
    <t>POSITION :</t>
  </si>
  <si>
    <t>CLASS POPULATION :</t>
  </si>
  <si>
    <t>CLASS:</t>
  </si>
  <si>
    <t>ACADEMIC PERFORMANCE</t>
  </si>
  <si>
    <t>SUBJECTS</t>
  </si>
  <si>
    <t>REMARKS</t>
  </si>
  <si>
    <t>BEHAVIOURS</t>
  </si>
  <si>
    <t>RATINGS</t>
  </si>
  <si>
    <t>ATTENTIVENESS</t>
  </si>
  <si>
    <t>√</t>
  </si>
  <si>
    <t>HONESTY</t>
  </si>
  <si>
    <t>NEATNESS</t>
  </si>
  <si>
    <t>POLITENESS</t>
  </si>
  <si>
    <t>PUNCTUALITY</t>
  </si>
  <si>
    <t>CONFIDENCE</t>
  </si>
  <si>
    <t>ATTITUDE</t>
  </si>
  <si>
    <t>SKILLS</t>
  </si>
  <si>
    <t>RATING</t>
  </si>
  <si>
    <t>LISTENING SKILLS</t>
  </si>
  <si>
    <t>READING SKILLS</t>
  </si>
  <si>
    <t>HOME WORK</t>
  </si>
  <si>
    <t>OUTDOOR GAMES</t>
  </si>
  <si>
    <t>VOCATIONAL SKILLS</t>
  </si>
  <si>
    <t>4=GOOD</t>
  </si>
  <si>
    <t>3=NORMAL</t>
  </si>
  <si>
    <t>2=FAIR</t>
  </si>
  <si>
    <t>1=FAIR</t>
  </si>
  <si>
    <t>TOTAL SCORE</t>
  </si>
  <si>
    <t>PASSED/FAILED</t>
  </si>
  <si>
    <t>TOTAL NUMBER OF GRADE</t>
  </si>
  <si>
    <t>GD</t>
  </si>
  <si>
    <t>A</t>
  </si>
  <si>
    <t>B1</t>
  </si>
  <si>
    <t>B2</t>
  </si>
  <si>
    <t>C4</t>
  </si>
  <si>
    <t>C5</t>
  </si>
  <si>
    <t>D</t>
  </si>
  <si>
    <t>E8</t>
  </si>
  <si>
    <t>F9</t>
  </si>
  <si>
    <t>PRINCIPAL'S COMMENT</t>
  </si>
  <si>
    <t>TEACHER'S COMMENT</t>
  </si>
  <si>
    <t>TERM ENDS:</t>
  </si>
  <si>
    <t>PRINCIPAL</t>
  </si>
  <si>
    <t>TERM BEGINS:</t>
  </si>
  <si>
    <t>MRS ETUZU UGOMA ANITA</t>
  </si>
  <si>
    <r>
      <rPr>
        <sz val="11"/>
        <color theme="1"/>
        <rFont val="Bahnschrift Condensed"/>
        <family val="2"/>
      </rPr>
      <t xml:space="preserve">POWERED BY GLOBIXTECH contact: </t>
    </r>
    <r>
      <rPr>
        <sz val="10"/>
        <color theme="1"/>
        <rFont val="Bahnschrift Condensed"/>
        <family val="2"/>
      </rPr>
      <t>globixtechinc@outlook.com</t>
    </r>
  </si>
  <si>
    <t>BEHAVIOUR
SECTION</t>
  </si>
  <si>
    <t>POSITION</t>
  </si>
  <si>
    <t>PRINCIPAL SECTION</t>
  </si>
  <si>
    <t>COMMENTRY SECTION</t>
  </si>
  <si>
    <t>R E S U L T S H E E T</t>
  </si>
  <si>
    <t>HAVE A BLESSED HOLIDAY. NOTE EDUCATION IS THE KEY TO SUCCESS</t>
  </si>
  <si>
    <t>GRADE</t>
  </si>
  <si>
    <t>PROMOTION STATUS</t>
  </si>
  <si>
    <t>AVERAGE %</t>
  </si>
  <si>
    <t>C.A(20)</t>
  </si>
  <si>
    <t>EXAM(60)</t>
  </si>
  <si>
    <t>TOTAL(100)</t>
  </si>
  <si>
    <t>C.A (20)</t>
  </si>
  <si>
    <t>CLUB</t>
  </si>
  <si>
    <t>DATE OF BIRTH</t>
  </si>
  <si>
    <t>HOUSE</t>
  </si>
  <si>
    <t>MIN.</t>
  </si>
  <si>
    <t>MAX.</t>
  </si>
  <si>
    <t>NOTE: THIS RESULT CONTAINS GENERAL STUDENT PERFORMANCE FOR A TERM</t>
  </si>
  <si>
    <t xml:space="preserve">The section above shows the core subjects offered in art class
</t>
  </si>
  <si>
    <t>The section above shows the ELECTIVES subjects offered in art class</t>
  </si>
  <si>
    <t>NILL</t>
  </si>
  <si>
    <t>No</t>
  </si>
  <si>
    <t>MERRY X-MAS,
 DON'T FORGET KNOWLEDGE IS POWER</t>
  </si>
  <si>
    <t>SS2 ART</t>
  </si>
  <si>
    <t>NILL MEANS STUDENT DON'T OFFER THE SUBLECT</t>
  </si>
  <si>
    <t>First Term Report Sheet for 2025/2026</t>
  </si>
  <si>
    <t>BDS/21/002</t>
  </si>
  <si>
    <t>ATHAN MERCY CHIJINDU</t>
  </si>
  <si>
    <t>BDS/21/007</t>
  </si>
  <si>
    <t>CHINEDU PROSPER CHIEMERIE</t>
  </si>
  <si>
    <t>BDS/21/019</t>
  </si>
  <si>
    <t>JOHN GOODLUCK NDUBUISI</t>
  </si>
  <si>
    <t>BDS/21/048</t>
  </si>
  <si>
    <t>SUNDAY ANYA</t>
  </si>
  <si>
    <t>BDS/21/051</t>
  </si>
  <si>
    <t>Nwaeze Rowland Ezenwa</t>
  </si>
  <si>
    <t>BDS/21/059</t>
  </si>
  <si>
    <t>OWULEZI CHINALU P</t>
  </si>
  <si>
    <t>BDS/21/061</t>
  </si>
  <si>
    <t xml:space="preserve">EKUMA BRIGHT </t>
  </si>
  <si>
    <t>BDS/21/063</t>
  </si>
  <si>
    <t>VINCENT KENNETH</t>
  </si>
  <si>
    <t>BDS/21/066</t>
  </si>
  <si>
    <t>ISAAC CHIDERA</t>
  </si>
  <si>
    <t>BDS/21/067</t>
  </si>
  <si>
    <t>IFEANYI KASARACHI</t>
  </si>
  <si>
    <t>BDS/21/069</t>
  </si>
  <si>
    <t>FAVOUR CHINEDU</t>
  </si>
  <si>
    <t>BDS/21/070</t>
  </si>
  <si>
    <t>CHIDIEBERE MIRACLE</t>
  </si>
  <si>
    <t>BDS/21/071</t>
  </si>
  <si>
    <t>OSONDU DAVID</t>
  </si>
  <si>
    <t>BDS/21/072</t>
  </si>
  <si>
    <t>IKECHUKWU GOODLUCK</t>
  </si>
  <si>
    <t>BDS/21/073</t>
  </si>
  <si>
    <t>EMEKA PHILIP EZE</t>
  </si>
  <si>
    <t>BDS/21/074</t>
  </si>
  <si>
    <t>COMEDY BEULLAH</t>
  </si>
  <si>
    <t>BDS/21/078</t>
  </si>
  <si>
    <t>MAJESTY EMMANUEL</t>
  </si>
  <si>
    <t>BDS/21/079</t>
  </si>
  <si>
    <t>SUNDAY BRIGHT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</si>
</sst>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7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Bahnschrift SemiLight"/>
      <family val="2"/>
    </font>
    <font>
      <sz val="10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Bahnschrift Condensed"/>
      <family val="2"/>
    </font>
    <font>
      <sz val="10"/>
      <color theme="1"/>
      <name val="Bahnschrift Condensed"/>
      <family val="2"/>
    </font>
    <font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i/>
      <sz val="13"/>
      <color theme="1"/>
      <name val="Calibri"/>
      <family val="2"/>
      <scheme val="minor"/>
    </font>
    <font>
      <b/>
      <i/>
      <sz val="13"/>
      <color theme="0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rgb="FF000000"/>
      <name val="Calibri"/>
      <family val="2"/>
    </font>
    <font>
      <sz val="13"/>
      <color theme="1"/>
      <name val="Bahnschrift"/>
      <family val="2"/>
    </font>
    <font>
      <b/>
      <sz val="13"/>
      <color theme="1"/>
      <name val="Bahnschrift"/>
      <family val="2"/>
    </font>
    <font>
      <b/>
      <sz val="11"/>
      <color theme="1"/>
      <name val="Book Antiqua"/>
      <family val="1"/>
    </font>
  </fonts>
  <fills count="1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5"/>
      </patternFill>
    </fill>
  </fills>
  <borders count="48">
    <border>
      <left/>
      <right/>
      <top/>
      <bottom/>
      <diagonal/>
    </border>
    <border>
      <left/>
      <right/>
      <top style="medium">
        <color rgb="FF00B0F0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ck">
        <color theme="8" tint="-0.499984740745262"/>
      </right>
      <top/>
      <bottom/>
      <diagonal/>
    </border>
    <border>
      <left/>
      <right/>
      <top/>
      <bottom style="medium">
        <color theme="1"/>
      </bottom>
      <diagonal/>
    </border>
    <border>
      <left style="mediumDashed">
        <color auto="1"/>
      </left>
      <right/>
      <top style="mediumDashed">
        <color auto="1"/>
      </top>
      <bottom style="mediumDashed">
        <color auto="1"/>
      </bottom>
      <diagonal/>
    </border>
    <border>
      <left/>
      <right/>
      <top style="mediumDashed">
        <color auto="1"/>
      </top>
      <bottom style="mediumDashed">
        <color auto="1"/>
      </bottom>
      <diagonal/>
    </border>
    <border>
      <left/>
      <right/>
      <top/>
      <bottom style="mediumDashed">
        <color auto="1"/>
      </bottom>
      <diagonal/>
    </border>
    <border>
      <left style="mediumDashed">
        <color auto="1"/>
      </left>
      <right/>
      <top/>
      <bottom/>
      <diagonal/>
    </border>
    <border>
      <left/>
      <right style="mediumDashed">
        <color auto="1"/>
      </right>
      <top style="mediumDashed">
        <color auto="1"/>
      </top>
      <bottom style="mediumDashed">
        <color auto="1"/>
      </bottom>
      <diagonal/>
    </border>
    <border>
      <left/>
      <right style="mediumDashed">
        <color auto="1"/>
      </right>
      <top/>
      <bottom/>
      <diagonal/>
    </border>
    <border>
      <left style="mediumDashed">
        <color auto="1"/>
      </left>
      <right/>
      <top style="thin">
        <color auto="1"/>
      </top>
      <bottom style="thin">
        <color auto="1"/>
      </bottom>
      <diagonal/>
    </border>
    <border>
      <left/>
      <right style="mediumDashed">
        <color auto="1"/>
      </right>
      <top/>
      <bottom style="mediumDashed">
        <color auto="1"/>
      </bottom>
      <diagonal/>
    </border>
    <border>
      <left style="mediumDashed">
        <color auto="1"/>
      </left>
      <right/>
      <top style="mediumDashed">
        <color auto="1"/>
      </top>
      <bottom/>
      <diagonal/>
    </border>
    <border>
      <left/>
      <right/>
      <top style="mediumDashed">
        <color auto="1"/>
      </top>
      <bottom/>
      <diagonal/>
    </border>
    <border>
      <left/>
      <right style="mediumDashed">
        <color auto="1"/>
      </right>
      <top style="mediumDashed">
        <color auto="1"/>
      </top>
      <bottom/>
      <diagonal/>
    </border>
    <border>
      <left style="mediumDashed">
        <color auto="1"/>
      </left>
      <right/>
      <top/>
      <bottom style="mediumDashed">
        <color auto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thick">
        <color theme="8" tint="-0.499984740745262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 style="medium">
        <color theme="1"/>
      </right>
      <top/>
      <bottom/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/>
      <bottom/>
      <diagonal/>
    </border>
    <border>
      <left style="medium">
        <color auto="1"/>
      </left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</borders>
  <cellStyleXfs count="6">
    <xf numFmtId="0" fontId="0" fillId="0" borderId="0"/>
    <xf numFmtId="0" fontId="7" fillId="4" borderId="0" applyNumberFormat="0" applyBorder="0" applyAlignment="0" applyProtection="0"/>
    <xf numFmtId="0" fontId="11" fillId="6" borderId="0" applyNumberFormat="0" applyBorder="0" applyAlignment="0" applyProtection="0"/>
    <xf numFmtId="0" fontId="11" fillId="3" borderId="0" applyNumberFormat="0" applyBorder="0" applyAlignment="0" applyProtection="0"/>
    <xf numFmtId="0" fontId="11" fillId="7" borderId="0" applyNumberFormat="0" applyBorder="0" applyAlignment="0" applyProtection="0"/>
    <xf numFmtId="0" fontId="2" fillId="13" borderId="0" applyNumberFormat="0" applyBorder="0" applyAlignment="0" applyProtection="0"/>
  </cellStyleXfs>
  <cellXfs count="225">
    <xf numFmtId="0" fontId="0" fillId="0" borderId="0" xfId="0"/>
    <xf numFmtId="0" fontId="6" fillId="0" borderId="0" xfId="0" applyFont="1"/>
    <xf numFmtId="0" fontId="6" fillId="2" borderId="1" xfId="0" applyFont="1" applyFill="1" applyBorder="1"/>
    <xf numFmtId="0" fontId="6" fillId="0" borderId="0" xfId="0" applyFont="1" applyAlignment="1">
      <alignment horizontal="left"/>
    </xf>
    <xf numFmtId="0" fontId="0" fillId="0" borderId="0" xfId="0" applyAlignment="1">
      <alignment vertical="center"/>
    </xf>
    <xf numFmtId="0" fontId="0" fillId="2" borderId="1" xfId="0" applyFill="1" applyBorder="1"/>
    <xf numFmtId="0" fontId="6" fillId="0" borderId="5" xfId="0" applyFont="1" applyBorder="1" applyAlignment="1">
      <alignment vertical="center"/>
    </xf>
    <xf numFmtId="0" fontId="0" fillId="0" borderId="5" xfId="0" applyBorder="1"/>
    <xf numFmtId="0" fontId="10" fillId="0" borderId="14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6" fillId="0" borderId="5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12" fillId="0" borderId="0" xfId="0" applyFont="1"/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0" fillId="0" borderId="3" xfId="0" applyBorder="1"/>
    <xf numFmtId="0" fontId="0" fillId="0" borderId="20" xfId="0" applyBorder="1"/>
    <xf numFmtId="0" fontId="0" fillId="0" borderId="23" xfId="0" applyBorder="1"/>
    <xf numFmtId="0" fontId="0" fillId="12" borderId="0" xfId="0" applyFill="1"/>
    <xf numFmtId="0" fontId="0" fillId="11" borderId="0" xfId="0" applyFill="1"/>
    <xf numFmtId="0" fontId="0" fillId="11" borderId="0" xfId="0" applyFill="1" applyAlignment="1">
      <alignment vertical="center"/>
    </xf>
    <xf numFmtId="0" fontId="0" fillId="9" borderId="0" xfId="0" applyFill="1" applyAlignment="1">
      <alignment vertical="center" textRotation="255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5" borderId="0" xfId="0" applyFont="1" applyFill="1"/>
    <xf numFmtId="0" fontId="0" fillId="5" borderId="0" xfId="0" applyFill="1"/>
    <xf numFmtId="0" fontId="12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6" fillId="5" borderId="0" xfId="0" applyFont="1" applyFill="1"/>
    <xf numFmtId="0" fontId="12" fillId="5" borderId="0" xfId="0" applyFont="1" applyFill="1" applyAlignment="1">
      <alignment horizontal="left"/>
    </xf>
    <xf numFmtId="0" fontId="0" fillId="5" borderId="0" xfId="0" applyFill="1" applyAlignment="1">
      <alignment horizontal="left"/>
    </xf>
    <xf numFmtId="0" fontId="12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 wrapText="1"/>
    </xf>
    <xf numFmtId="0" fontId="0" fillId="0" borderId="42" xfId="0" applyBorder="1" applyAlignment="1">
      <alignment vertical="center"/>
    </xf>
    <xf numFmtId="0" fontId="3" fillId="11" borderId="0" xfId="0" applyFont="1" applyFill="1" applyAlignment="1">
      <alignment vertical="center" wrapText="1"/>
    </xf>
    <xf numFmtId="0" fontId="0" fillId="11" borderId="0" xfId="0" applyFill="1" applyAlignment="1">
      <alignment vertical="center" wrapText="1"/>
    </xf>
    <xf numFmtId="0" fontId="0" fillId="11" borderId="20" xfId="0" applyFill="1" applyBorder="1" applyAlignment="1">
      <alignment vertical="center" wrapText="1"/>
    </xf>
    <xf numFmtId="0" fontId="0" fillId="8" borderId="47" xfId="0" applyFill="1" applyBorder="1" applyAlignment="1">
      <alignment horizontal="center" vertical="center"/>
    </xf>
    <xf numFmtId="0" fontId="21" fillId="4" borderId="0" xfId="1" applyFont="1" applyBorder="1"/>
    <xf numFmtId="0" fontId="21" fillId="4" borderId="0" xfId="1" applyFont="1" applyBorder="1" applyAlignment="1"/>
    <xf numFmtId="0" fontId="20" fillId="4" borderId="33" xfId="0" applyFont="1" applyFill="1" applyBorder="1"/>
    <xf numFmtId="0" fontId="21" fillId="4" borderId="0" xfId="1" applyFont="1" applyBorder="1" applyAlignment="1">
      <alignment vertical="center"/>
    </xf>
    <xf numFmtId="0" fontId="20" fillId="4" borderId="0" xfId="0" applyFont="1" applyFill="1"/>
    <xf numFmtId="0" fontId="6" fillId="3" borderId="47" xfId="3" applyFont="1" applyBorder="1" applyAlignment="1">
      <alignment horizontal="center" vertical="center"/>
    </xf>
    <xf numFmtId="0" fontId="6" fillId="8" borderId="47" xfId="0" applyFont="1" applyFill="1" applyBorder="1" applyAlignment="1">
      <alignment horizontal="center" vertical="center"/>
    </xf>
    <xf numFmtId="49" fontId="6" fillId="3" borderId="47" xfId="3" applyNumberFormat="1" applyFont="1" applyBorder="1" applyAlignment="1">
      <alignment horizontal="center" vertical="center"/>
    </xf>
    <xf numFmtId="0" fontId="24" fillId="6" borderId="0" xfId="2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7" borderId="0" xfId="4" applyFont="1" applyBorder="1" applyAlignment="1">
      <alignment horizontal="center" vertical="center"/>
    </xf>
    <xf numFmtId="0" fontId="24" fillId="6" borderId="17" xfId="2" applyFont="1" applyBorder="1" applyAlignment="1">
      <alignment horizontal="center" vertical="center"/>
    </xf>
    <xf numFmtId="0" fontId="24" fillId="0" borderId="17" xfId="0" applyFont="1" applyBorder="1" applyAlignment="1">
      <alignment horizontal="center" vertical="center"/>
    </xf>
    <xf numFmtId="0" fontId="24" fillId="6" borderId="31" xfId="2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7" borderId="0" xfId="0" applyFont="1" applyFill="1" applyAlignment="1">
      <alignment horizontal="center" vertical="center"/>
    </xf>
    <xf numFmtId="0" fontId="24" fillId="7" borderId="16" xfId="0" applyFont="1" applyFill="1" applyBorder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24" fillId="6" borderId="0" xfId="2" quotePrefix="1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18" fillId="5" borderId="31" xfId="0" applyFont="1" applyFill="1" applyBorder="1" applyAlignment="1">
      <alignment horizontal="center" vertical="center" wrapText="1"/>
    </xf>
    <xf numFmtId="0" fontId="18" fillId="5" borderId="31" xfId="0" applyFont="1" applyFill="1" applyBorder="1" applyAlignment="1">
      <alignment horizontal="center" vertical="center"/>
    </xf>
    <xf numFmtId="0" fontId="18" fillId="5" borderId="0" xfId="0" applyFont="1" applyFill="1" applyAlignment="1">
      <alignment horizontal="center" vertical="center"/>
    </xf>
    <xf numFmtId="0" fontId="22" fillId="5" borderId="0" xfId="0" applyFont="1" applyFill="1" applyAlignment="1">
      <alignment horizontal="center"/>
    </xf>
    <xf numFmtId="0" fontId="16" fillId="5" borderId="0" xfId="0" applyFont="1" applyFill="1" applyAlignment="1">
      <alignment horizontal="left"/>
    </xf>
    <xf numFmtId="0" fontId="16" fillId="5" borderId="7" xfId="0" applyFont="1" applyFill="1" applyBorder="1" applyAlignment="1">
      <alignment horizontal="center"/>
    </xf>
    <xf numFmtId="0" fontId="16" fillId="5" borderId="0" xfId="0" applyFont="1" applyFill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16" fillId="5" borderId="9" xfId="0" applyFont="1" applyFill="1" applyBorder="1" applyAlignment="1">
      <alignment horizontal="left"/>
    </xf>
    <xf numFmtId="0" fontId="0" fillId="5" borderId="9" xfId="0" applyFill="1" applyBorder="1" applyAlignment="1">
      <alignment horizontal="center"/>
    </xf>
    <xf numFmtId="0" fontId="17" fillId="3" borderId="30" xfId="3" applyFont="1" applyBorder="1" applyAlignment="1">
      <alignment horizontal="center" vertical="center" textRotation="45"/>
    </xf>
    <xf numFmtId="0" fontId="17" fillId="3" borderId="31" xfId="3" applyFont="1" applyBorder="1" applyAlignment="1">
      <alignment horizontal="center" vertical="center" textRotation="45"/>
    </xf>
    <xf numFmtId="0" fontId="17" fillId="3" borderId="33" xfId="3" applyFont="1" applyBorder="1" applyAlignment="1">
      <alignment horizontal="center" vertical="center" textRotation="45"/>
    </xf>
    <xf numFmtId="0" fontId="17" fillId="3" borderId="0" xfId="3" applyFont="1" applyBorder="1" applyAlignment="1">
      <alignment horizontal="center" vertical="center" textRotation="45"/>
    </xf>
    <xf numFmtId="0" fontId="17" fillId="3" borderId="34" xfId="3" applyFont="1" applyBorder="1" applyAlignment="1">
      <alignment horizontal="center" vertical="center" textRotation="45"/>
    </xf>
    <xf numFmtId="0" fontId="17" fillId="3" borderId="17" xfId="3" applyFont="1" applyBorder="1" applyAlignment="1">
      <alignment horizontal="center" vertical="center" textRotation="45"/>
    </xf>
    <xf numFmtId="0" fontId="16" fillId="6" borderId="39" xfId="2" applyFont="1" applyBorder="1" applyAlignment="1">
      <alignment horizontal="center" vertical="center" textRotation="90"/>
    </xf>
    <xf numFmtId="0" fontId="16" fillId="6" borderId="40" xfId="2" applyFont="1" applyBorder="1" applyAlignment="1">
      <alignment horizontal="center" vertical="center" textRotation="90"/>
    </xf>
    <xf numFmtId="0" fontId="16" fillId="6" borderId="38" xfId="2" applyFont="1" applyBorder="1" applyAlignment="1">
      <alignment horizontal="center" vertical="center" textRotation="90"/>
    </xf>
    <xf numFmtId="0" fontId="12" fillId="5" borderId="31" xfId="0" applyFont="1" applyFill="1" applyBorder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2" fillId="5" borderId="17" xfId="0" applyFont="1" applyFill="1" applyBorder="1" applyAlignment="1">
      <alignment horizontal="center" vertical="center"/>
    </xf>
    <xf numFmtId="0" fontId="20" fillId="3" borderId="33" xfId="3" applyFont="1" applyBorder="1" applyAlignment="1">
      <alignment horizontal="center"/>
    </xf>
    <xf numFmtId="0" fontId="20" fillId="3" borderId="0" xfId="3" applyFont="1" applyBorder="1" applyAlignment="1">
      <alignment horizontal="center"/>
    </xf>
    <xf numFmtId="0" fontId="20" fillId="3" borderId="30" xfId="3" applyFont="1" applyBorder="1" applyAlignment="1">
      <alignment horizontal="center"/>
    </xf>
    <xf numFmtId="0" fontId="20" fillId="3" borderId="31" xfId="3" applyFont="1" applyBorder="1" applyAlignment="1">
      <alignment horizontal="center"/>
    </xf>
    <xf numFmtId="0" fontId="21" fillId="4" borderId="33" xfId="1" applyFont="1" applyBorder="1" applyAlignment="1">
      <alignment horizontal="center"/>
    </xf>
    <xf numFmtId="0" fontId="21" fillId="4" borderId="0" xfId="1" applyFont="1" applyBorder="1" applyAlignment="1">
      <alignment horizontal="center"/>
    </xf>
    <xf numFmtId="0" fontId="24" fillId="7" borderId="0" xfId="4" applyFont="1" applyBorder="1" applyAlignment="1">
      <alignment horizontal="center" vertical="center"/>
    </xf>
    <xf numFmtId="0" fontId="24" fillId="7" borderId="16" xfId="4" applyFont="1" applyBorder="1" applyAlignment="1">
      <alignment horizontal="center" vertical="center"/>
    </xf>
    <xf numFmtId="0" fontId="9" fillId="0" borderId="6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25" fillId="6" borderId="0" xfId="2" applyFont="1" applyBorder="1" applyAlignment="1">
      <alignment horizontal="center" vertical="center"/>
    </xf>
    <xf numFmtId="0" fontId="25" fillId="6" borderId="16" xfId="2" applyFont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13" fillId="10" borderId="0" xfId="0" applyFont="1" applyFill="1" applyAlignment="1">
      <alignment horizontal="center"/>
    </xf>
    <xf numFmtId="0" fontId="22" fillId="0" borderId="18" xfId="0" applyFont="1" applyBorder="1" applyAlignment="1">
      <alignment horizontal="center" vertical="center"/>
    </xf>
    <xf numFmtId="0" fontId="22" fillId="0" borderId="19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19" fillId="5" borderId="26" xfId="0" applyFont="1" applyFill="1" applyBorder="1" applyAlignment="1">
      <alignment horizontal="center" vertical="center"/>
    </xf>
    <xf numFmtId="0" fontId="19" fillId="5" borderId="27" xfId="0" applyFont="1" applyFill="1" applyBorder="1" applyAlignment="1">
      <alignment horizontal="center" vertical="center"/>
    </xf>
    <xf numFmtId="0" fontId="19" fillId="5" borderId="28" xfId="0" applyFont="1" applyFill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3" xfId="0" applyFont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6" fillId="5" borderId="2" xfId="0" applyFont="1" applyFill="1" applyBorder="1" applyAlignment="1">
      <alignment horizont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21" fillId="4" borderId="33" xfId="1" applyFont="1" applyBorder="1" applyAlignment="1">
      <alignment horizontal="center" wrapText="1"/>
    </xf>
    <xf numFmtId="0" fontId="21" fillId="4" borderId="0" xfId="1" applyFont="1" applyBorder="1" applyAlignment="1">
      <alignment horizontal="center" wrapText="1"/>
    </xf>
    <xf numFmtId="0" fontId="20" fillId="5" borderId="9" xfId="0" applyFont="1" applyFill="1" applyBorder="1" applyAlignment="1">
      <alignment horizontal="center"/>
    </xf>
    <xf numFmtId="0" fontId="17" fillId="6" borderId="30" xfId="2" applyFont="1" applyBorder="1" applyAlignment="1">
      <alignment horizontal="center" vertical="center" textRotation="45"/>
    </xf>
    <xf numFmtId="0" fontId="17" fillId="6" borderId="31" xfId="2" applyFont="1" applyBorder="1" applyAlignment="1">
      <alignment horizontal="center" vertical="center" textRotation="45"/>
    </xf>
    <xf numFmtId="0" fontId="17" fillId="6" borderId="35" xfId="2" applyFont="1" applyBorder="1" applyAlignment="1">
      <alignment horizontal="center" vertical="center" textRotation="45"/>
    </xf>
    <xf numFmtId="0" fontId="17" fillId="6" borderId="33" xfId="2" applyFont="1" applyBorder="1" applyAlignment="1">
      <alignment horizontal="center" vertical="center" textRotation="45"/>
    </xf>
    <xf numFmtId="0" fontId="17" fillId="6" borderId="0" xfId="2" applyFont="1" applyBorder="1" applyAlignment="1">
      <alignment horizontal="center" vertical="center" textRotation="45"/>
    </xf>
    <xf numFmtId="0" fontId="17" fillId="6" borderId="36" xfId="2" applyFont="1" applyBorder="1" applyAlignment="1">
      <alignment horizontal="center" vertical="center" textRotation="45"/>
    </xf>
    <xf numFmtId="0" fontId="17" fillId="6" borderId="34" xfId="2" applyFont="1" applyBorder="1" applyAlignment="1">
      <alignment horizontal="center" vertical="center" textRotation="45"/>
    </xf>
    <xf numFmtId="0" fontId="17" fillId="6" borderId="17" xfId="2" applyFont="1" applyBorder="1" applyAlignment="1">
      <alignment horizontal="center" vertical="center" textRotation="45"/>
    </xf>
    <xf numFmtId="0" fontId="17" fillId="6" borderId="37" xfId="2" applyFont="1" applyBorder="1" applyAlignment="1">
      <alignment horizontal="center" vertical="center" textRotation="45"/>
    </xf>
    <xf numFmtId="0" fontId="9" fillId="0" borderId="11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18" fillId="11" borderId="31" xfId="5" applyFont="1" applyFill="1" applyBorder="1" applyAlignment="1">
      <alignment horizontal="center" vertical="center" wrapText="1"/>
    </xf>
    <xf numFmtId="0" fontId="18" fillId="11" borderId="0" xfId="5" applyFont="1" applyFill="1" applyBorder="1" applyAlignment="1">
      <alignment horizontal="center" vertical="center" wrapText="1"/>
    </xf>
    <xf numFmtId="0" fontId="18" fillId="11" borderId="17" xfId="5" applyFont="1" applyFill="1" applyBorder="1" applyAlignment="1">
      <alignment horizontal="center" vertical="center" wrapText="1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4" xfId="0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6" fillId="0" borderId="11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14" fontId="6" fillId="0" borderId="6" xfId="0" applyNumberFormat="1" applyFont="1" applyBorder="1" applyAlignment="1">
      <alignment horizontal="center"/>
    </xf>
    <xf numFmtId="14" fontId="6" fillId="0" borderId="7" xfId="0" applyNumberFormat="1" applyFont="1" applyBorder="1" applyAlignment="1">
      <alignment horizontal="center"/>
    </xf>
    <xf numFmtId="14" fontId="6" fillId="0" borderId="8" xfId="0" applyNumberFormat="1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2" fillId="0" borderId="7" xfId="0" applyFont="1" applyBorder="1" applyAlignment="1">
      <alignment horizontal="center"/>
    </xf>
    <xf numFmtId="0" fontId="22" fillId="0" borderId="8" xfId="0" applyFont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6" fillId="0" borderId="24" xfId="0" applyFont="1" applyBorder="1" applyAlignment="1">
      <alignment horizontal="center" wrapText="1"/>
    </xf>
    <xf numFmtId="0" fontId="6" fillId="0" borderId="7" xfId="0" applyFont="1" applyBorder="1" applyAlignment="1">
      <alignment horizontal="center" wrapText="1"/>
    </xf>
    <xf numFmtId="0" fontId="6" fillId="0" borderId="8" xfId="0" applyFont="1" applyBorder="1" applyAlignment="1">
      <alignment horizontal="center" wrapText="1"/>
    </xf>
    <xf numFmtId="0" fontId="25" fillId="6" borderId="0" xfId="0" applyFont="1" applyFill="1" applyAlignment="1">
      <alignment horizontal="center" vertical="center"/>
    </xf>
    <xf numFmtId="0" fontId="25" fillId="6" borderId="16" xfId="0" applyFont="1" applyFill="1" applyBorder="1" applyAlignment="1">
      <alignment horizontal="center" vertical="center"/>
    </xf>
    <xf numFmtId="0" fontId="20" fillId="5" borderId="34" xfId="0" applyFont="1" applyFill="1" applyBorder="1" applyAlignment="1">
      <alignment horizontal="center" vertical="center"/>
    </xf>
    <xf numFmtId="0" fontId="20" fillId="5" borderId="17" xfId="0" applyFont="1" applyFill="1" applyBorder="1" applyAlignment="1">
      <alignment horizontal="center" vertical="center"/>
    </xf>
    <xf numFmtId="0" fontId="6" fillId="8" borderId="33" xfId="0" applyFont="1" applyFill="1" applyBorder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0" fontId="6" fillId="8" borderId="36" xfId="0" applyFont="1" applyFill="1" applyBorder="1" applyAlignment="1">
      <alignment horizontal="center" vertical="center"/>
    </xf>
    <xf numFmtId="0" fontId="6" fillId="8" borderId="34" xfId="0" applyFont="1" applyFill="1" applyBorder="1" applyAlignment="1">
      <alignment horizontal="center" vertical="center"/>
    </xf>
    <xf numFmtId="0" fontId="6" fillId="8" borderId="17" xfId="0" applyFont="1" applyFill="1" applyBorder="1" applyAlignment="1">
      <alignment horizontal="center" vertical="center"/>
    </xf>
    <xf numFmtId="0" fontId="6" fillId="8" borderId="37" xfId="0" applyFont="1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0" fontId="12" fillId="5" borderId="0" xfId="0" applyFont="1" applyFill="1" applyAlignment="1">
      <alignment horizontal="left"/>
    </xf>
    <xf numFmtId="0" fontId="15" fillId="5" borderId="0" xfId="0" applyFont="1" applyFill="1" applyAlignment="1">
      <alignment horizontal="center"/>
    </xf>
    <xf numFmtId="0" fontId="6" fillId="9" borderId="6" xfId="0" applyFont="1" applyFill="1" applyBorder="1" applyAlignment="1">
      <alignment horizontal="center"/>
    </xf>
    <xf numFmtId="0" fontId="6" fillId="9" borderId="7" xfId="0" applyFont="1" applyFill="1" applyBorder="1" applyAlignment="1">
      <alignment horizontal="center"/>
    </xf>
    <xf numFmtId="0" fontId="6" fillId="9" borderId="8" xfId="0" applyFont="1" applyFill="1" applyBorder="1" applyAlignment="1">
      <alignment horizontal="center"/>
    </xf>
    <xf numFmtId="0" fontId="5" fillId="5" borderId="0" xfId="0" applyFont="1" applyFill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12" fillId="5" borderId="9" xfId="0" applyFont="1" applyFill="1" applyBorder="1" applyAlignment="1">
      <alignment horizontal="center" vertical="center"/>
    </xf>
    <xf numFmtId="0" fontId="12" fillId="5" borderId="13" xfId="0" applyFont="1" applyFill="1" applyBorder="1" applyAlignment="1">
      <alignment horizontal="center" vertical="center"/>
    </xf>
    <xf numFmtId="0" fontId="12" fillId="5" borderId="3" xfId="0" applyFont="1" applyFill="1" applyBorder="1" applyAlignment="1">
      <alignment horizontal="center" vertical="center"/>
    </xf>
    <xf numFmtId="0" fontId="12" fillId="5" borderId="10" xfId="0" applyFont="1" applyFill="1" applyBorder="1" applyAlignment="1">
      <alignment horizontal="center" vertical="center"/>
    </xf>
    <xf numFmtId="0" fontId="22" fillId="5" borderId="2" xfId="0" applyFont="1" applyFill="1" applyBorder="1" applyAlignment="1">
      <alignment horizontal="center"/>
    </xf>
    <xf numFmtId="165" fontId="16" fillId="5" borderId="2" xfId="0" applyNumberFormat="1" applyFont="1" applyFill="1" applyBorder="1" applyAlignment="1">
      <alignment horizontal="center"/>
    </xf>
    <xf numFmtId="14" fontId="16" fillId="5" borderId="7" xfId="0" applyNumberFormat="1" applyFont="1" applyFill="1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6" xfId="0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4" fillId="9" borderId="0" xfId="0" applyFont="1" applyFill="1" applyAlignment="1">
      <alignment horizontal="center" vertical="center" textRotation="255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1" fillId="11" borderId="0" xfId="0" applyFont="1" applyFill="1" applyAlignment="1">
      <alignment horizontal="center" vertical="center" wrapText="1"/>
    </xf>
    <xf numFmtId="0" fontId="1" fillId="11" borderId="20" xfId="0" applyFont="1" applyFill="1" applyBorder="1" applyAlignment="1">
      <alignment horizontal="center" vertical="center" wrapText="1"/>
    </xf>
    <xf numFmtId="0" fontId="26" fillId="0" borderId="11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2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25" fillId="6" borderId="17" xfId="2" applyFont="1" applyBorder="1" applyAlignment="1">
      <alignment horizontal="center" vertical="center"/>
    </xf>
    <xf numFmtId="0" fontId="25" fillId="6" borderId="37" xfId="2" applyFont="1" applyBorder="1" applyAlignment="1">
      <alignment horizontal="center" vertical="center"/>
    </xf>
    <xf numFmtId="0" fontId="20" fillId="3" borderId="34" xfId="3" applyFont="1" applyBorder="1" applyAlignment="1">
      <alignment horizontal="center"/>
    </xf>
    <xf numFmtId="0" fontId="20" fillId="3" borderId="17" xfId="3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25" fillId="6" borderId="31" xfId="2" applyFont="1" applyBorder="1" applyAlignment="1">
      <alignment horizontal="center" vertical="center"/>
    </xf>
    <xf numFmtId="0" fontId="25" fillId="6" borderId="32" xfId="2" applyFont="1" applyBorder="1" applyAlignment="1">
      <alignment horizontal="center" vertical="center"/>
    </xf>
  </cellXfs>
  <cellStyles count="6">
    <cellStyle name="20% - Accent2" xfId="2" builtinId="34"/>
    <cellStyle name="20% - Accent3" xfId="3" builtinId="38"/>
    <cellStyle name="40% - Accent2" xfId="5" builtinId="35"/>
    <cellStyle name="40% - Accent5" xfId="4" builtinId="47"/>
    <cellStyle name="60% - Accent1" xfId="1" builtinId="32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jpeg"/><Relationship Id="rId4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60369</xdr:colOff>
      <xdr:row>65</xdr:row>
      <xdr:rowOff>219007</xdr:rowOff>
    </xdr:from>
    <xdr:to>
      <xdr:col>37</xdr:col>
      <xdr:colOff>13606</xdr:colOff>
      <xdr:row>70</xdr:row>
      <xdr:rowOff>188644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4851" y="14520114"/>
          <a:ext cx="1769791" cy="990173"/>
        </a:xfrm>
        <a:prstGeom prst="rect">
          <a:avLst/>
        </a:prstGeom>
      </xdr:spPr>
    </xdr:pic>
    <xdr:clientData/>
  </xdr:twoCellAnchor>
  <xdr:twoCellAnchor editAs="oneCell">
    <xdr:from>
      <xdr:col>38</xdr:col>
      <xdr:colOff>31421</xdr:colOff>
      <xdr:row>30</xdr:row>
      <xdr:rowOff>40264</xdr:rowOff>
    </xdr:from>
    <xdr:to>
      <xdr:col>41</xdr:col>
      <xdr:colOff>151190</xdr:colOff>
      <xdr:row>52</xdr:row>
      <xdr:rowOff>3659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6820611" y="8241043"/>
          <a:ext cx="4650795" cy="655550"/>
        </a:xfrm>
        <a:prstGeom prst="rect">
          <a:avLst/>
        </a:prstGeom>
      </xdr:spPr>
    </xdr:pic>
    <xdr:clientData/>
  </xdr:twoCellAnchor>
  <xdr:twoCellAnchor>
    <xdr:from>
      <xdr:col>1</xdr:col>
      <xdr:colOff>103585</xdr:colOff>
      <xdr:row>0</xdr:row>
      <xdr:rowOff>0</xdr:rowOff>
    </xdr:from>
    <xdr:to>
      <xdr:col>42</xdr:col>
      <xdr:colOff>59533</xdr:colOff>
      <xdr:row>5</xdr:row>
      <xdr:rowOff>47625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71476" y="0"/>
          <a:ext cx="9135666" cy="1000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BONUS DOMINUS NURSERY,</a:t>
          </a:r>
          <a:r>
            <a:rPr lang="en-US" sz="1600" b="1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PRIMARY </a:t>
          </a:r>
          <a:endParaRPr lang="en-US" sz="1600">
            <a:effectLst/>
          </a:endParaRPr>
        </a:p>
        <a:p>
          <a:pPr algn="ctr"/>
          <a:r>
            <a:rPr lang="en-US" sz="1600" b="1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&amp; SECONDARY SCHOOL</a:t>
          </a:r>
          <a:endParaRPr lang="en-US" sz="1600">
            <a:effectLst/>
          </a:endParaRPr>
        </a:p>
        <a:p>
          <a:pPr algn="ctr"/>
          <a:r>
            <a:rPr lang="en-US" sz="1100" b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okman Old Style" panose="02050604050505020204" pitchFamily="18" charset="0"/>
              <a:ea typeface="+mn-ea"/>
              <a:cs typeface="+mn-cs"/>
            </a:rPr>
            <a:t>5A - 5C UZOANYA CRESCENT, AMUZUKWU, UMUAHIA,</a:t>
          </a:r>
        </a:p>
        <a:p>
          <a:pPr algn="ctr"/>
          <a:r>
            <a:rPr lang="en-US" sz="1100" b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okman Old Style" panose="02050604050505020204" pitchFamily="18" charset="0"/>
              <a:ea typeface="+mn-ea"/>
              <a:cs typeface="+mn-cs"/>
            </a:rPr>
            <a:t> ABIA STATE </a:t>
          </a:r>
          <a:endParaRPr lang="en-US" sz="1100" b="0">
            <a:effectLst/>
            <a:latin typeface="Bookman Old Style" panose="02050604050505020204" pitchFamily="18" charset="0"/>
          </a:endParaRPr>
        </a:p>
        <a:p>
          <a:pPr algn="ctr"/>
          <a:endParaRPr lang="en-US" sz="1100" b="0">
            <a:latin typeface="Bookman Old Style" panose="02050604050505020204" pitchFamily="18" charset="0"/>
          </a:endParaRPr>
        </a:p>
      </xdr:txBody>
    </xdr:sp>
    <xdr:clientData/>
  </xdr:twoCellAnchor>
  <xdr:twoCellAnchor editAs="oneCell">
    <xdr:from>
      <xdr:col>35</xdr:col>
      <xdr:colOff>189203</xdr:colOff>
      <xdr:row>0</xdr:row>
      <xdr:rowOff>42393</xdr:rowOff>
    </xdr:from>
    <xdr:to>
      <xdr:col>40</xdr:col>
      <xdr:colOff>175789</xdr:colOff>
      <xdr:row>4</xdr:row>
      <xdr:rowOff>120102</xdr:rowOff>
    </xdr:to>
    <xdr:pic>
      <xdr:nvPicPr>
        <xdr:cNvPr id="13" name="Picture 12" descr="Cabeça O Boneco &lt;strong&gt;Avatar&lt;/strong&gt; · Imagens grátis no Pixabay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62844" y="42393"/>
          <a:ext cx="903368" cy="839709"/>
        </a:xfrm>
        <a:prstGeom prst="rect">
          <a:avLst/>
        </a:prstGeom>
      </xdr:spPr>
    </xdr:pic>
    <xdr:clientData/>
  </xdr:twoCellAnchor>
  <xdr:twoCellAnchor editAs="oneCell">
    <xdr:from>
      <xdr:col>0</xdr:col>
      <xdr:colOff>92000</xdr:colOff>
      <xdr:row>0</xdr:row>
      <xdr:rowOff>83344</xdr:rowOff>
    </xdr:from>
    <xdr:to>
      <xdr:col>5</xdr:col>
      <xdr:colOff>144136</xdr:colOff>
      <xdr:row>5</xdr:row>
      <xdr:rowOff>162415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000" y="83344"/>
          <a:ext cx="1052622" cy="1017139"/>
        </a:xfrm>
        <a:prstGeom prst="rect">
          <a:avLst/>
        </a:prstGeom>
      </xdr:spPr>
    </xdr:pic>
    <xdr:clientData/>
  </xdr:twoCellAnchor>
  <xdr:twoCellAnchor>
    <xdr:from>
      <xdr:col>1</xdr:col>
      <xdr:colOff>134260</xdr:colOff>
      <xdr:row>56</xdr:row>
      <xdr:rowOff>97520</xdr:rowOff>
    </xdr:from>
    <xdr:to>
      <xdr:col>27</xdr:col>
      <xdr:colOff>183174</xdr:colOff>
      <xdr:row>58</xdr:row>
      <xdr:rowOff>721340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398029" y="11337020"/>
          <a:ext cx="6511260" cy="10048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C.A 1 is continous assessment of 20marks.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C.A 2 is continous assessment of 20marks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Examinations of 60marks total score .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Total of 100marks is the sum of C.A 1, C.A 2 and Exams.                                </a:t>
          </a:r>
          <a:endParaRPr lang="en-US">
            <a:effectLst/>
          </a:endParaRPr>
        </a:p>
        <a:p>
          <a:pPr algn="ctr"/>
          <a:r>
            <a:rPr lang="en-U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Min. stands for lowest class mark per subject, Max. stands for highest class mark per subject and Postion is the grade performance compared to the whole class. A photocopy of this result is to be submitted to your form teacher for school database and verification.                                </a:t>
          </a:r>
          <a:endParaRPr lang="en-US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95250</xdr:colOff>
          <xdr:row>12</xdr:row>
          <xdr:rowOff>95250</xdr:rowOff>
        </xdr:from>
        <xdr:to>
          <xdr:col>33</xdr:col>
          <xdr:colOff>180975</xdr:colOff>
          <xdr:row>13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Other%20computers\My%20Computer\OneDrive\Documents\20252026\SS%202%20MAIN%20RESULT\SS%202%20ART.xlsx" TargetMode="External"/><Relationship Id="rId1" Type="http://schemas.openxmlformats.org/officeDocument/2006/relationships/externalLinkPath" Target="file:///E:\20252026\SS%202%20MAIN%20RESULT\SS%202%20ART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Other%20computers\My%20Computer\OneDrive\Documents\20222023\SECOND%20TERM\SS%202%20MAIN%20RESULT%20second%20term\SS2%20art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Other%20computers\My%20Computer\OneDrive\Documents\20222023\SS%203%20MAIN%20RESULT%20second%20term%20-%20Copy\SS%202%20correct%20RESULT%20SCIENC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sic Data Entry Sheet (2)"/>
      <sheetName val="Basic Data Entry Sheet"/>
      <sheetName val="Marksheet"/>
      <sheetName val="student sheet"/>
      <sheetName val="student sheet T1"/>
      <sheetName val="Marksheet T1"/>
      <sheetName val="student sheet T2"/>
      <sheetName val="Basic Data Entry Sheet T2"/>
      <sheetName val="Marksheet T2"/>
      <sheetName val="POSITION"/>
      <sheetName val="Basic Data Entry Sheet T1"/>
      <sheetName val="student details"/>
      <sheetName val="Sheet1"/>
      <sheetName val="Sheet3"/>
    </sheetNames>
    <sheetDataSet>
      <sheetData sheetId="0"/>
      <sheetData sheetId="1"/>
      <sheetData sheetId="2"/>
      <sheetData sheetId="3"/>
      <sheetData sheetId="4"/>
      <sheetData sheetId="5">
        <row r="11">
          <cell r="A11" t="str">
            <v>BDS/21/002</v>
          </cell>
          <cell r="B11" t="str">
            <v>ATHAN MERCY CHIJINDU</v>
          </cell>
          <cell r="C11" t="str">
            <v>FEMALE</v>
          </cell>
          <cell r="D11" t="str">
            <v>27/06/2011</v>
          </cell>
          <cell r="E11" t="str">
            <v>DRAMA</v>
          </cell>
          <cell r="F11">
            <v>15</v>
          </cell>
          <cell r="G11">
            <v>15</v>
          </cell>
          <cell r="H11">
            <v>50</v>
          </cell>
          <cell r="I11">
            <v>80</v>
          </cell>
          <cell r="J11">
            <v>80</v>
          </cell>
          <cell r="K11" t="str">
            <v>A</v>
          </cell>
          <cell r="L11">
            <v>0</v>
          </cell>
          <cell r="M11">
            <v>20</v>
          </cell>
          <cell r="N11">
            <v>9</v>
          </cell>
          <cell r="O11" t="str">
            <v/>
          </cell>
          <cell r="P11" t="str">
            <v/>
          </cell>
          <cell r="Q11" t="str">
            <v/>
          </cell>
          <cell r="R11">
            <v>19</v>
          </cell>
          <cell r="S11">
            <v>20</v>
          </cell>
          <cell r="T11">
            <v>45</v>
          </cell>
          <cell r="U11">
            <v>84</v>
          </cell>
          <cell r="V11">
            <v>84</v>
          </cell>
          <cell r="W11" t="str">
            <v>A</v>
          </cell>
          <cell r="X11">
            <v>20</v>
          </cell>
          <cell r="Y11">
            <v>20</v>
          </cell>
          <cell r="Z11">
            <v>50</v>
          </cell>
          <cell r="AA11">
            <v>90</v>
          </cell>
          <cell r="AB11">
            <v>90</v>
          </cell>
          <cell r="AC11" t="str">
            <v>A</v>
          </cell>
          <cell r="AD11">
            <v>15</v>
          </cell>
          <cell r="AE11">
            <v>20</v>
          </cell>
          <cell r="AF11">
            <v>25</v>
          </cell>
          <cell r="AG11">
            <v>60</v>
          </cell>
          <cell r="AH11">
            <v>60</v>
          </cell>
          <cell r="AI11" t="str">
            <v>A</v>
          </cell>
          <cell r="AJ11">
            <v>20</v>
          </cell>
          <cell r="AK11">
            <v>20</v>
          </cell>
          <cell r="AL11">
            <v>55</v>
          </cell>
          <cell r="AM11">
            <v>95</v>
          </cell>
          <cell r="AN11">
            <v>95</v>
          </cell>
          <cell r="AO11" t="str">
            <v>A</v>
          </cell>
          <cell r="AP11">
            <v>18</v>
          </cell>
          <cell r="AQ11">
            <v>10</v>
          </cell>
          <cell r="AR11">
            <v>44</v>
          </cell>
          <cell r="AS11">
            <v>72</v>
          </cell>
          <cell r="AT11">
            <v>72</v>
          </cell>
          <cell r="AU11" t="str">
            <v>A</v>
          </cell>
          <cell r="AV11">
            <v>10</v>
          </cell>
          <cell r="AW11">
            <v>17</v>
          </cell>
          <cell r="AX11">
            <v>25</v>
          </cell>
          <cell r="AY11">
            <v>52</v>
          </cell>
          <cell r="AZ11">
            <v>52</v>
          </cell>
          <cell r="BA11" t="str">
            <v>A</v>
          </cell>
          <cell r="BB11">
            <v>8</v>
          </cell>
          <cell r="BC11">
            <v>8</v>
          </cell>
          <cell r="BD11">
            <v>25</v>
          </cell>
          <cell r="BE11">
            <v>41</v>
          </cell>
          <cell r="BF11">
            <v>41</v>
          </cell>
          <cell r="BG11" t="str">
            <v>A</v>
          </cell>
          <cell r="BH11">
            <v>13</v>
          </cell>
          <cell r="BI11">
            <v>20</v>
          </cell>
          <cell r="BJ11">
            <v>46</v>
          </cell>
          <cell r="BK11">
            <v>79</v>
          </cell>
          <cell r="BL11">
            <v>79</v>
          </cell>
          <cell r="BM11" t="str">
            <v>A</v>
          </cell>
          <cell r="BN11" t="str">
            <v/>
          </cell>
          <cell r="BO11" t="str">
            <v/>
          </cell>
          <cell r="BP11" t="str">
            <v/>
          </cell>
          <cell r="BQ11">
            <v>0</v>
          </cell>
          <cell r="BR11">
            <v>0</v>
          </cell>
          <cell r="BS11" t="str">
            <v>-</v>
          </cell>
          <cell r="BT11">
            <v>18</v>
          </cell>
          <cell r="BU11">
            <v>20</v>
          </cell>
          <cell r="BV11">
            <v>42</v>
          </cell>
          <cell r="BW11">
            <v>80</v>
          </cell>
          <cell r="BX11">
            <v>80</v>
          </cell>
          <cell r="BY11" t="str">
            <v>A</v>
          </cell>
          <cell r="BZ11" t="str">
            <v/>
          </cell>
          <cell r="CA11" t="str">
            <v/>
          </cell>
          <cell r="CB11" t="str">
            <v/>
          </cell>
          <cell r="CC11">
            <v>0</v>
          </cell>
          <cell r="CD11">
            <v>0</v>
          </cell>
          <cell r="CE11" t="str">
            <v>-</v>
          </cell>
          <cell r="CF11">
            <v>0</v>
          </cell>
          <cell r="CG11">
            <v>0</v>
          </cell>
          <cell r="CH11">
            <v>0</v>
          </cell>
          <cell r="CI11">
            <v>0</v>
          </cell>
          <cell r="CJ11">
            <v>0</v>
          </cell>
          <cell r="CK11" t="str">
            <v>-</v>
          </cell>
          <cell r="CL11">
            <v>733</v>
          </cell>
          <cell r="CM11">
            <v>733</v>
          </cell>
          <cell r="CN11" t="str">
            <v>A</v>
          </cell>
          <cell r="CO11" t="str">
            <v>7th</v>
          </cell>
          <cell r="CP11">
            <v>80</v>
          </cell>
          <cell r="CQ11">
            <v>0</v>
          </cell>
          <cell r="CR11">
            <v>88</v>
          </cell>
          <cell r="CS11" t="str">
            <v>4th</v>
          </cell>
          <cell r="CT11" t="str">
            <v/>
          </cell>
          <cell r="CU11">
            <v>0</v>
          </cell>
          <cell r="CV11">
            <v>65</v>
          </cell>
          <cell r="CW11" t="str">
            <v>N.R</v>
          </cell>
          <cell r="CX11">
            <v>84</v>
          </cell>
          <cell r="CY11">
            <v>0</v>
          </cell>
          <cell r="CZ11">
            <v>90</v>
          </cell>
          <cell r="DA11" t="str">
            <v>3rd</v>
          </cell>
          <cell r="DB11">
            <v>90</v>
          </cell>
          <cell r="DC11">
            <v>0</v>
          </cell>
          <cell r="DD11">
            <v>95</v>
          </cell>
          <cell r="DE11" t="str">
            <v>3rd</v>
          </cell>
          <cell r="DF11">
            <v>60</v>
          </cell>
          <cell r="DG11">
            <v>0</v>
          </cell>
          <cell r="DH11">
            <v>81</v>
          </cell>
          <cell r="DI11" t="str">
            <v>4th</v>
          </cell>
          <cell r="DJ11">
            <v>95</v>
          </cell>
          <cell r="DK11">
            <v>0</v>
          </cell>
          <cell r="DL11">
            <v>95</v>
          </cell>
          <cell r="DM11" t="str">
            <v>1st</v>
          </cell>
          <cell r="DN11">
            <v>72</v>
          </cell>
          <cell r="DO11">
            <v>0</v>
          </cell>
          <cell r="DP11">
            <v>82</v>
          </cell>
          <cell r="DQ11" t="str">
            <v>9th</v>
          </cell>
          <cell r="DR11">
            <v>52</v>
          </cell>
          <cell r="DS11">
            <v>0</v>
          </cell>
          <cell r="DT11">
            <v>0</v>
          </cell>
          <cell r="DU11" t="str">
            <v>14th</v>
          </cell>
          <cell r="DV11">
            <v>41</v>
          </cell>
          <cell r="DW11">
            <v>0</v>
          </cell>
          <cell r="DX11">
            <v>56</v>
          </cell>
          <cell r="DY11" t="str">
            <v>3rd</v>
          </cell>
          <cell r="DZ11">
            <v>79</v>
          </cell>
          <cell r="EA11">
            <v>0</v>
          </cell>
          <cell r="EB11">
            <v>0</v>
          </cell>
          <cell r="EC11" t="str">
            <v>N.R</v>
          </cell>
          <cell r="ED11">
            <v>0</v>
          </cell>
          <cell r="EE11">
            <v>0</v>
          </cell>
          <cell r="EF11">
            <v>81</v>
          </cell>
          <cell r="EG11" t="str">
            <v>N.R</v>
          </cell>
          <cell r="EH11">
            <v>80</v>
          </cell>
          <cell r="EI11">
            <v>0</v>
          </cell>
          <cell r="EJ11">
            <v>0</v>
          </cell>
          <cell r="EK11" t="str">
            <v>2nd</v>
          </cell>
          <cell r="EL11">
            <v>0</v>
          </cell>
          <cell r="EM11">
            <v>0</v>
          </cell>
          <cell r="EN11">
            <v>67</v>
          </cell>
          <cell r="EO11" t="str">
            <v>N.R</v>
          </cell>
          <cell r="EP11">
            <v>0</v>
          </cell>
          <cell r="EQ11">
            <v>0</v>
          </cell>
          <cell r="ER11">
            <v>76</v>
          </cell>
          <cell r="ES11" t="str">
            <v>N.R</v>
          </cell>
        </row>
        <row r="12">
          <cell r="A12" t="str">
            <v>BDS/21/007</v>
          </cell>
          <cell r="B12" t="str">
            <v>CHINEDU PROSPER CHIEMERIE</v>
          </cell>
          <cell r="C12" t="str">
            <v>MALE</v>
          </cell>
          <cell r="D12">
            <v>40242</v>
          </cell>
          <cell r="E12" t="str">
            <v>DRAMA</v>
          </cell>
          <cell r="F12">
            <v>10</v>
          </cell>
          <cell r="G12">
            <v>5</v>
          </cell>
          <cell r="H12">
            <v>11</v>
          </cell>
          <cell r="I12">
            <v>26</v>
          </cell>
          <cell r="J12">
            <v>26</v>
          </cell>
          <cell r="K12" t="str">
            <v>D</v>
          </cell>
          <cell r="L12">
            <v>4</v>
          </cell>
          <cell r="M12">
            <v>20</v>
          </cell>
          <cell r="N12">
            <v>15</v>
          </cell>
          <cell r="O12">
            <v>39</v>
          </cell>
          <cell r="P12">
            <v>39</v>
          </cell>
          <cell r="Q12" t="str">
            <v>A</v>
          </cell>
          <cell r="R12">
            <v>10</v>
          </cell>
          <cell r="S12">
            <v>8</v>
          </cell>
          <cell r="T12">
            <v>51</v>
          </cell>
          <cell r="U12">
            <v>69</v>
          </cell>
          <cell r="V12">
            <v>69</v>
          </cell>
          <cell r="W12" t="str">
            <v>A</v>
          </cell>
          <cell r="X12">
            <v>20</v>
          </cell>
          <cell r="Y12">
            <v>20</v>
          </cell>
          <cell r="Z12">
            <v>55</v>
          </cell>
          <cell r="AA12">
            <v>95</v>
          </cell>
          <cell r="AB12">
            <v>95</v>
          </cell>
          <cell r="AC12" t="str">
            <v>A</v>
          </cell>
          <cell r="AD12">
            <v>15</v>
          </cell>
          <cell r="AE12">
            <v>15</v>
          </cell>
          <cell r="AF12">
            <v>25</v>
          </cell>
          <cell r="AG12">
            <v>55</v>
          </cell>
          <cell r="AH12">
            <v>55.000000000000007</v>
          </cell>
          <cell r="AI12" t="str">
            <v>A</v>
          </cell>
          <cell r="AJ12">
            <v>20</v>
          </cell>
          <cell r="AK12">
            <v>20</v>
          </cell>
          <cell r="AL12">
            <v>55</v>
          </cell>
          <cell r="AM12">
            <v>95</v>
          </cell>
          <cell r="AN12">
            <v>95</v>
          </cell>
          <cell r="AO12" t="str">
            <v>A</v>
          </cell>
          <cell r="AP12">
            <v>20</v>
          </cell>
          <cell r="AQ12">
            <v>10</v>
          </cell>
          <cell r="AR12">
            <v>38</v>
          </cell>
          <cell r="AS12">
            <v>68</v>
          </cell>
          <cell r="AT12">
            <v>68</v>
          </cell>
          <cell r="AU12" t="str">
            <v>A</v>
          </cell>
          <cell r="AV12">
            <v>18</v>
          </cell>
          <cell r="AW12">
            <v>10</v>
          </cell>
          <cell r="AX12">
            <v>38</v>
          </cell>
          <cell r="AY12">
            <v>66</v>
          </cell>
          <cell r="AZ12">
            <v>66</v>
          </cell>
          <cell r="BA12" t="str">
            <v>A</v>
          </cell>
          <cell r="BB12" t="str">
            <v/>
          </cell>
          <cell r="BC12" t="str">
            <v/>
          </cell>
          <cell r="BD12" t="str">
            <v/>
          </cell>
          <cell r="BE12">
            <v>0</v>
          </cell>
          <cell r="BF12">
            <v>0</v>
          </cell>
          <cell r="BG12" t="str">
            <v>-</v>
          </cell>
          <cell r="BH12" t="str">
            <v/>
          </cell>
          <cell r="BI12" t="str">
            <v/>
          </cell>
          <cell r="BJ12" t="str">
            <v/>
          </cell>
          <cell r="BK12">
            <v>0</v>
          </cell>
          <cell r="BL12">
            <v>0</v>
          </cell>
          <cell r="BM12" t="str">
            <v>-</v>
          </cell>
          <cell r="BN12">
            <v>5</v>
          </cell>
          <cell r="BO12">
            <v>20</v>
          </cell>
          <cell r="BP12">
            <v>45</v>
          </cell>
          <cell r="BQ12">
            <v>70</v>
          </cell>
          <cell r="BR12">
            <v>70</v>
          </cell>
          <cell r="BS12" t="str">
            <v>A</v>
          </cell>
          <cell r="BT12">
            <v>20</v>
          </cell>
          <cell r="BU12">
            <v>20</v>
          </cell>
          <cell r="BV12">
            <v>36</v>
          </cell>
          <cell r="BW12">
            <v>76</v>
          </cell>
          <cell r="BX12">
            <v>76</v>
          </cell>
          <cell r="BY12" t="str">
            <v>A</v>
          </cell>
          <cell r="BZ12" t="str">
            <v/>
          </cell>
          <cell r="CA12" t="str">
            <v/>
          </cell>
          <cell r="CB12" t="str">
            <v/>
          </cell>
          <cell r="CC12">
            <v>0</v>
          </cell>
          <cell r="CD12">
            <v>0</v>
          </cell>
          <cell r="CE12" t="str">
            <v>-</v>
          </cell>
          <cell r="CF12">
            <v>20</v>
          </cell>
          <cell r="CG12">
            <v>8</v>
          </cell>
          <cell r="CH12">
            <v>25</v>
          </cell>
          <cell r="CI12">
            <v>53</v>
          </cell>
          <cell r="CJ12">
            <v>53</v>
          </cell>
          <cell r="CK12" t="str">
            <v>A</v>
          </cell>
          <cell r="CL12">
            <v>712</v>
          </cell>
          <cell r="CM12">
            <v>712</v>
          </cell>
          <cell r="CN12" t="str">
            <v>A</v>
          </cell>
          <cell r="CO12" t="str">
            <v>10th</v>
          </cell>
          <cell r="CP12">
            <v>26</v>
          </cell>
          <cell r="CQ12">
            <v>0</v>
          </cell>
          <cell r="CR12">
            <v>88</v>
          </cell>
          <cell r="CS12" t="str">
            <v>17th</v>
          </cell>
          <cell r="CT12">
            <v>39</v>
          </cell>
          <cell r="CU12">
            <v>0</v>
          </cell>
          <cell r="CV12">
            <v>65</v>
          </cell>
          <cell r="CW12" t="str">
            <v>9th</v>
          </cell>
          <cell r="CX12">
            <v>69</v>
          </cell>
          <cell r="CY12">
            <v>0</v>
          </cell>
          <cell r="CZ12">
            <v>90</v>
          </cell>
          <cell r="DA12" t="str">
            <v>10th</v>
          </cell>
          <cell r="DB12">
            <v>95</v>
          </cell>
          <cell r="DC12">
            <v>0</v>
          </cell>
          <cell r="DD12">
            <v>95</v>
          </cell>
          <cell r="DE12" t="str">
            <v>1st</v>
          </cell>
          <cell r="DF12">
            <v>55</v>
          </cell>
          <cell r="DG12">
            <v>0</v>
          </cell>
          <cell r="DH12">
            <v>81</v>
          </cell>
          <cell r="DI12" t="str">
            <v>9th</v>
          </cell>
          <cell r="DJ12">
            <v>95</v>
          </cell>
          <cell r="DK12">
            <v>0</v>
          </cell>
          <cell r="DL12">
            <v>95</v>
          </cell>
          <cell r="DM12" t="str">
            <v>1st</v>
          </cell>
          <cell r="DN12">
            <v>68</v>
          </cell>
          <cell r="DO12">
            <v>0</v>
          </cell>
          <cell r="DP12">
            <v>82</v>
          </cell>
          <cell r="DQ12" t="str">
            <v>12th</v>
          </cell>
          <cell r="DR12">
            <v>66</v>
          </cell>
          <cell r="DS12">
            <v>0</v>
          </cell>
          <cell r="DT12">
            <v>1</v>
          </cell>
          <cell r="DU12" t="str">
            <v>5th</v>
          </cell>
          <cell r="DV12">
            <v>0</v>
          </cell>
          <cell r="DW12">
            <v>0</v>
          </cell>
          <cell r="DX12">
            <v>56</v>
          </cell>
          <cell r="DY12" t="str">
            <v>N.R</v>
          </cell>
          <cell r="DZ12">
            <v>0</v>
          </cell>
          <cell r="EA12">
            <v>0</v>
          </cell>
          <cell r="EB12">
            <v>1</v>
          </cell>
          <cell r="EC12" t="str">
            <v>N.R</v>
          </cell>
          <cell r="ED12">
            <v>70</v>
          </cell>
          <cell r="EE12">
            <v>0</v>
          </cell>
          <cell r="EF12">
            <v>81</v>
          </cell>
          <cell r="EG12" t="str">
            <v>2nd</v>
          </cell>
          <cell r="EH12">
            <v>76</v>
          </cell>
          <cell r="EI12">
            <v>0</v>
          </cell>
          <cell r="EJ12">
            <v>1</v>
          </cell>
          <cell r="EK12" t="str">
            <v>4th</v>
          </cell>
          <cell r="EL12">
            <v>0</v>
          </cell>
          <cell r="EM12">
            <v>0</v>
          </cell>
          <cell r="EN12">
            <v>67</v>
          </cell>
          <cell r="EO12" t="str">
            <v>N.R</v>
          </cell>
          <cell r="EP12">
            <v>53</v>
          </cell>
          <cell r="EQ12">
            <v>0</v>
          </cell>
          <cell r="ER12">
            <v>76</v>
          </cell>
          <cell r="ES12" t="str">
            <v>5th</v>
          </cell>
        </row>
        <row r="13">
          <cell r="A13" t="str">
            <v>BDS/21/019</v>
          </cell>
          <cell r="B13" t="str">
            <v>JOHN GOODLUCK NDUBUISI</v>
          </cell>
          <cell r="C13" t="str">
            <v>MALE</v>
          </cell>
          <cell r="D13">
            <v>40695</v>
          </cell>
          <cell r="E13" t="str">
            <v>DEBATE</v>
          </cell>
          <cell r="F13">
            <v>15</v>
          </cell>
          <cell r="G13">
            <v>15</v>
          </cell>
          <cell r="H13">
            <v>53</v>
          </cell>
          <cell r="I13">
            <v>83</v>
          </cell>
          <cell r="J13">
            <v>83</v>
          </cell>
          <cell r="K13" t="str">
            <v>A</v>
          </cell>
          <cell r="L13">
            <v>10</v>
          </cell>
          <cell r="M13">
            <v>20</v>
          </cell>
          <cell r="N13">
            <v>35</v>
          </cell>
          <cell r="O13">
            <v>65</v>
          </cell>
          <cell r="P13">
            <v>65</v>
          </cell>
          <cell r="Q13" t="str">
            <v>A</v>
          </cell>
          <cell r="R13">
            <v>17</v>
          </cell>
          <cell r="S13">
            <v>20</v>
          </cell>
          <cell r="T13">
            <v>46</v>
          </cell>
          <cell r="U13">
            <v>83</v>
          </cell>
          <cell r="V13">
            <v>83</v>
          </cell>
          <cell r="W13" t="str">
            <v>A</v>
          </cell>
          <cell r="X13" t="str">
            <v/>
          </cell>
          <cell r="Y13" t="str">
            <v/>
          </cell>
          <cell r="Z13" t="str">
            <v/>
          </cell>
          <cell r="AA13">
            <v>0</v>
          </cell>
          <cell r="AB13">
            <v>0</v>
          </cell>
          <cell r="AC13" t="str">
            <v>-</v>
          </cell>
          <cell r="AD13">
            <v>20</v>
          </cell>
          <cell r="AE13">
            <v>15</v>
          </cell>
          <cell r="AF13">
            <v>29</v>
          </cell>
          <cell r="AG13">
            <v>64</v>
          </cell>
          <cell r="AH13">
            <v>64</v>
          </cell>
          <cell r="AI13" t="str">
            <v>A</v>
          </cell>
          <cell r="AJ13">
            <v>15</v>
          </cell>
          <cell r="AK13">
            <v>20</v>
          </cell>
          <cell r="AL13">
            <v>50</v>
          </cell>
          <cell r="AM13">
            <v>85</v>
          </cell>
          <cell r="AN13">
            <v>85</v>
          </cell>
          <cell r="AO13" t="str">
            <v>A</v>
          </cell>
          <cell r="AP13">
            <v>18</v>
          </cell>
          <cell r="AQ13">
            <v>10</v>
          </cell>
          <cell r="AR13">
            <v>30</v>
          </cell>
          <cell r="AS13">
            <v>58</v>
          </cell>
          <cell r="AT13">
            <v>57.999999999999993</v>
          </cell>
          <cell r="AU13" t="str">
            <v>A</v>
          </cell>
          <cell r="AV13">
            <v>20</v>
          </cell>
          <cell r="AW13">
            <v>20</v>
          </cell>
          <cell r="AX13">
            <v>36</v>
          </cell>
          <cell r="AY13">
            <v>76</v>
          </cell>
          <cell r="AZ13">
            <v>76</v>
          </cell>
          <cell r="BA13" t="str">
            <v>A</v>
          </cell>
          <cell r="BB13">
            <v>15</v>
          </cell>
          <cell r="BC13">
            <v>15</v>
          </cell>
          <cell r="BD13">
            <v>26</v>
          </cell>
          <cell r="BE13">
            <v>56</v>
          </cell>
          <cell r="BF13">
            <v>56.000000000000007</v>
          </cell>
          <cell r="BG13" t="str">
            <v>A</v>
          </cell>
          <cell r="BH13">
            <v>13</v>
          </cell>
          <cell r="BI13">
            <v>20</v>
          </cell>
          <cell r="BJ13">
            <v>49</v>
          </cell>
          <cell r="BK13">
            <v>82</v>
          </cell>
          <cell r="BL13">
            <v>82</v>
          </cell>
          <cell r="BM13" t="str">
            <v>A</v>
          </cell>
          <cell r="BN13" t="str">
            <v/>
          </cell>
          <cell r="BO13" t="str">
            <v/>
          </cell>
          <cell r="BP13" t="str">
            <v/>
          </cell>
          <cell r="BQ13">
            <v>0</v>
          </cell>
          <cell r="BR13">
            <v>0</v>
          </cell>
          <cell r="BS13" t="str">
            <v>-</v>
          </cell>
          <cell r="BT13">
            <v>16</v>
          </cell>
          <cell r="BU13">
            <v>20</v>
          </cell>
          <cell r="BV13">
            <v>39</v>
          </cell>
          <cell r="BW13">
            <v>75</v>
          </cell>
          <cell r="BX13">
            <v>75</v>
          </cell>
          <cell r="BY13" t="str">
            <v>A</v>
          </cell>
          <cell r="BZ13">
            <v>15</v>
          </cell>
          <cell r="CA13">
            <v>20</v>
          </cell>
          <cell r="CB13">
            <v>32</v>
          </cell>
          <cell r="CC13">
            <v>67</v>
          </cell>
          <cell r="CD13">
            <v>67</v>
          </cell>
          <cell r="CE13" t="str">
            <v>A</v>
          </cell>
          <cell r="CF13">
            <v>0</v>
          </cell>
          <cell r="CG13" t="str">
            <v/>
          </cell>
          <cell r="CH13" t="str">
            <v/>
          </cell>
          <cell r="CI13">
            <v>0</v>
          </cell>
          <cell r="CJ13">
            <v>0</v>
          </cell>
          <cell r="CK13" t="str">
            <v>-</v>
          </cell>
          <cell r="CL13">
            <v>794</v>
          </cell>
          <cell r="CM13">
            <v>794</v>
          </cell>
          <cell r="CN13" t="str">
            <v>A</v>
          </cell>
          <cell r="CO13" t="str">
            <v>2nd</v>
          </cell>
          <cell r="CP13">
            <v>83</v>
          </cell>
          <cell r="CQ13">
            <v>0</v>
          </cell>
          <cell r="CR13">
            <v>88</v>
          </cell>
          <cell r="CS13" t="str">
            <v>2nd</v>
          </cell>
          <cell r="CT13">
            <v>65</v>
          </cell>
          <cell r="CU13">
            <v>0</v>
          </cell>
          <cell r="CV13">
            <v>65</v>
          </cell>
          <cell r="CW13" t="str">
            <v>1st</v>
          </cell>
          <cell r="CX13">
            <v>83</v>
          </cell>
          <cell r="CY13">
            <v>0</v>
          </cell>
          <cell r="CZ13">
            <v>90</v>
          </cell>
          <cell r="DA13" t="str">
            <v>4th</v>
          </cell>
          <cell r="DB13">
            <v>0</v>
          </cell>
          <cell r="DC13">
            <v>0</v>
          </cell>
          <cell r="DD13">
            <v>95</v>
          </cell>
          <cell r="DE13" t="str">
            <v>N.R</v>
          </cell>
          <cell r="DF13">
            <v>64</v>
          </cell>
          <cell r="DG13">
            <v>0</v>
          </cell>
          <cell r="DH13">
            <v>81</v>
          </cell>
          <cell r="DI13" t="str">
            <v>3rd</v>
          </cell>
          <cell r="DJ13">
            <v>85</v>
          </cell>
          <cell r="DK13">
            <v>0</v>
          </cell>
          <cell r="DL13">
            <v>95</v>
          </cell>
          <cell r="DM13" t="str">
            <v>12th</v>
          </cell>
          <cell r="DN13">
            <v>58</v>
          </cell>
          <cell r="DO13">
            <v>0</v>
          </cell>
          <cell r="DP13">
            <v>82</v>
          </cell>
          <cell r="DQ13" t="str">
            <v>17th</v>
          </cell>
          <cell r="DR13">
            <v>76</v>
          </cell>
          <cell r="DS13">
            <v>0</v>
          </cell>
          <cell r="DT13">
            <v>2</v>
          </cell>
          <cell r="DU13" t="str">
            <v>1st</v>
          </cell>
          <cell r="DV13">
            <v>56</v>
          </cell>
          <cell r="DW13">
            <v>0</v>
          </cell>
          <cell r="DX13">
            <v>56</v>
          </cell>
          <cell r="DY13" t="str">
            <v>1st</v>
          </cell>
          <cell r="DZ13">
            <v>82</v>
          </cell>
          <cell r="EA13">
            <v>0</v>
          </cell>
          <cell r="EB13">
            <v>2</v>
          </cell>
          <cell r="EC13" t="str">
            <v>N.R</v>
          </cell>
          <cell r="ED13">
            <v>0</v>
          </cell>
          <cell r="EE13">
            <v>0</v>
          </cell>
          <cell r="EF13">
            <v>81</v>
          </cell>
          <cell r="EG13" t="str">
            <v>N.R</v>
          </cell>
          <cell r="EH13">
            <v>75</v>
          </cell>
          <cell r="EI13">
            <v>0</v>
          </cell>
          <cell r="EJ13">
            <v>2</v>
          </cell>
          <cell r="EK13" t="str">
            <v>5th</v>
          </cell>
          <cell r="EL13">
            <v>67</v>
          </cell>
          <cell r="EM13">
            <v>0</v>
          </cell>
          <cell r="EN13">
            <v>67</v>
          </cell>
          <cell r="EO13" t="str">
            <v>1st</v>
          </cell>
          <cell r="EP13">
            <v>0</v>
          </cell>
          <cell r="EQ13">
            <v>0</v>
          </cell>
          <cell r="ER13">
            <v>76</v>
          </cell>
          <cell r="ES13" t="str">
            <v>N.R</v>
          </cell>
        </row>
        <row r="14">
          <cell r="A14" t="str">
            <v>BDS/21/048</v>
          </cell>
          <cell r="B14" t="str">
            <v>SUNDAY ANYA</v>
          </cell>
          <cell r="C14" t="str">
            <v>MALE</v>
          </cell>
          <cell r="D14" t="str">
            <v>5/6/ 201 1</v>
          </cell>
          <cell r="E14" t="str">
            <v>JET</v>
          </cell>
          <cell r="F14">
            <v>10</v>
          </cell>
          <cell r="G14">
            <v>5</v>
          </cell>
          <cell r="H14">
            <v>42</v>
          </cell>
          <cell r="I14">
            <v>57</v>
          </cell>
          <cell r="J14">
            <v>56.999999999999993</v>
          </cell>
          <cell r="K14" t="str">
            <v>A</v>
          </cell>
          <cell r="L14">
            <v>10</v>
          </cell>
          <cell r="M14">
            <v>20</v>
          </cell>
          <cell r="N14">
            <v>35</v>
          </cell>
          <cell r="O14">
            <v>65</v>
          </cell>
          <cell r="P14">
            <v>65</v>
          </cell>
          <cell r="Q14" t="str">
            <v>A</v>
          </cell>
          <cell r="R14">
            <v>10</v>
          </cell>
          <cell r="S14">
            <v>17</v>
          </cell>
          <cell r="T14">
            <v>54</v>
          </cell>
          <cell r="U14">
            <v>81</v>
          </cell>
          <cell r="V14">
            <v>81</v>
          </cell>
          <cell r="W14" t="str">
            <v>A</v>
          </cell>
          <cell r="X14">
            <v>20</v>
          </cell>
          <cell r="Y14">
            <v>20</v>
          </cell>
          <cell r="Z14">
            <v>55</v>
          </cell>
          <cell r="AA14">
            <v>95</v>
          </cell>
          <cell r="AB14">
            <v>95</v>
          </cell>
          <cell r="AC14" t="str">
            <v>A</v>
          </cell>
          <cell r="AD14">
            <v>15</v>
          </cell>
          <cell r="AE14">
            <v>15</v>
          </cell>
          <cell r="AF14">
            <v>11</v>
          </cell>
          <cell r="AG14">
            <v>41</v>
          </cell>
          <cell r="AH14">
            <v>41</v>
          </cell>
          <cell r="AI14" t="str">
            <v>A</v>
          </cell>
          <cell r="AJ14">
            <v>15</v>
          </cell>
          <cell r="AK14">
            <v>20</v>
          </cell>
          <cell r="AL14">
            <v>55</v>
          </cell>
          <cell r="AM14">
            <v>90</v>
          </cell>
          <cell r="AN14">
            <v>90</v>
          </cell>
          <cell r="AO14" t="str">
            <v>A</v>
          </cell>
          <cell r="AP14">
            <v>20</v>
          </cell>
          <cell r="AQ14">
            <v>10</v>
          </cell>
          <cell r="AR14">
            <v>52</v>
          </cell>
          <cell r="AS14">
            <v>82</v>
          </cell>
          <cell r="AT14">
            <v>82</v>
          </cell>
          <cell r="AU14" t="str">
            <v>A</v>
          </cell>
          <cell r="AV14">
            <v>10</v>
          </cell>
          <cell r="AW14">
            <v>17</v>
          </cell>
          <cell r="AX14">
            <v>30</v>
          </cell>
          <cell r="AY14">
            <v>57</v>
          </cell>
          <cell r="AZ14">
            <v>56.999999999999993</v>
          </cell>
          <cell r="BA14" t="str">
            <v>A</v>
          </cell>
          <cell r="BB14" t="str">
            <v/>
          </cell>
          <cell r="BC14" t="str">
            <v/>
          </cell>
          <cell r="BD14">
            <v>29</v>
          </cell>
          <cell r="BE14">
            <v>29</v>
          </cell>
          <cell r="BF14">
            <v>28.999999999999996</v>
          </cell>
          <cell r="BG14" t="str">
            <v>C5</v>
          </cell>
          <cell r="BH14">
            <v>14</v>
          </cell>
          <cell r="BI14">
            <v>20</v>
          </cell>
          <cell r="BJ14">
            <v>46</v>
          </cell>
          <cell r="BK14">
            <v>80</v>
          </cell>
          <cell r="BL14">
            <v>80</v>
          </cell>
          <cell r="BM14" t="str">
            <v>A</v>
          </cell>
          <cell r="BN14" t="str">
            <v/>
          </cell>
          <cell r="BO14" t="str">
            <v/>
          </cell>
          <cell r="BP14" t="str">
            <v/>
          </cell>
          <cell r="BQ14">
            <v>0</v>
          </cell>
          <cell r="BR14">
            <v>0</v>
          </cell>
          <cell r="BS14" t="str">
            <v>-</v>
          </cell>
          <cell r="BT14">
            <v>18</v>
          </cell>
          <cell r="BU14">
            <v>20</v>
          </cell>
          <cell r="BV14">
            <v>30</v>
          </cell>
          <cell r="BW14">
            <v>68</v>
          </cell>
          <cell r="BX14">
            <v>68</v>
          </cell>
          <cell r="BY14" t="str">
            <v>A</v>
          </cell>
          <cell r="BZ14" t="str">
            <v/>
          </cell>
          <cell r="CA14" t="str">
            <v/>
          </cell>
          <cell r="CB14" t="str">
            <v/>
          </cell>
          <cell r="CC14">
            <v>0</v>
          </cell>
          <cell r="CD14">
            <v>0</v>
          </cell>
          <cell r="CE14" t="str">
            <v>-</v>
          </cell>
          <cell r="CF14">
            <v>0</v>
          </cell>
          <cell r="CG14" t="str">
            <v/>
          </cell>
          <cell r="CH14" t="str">
            <v/>
          </cell>
          <cell r="CI14">
            <v>0</v>
          </cell>
          <cell r="CJ14">
            <v>0</v>
          </cell>
          <cell r="CK14" t="str">
            <v>-</v>
          </cell>
          <cell r="CL14">
            <v>745</v>
          </cell>
          <cell r="CM14">
            <v>745</v>
          </cell>
          <cell r="CN14" t="str">
            <v>A</v>
          </cell>
          <cell r="CO14" t="str">
            <v>6th</v>
          </cell>
          <cell r="CP14">
            <v>57</v>
          </cell>
          <cell r="CQ14">
            <v>0</v>
          </cell>
          <cell r="CR14">
            <v>88</v>
          </cell>
          <cell r="CS14" t="str">
            <v>8th</v>
          </cell>
          <cell r="CT14">
            <v>65</v>
          </cell>
          <cell r="CU14">
            <v>0</v>
          </cell>
          <cell r="CV14">
            <v>65</v>
          </cell>
          <cell r="CW14" t="str">
            <v>1st</v>
          </cell>
          <cell r="CX14">
            <v>81</v>
          </cell>
          <cell r="CY14">
            <v>0</v>
          </cell>
          <cell r="CZ14">
            <v>90</v>
          </cell>
          <cell r="DA14" t="str">
            <v>5th</v>
          </cell>
          <cell r="DB14">
            <v>95</v>
          </cell>
          <cell r="DC14">
            <v>0</v>
          </cell>
          <cell r="DD14">
            <v>95</v>
          </cell>
          <cell r="DE14" t="str">
            <v>1st</v>
          </cell>
          <cell r="DF14">
            <v>41</v>
          </cell>
          <cell r="DG14">
            <v>0</v>
          </cell>
          <cell r="DH14">
            <v>81</v>
          </cell>
          <cell r="DI14" t="str">
            <v>14th</v>
          </cell>
          <cell r="DJ14">
            <v>90</v>
          </cell>
          <cell r="DK14">
            <v>0</v>
          </cell>
          <cell r="DL14">
            <v>95</v>
          </cell>
          <cell r="DM14" t="str">
            <v>6th</v>
          </cell>
          <cell r="DN14">
            <v>82</v>
          </cell>
          <cell r="DO14">
            <v>0</v>
          </cell>
          <cell r="DP14">
            <v>82</v>
          </cell>
          <cell r="DQ14" t="str">
            <v>1st</v>
          </cell>
          <cell r="DR14">
            <v>57</v>
          </cell>
          <cell r="DS14">
            <v>0</v>
          </cell>
          <cell r="DT14">
            <v>3</v>
          </cell>
          <cell r="DU14" t="str">
            <v>7th</v>
          </cell>
          <cell r="DV14">
            <v>29</v>
          </cell>
          <cell r="DW14">
            <v>0</v>
          </cell>
          <cell r="DX14">
            <v>56</v>
          </cell>
          <cell r="DY14" t="str">
            <v>8th</v>
          </cell>
          <cell r="DZ14">
            <v>80</v>
          </cell>
          <cell r="EA14">
            <v>0</v>
          </cell>
          <cell r="EB14">
            <v>3</v>
          </cell>
          <cell r="EC14" t="str">
            <v>N.R</v>
          </cell>
          <cell r="ED14">
            <v>0</v>
          </cell>
          <cell r="EE14">
            <v>0</v>
          </cell>
          <cell r="EF14">
            <v>81</v>
          </cell>
          <cell r="EG14" t="str">
            <v>N.R</v>
          </cell>
          <cell r="EH14">
            <v>68</v>
          </cell>
          <cell r="EI14">
            <v>0</v>
          </cell>
          <cell r="EJ14">
            <v>3</v>
          </cell>
          <cell r="EK14" t="str">
            <v>8th</v>
          </cell>
          <cell r="EL14">
            <v>0</v>
          </cell>
          <cell r="EM14">
            <v>0</v>
          </cell>
          <cell r="EN14">
            <v>67</v>
          </cell>
          <cell r="EO14" t="str">
            <v>N.R</v>
          </cell>
          <cell r="EP14">
            <v>0</v>
          </cell>
          <cell r="EQ14">
            <v>0</v>
          </cell>
          <cell r="ER14">
            <v>76</v>
          </cell>
          <cell r="ES14" t="str">
            <v>N.R</v>
          </cell>
        </row>
        <row r="15">
          <cell r="A15" t="str">
            <v>BDS/21/051</v>
          </cell>
          <cell r="B15" t="str">
            <v>Nwaeze Rowland Ezenwa</v>
          </cell>
          <cell r="C15" t="str">
            <v>MALE</v>
          </cell>
          <cell r="D15">
            <v>40852</v>
          </cell>
          <cell r="E15" t="str">
            <v>JET</v>
          </cell>
          <cell r="F15">
            <v>10</v>
          </cell>
          <cell r="G15">
            <v>10</v>
          </cell>
          <cell r="H15">
            <v>46</v>
          </cell>
          <cell r="I15">
            <v>66</v>
          </cell>
          <cell r="J15">
            <v>66</v>
          </cell>
          <cell r="K15" t="str">
            <v>A</v>
          </cell>
          <cell r="L15">
            <v>5</v>
          </cell>
          <cell r="M15">
            <v>20</v>
          </cell>
          <cell r="N15">
            <v>5</v>
          </cell>
          <cell r="O15">
            <v>30</v>
          </cell>
          <cell r="P15">
            <v>30</v>
          </cell>
          <cell r="Q15" t="str">
            <v>B2</v>
          </cell>
          <cell r="R15">
            <v>10</v>
          </cell>
          <cell r="S15">
            <v>14</v>
          </cell>
          <cell r="T15">
            <v>45</v>
          </cell>
          <cell r="U15">
            <v>69</v>
          </cell>
          <cell r="V15">
            <v>69</v>
          </cell>
          <cell r="W15" t="str">
            <v>A</v>
          </cell>
          <cell r="X15">
            <v>15</v>
          </cell>
          <cell r="Y15">
            <v>20</v>
          </cell>
          <cell r="Z15">
            <v>55</v>
          </cell>
          <cell r="AA15">
            <v>90</v>
          </cell>
          <cell r="AB15">
            <v>90</v>
          </cell>
          <cell r="AC15" t="str">
            <v>A</v>
          </cell>
          <cell r="AD15">
            <v>15</v>
          </cell>
          <cell r="AE15">
            <v>15</v>
          </cell>
          <cell r="AF15">
            <v>29</v>
          </cell>
          <cell r="AG15">
            <v>59</v>
          </cell>
          <cell r="AH15">
            <v>59</v>
          </cell>
          <cell r="AI15" t="str">
            <v>A</v>
          </cell>
          <cell r="AJ15">
            <v>20</v>
          </cell>
          <cell r="AK15">
            <v>20</v>
          </cell>
          <cell r="AL15">
            <v>50</v>
          </cell>
          <cell r="AM15">
            <v>90</v>
          </cell>
          <cell r="AN15">
            <v>90</v>
          </cell>
          <cell r="AO15" t="str">
            <v>A</v>
          </cell>
          <cell r="AP15">
            <v>20</v>
          </cell>
          <cell r="AQ15">
            <v>10</v>
          </cell>
          <cell r="AR15">
            <v>48</v>
          </cell>
          <cell r="AS15">
            <v>78</v>
          </cell>
          <cell r="AT15">
            <v>78</v>
          </cell>
          <cell r="AU15" t="str">
            <v>A</v>
          </cell>
          <cell r="AV15">
            <v>18</v>
          </cell>
          <cell r="AW15">
            <v>10</v>
          </cell>
          <cell r="AX15">
            <v>25</v>
          </cell>
          <cell r="AY15">
            <v>53</v>
          </cell>
          <cell r="AZ15">
            <v>53</v>
          </cell>
          <cell r="BA15" t="str">
            <v>A</v>
          </cell>
          <cell r="BB15">
            <v>6</v>
          </cell>
          <cell r="BC15">
            <v>6</v>
          </cell>
          <cell r="BD15">
            <v>21</v>
          </cell>
          <cell r="BE15">
            <v>33</v>
          </cell>
          <cell r="BF15">
            <v>33</v>
          </cell>
          <cell r="BG15" t="str">
            <v>B1</v>
          </cell>
          <cell r="BH15">
            <v>0</v>
          </cell>
          <cell r="BI15">
            <v>20</v>
          </cell>
          <cell r="BJ15">
            <v>47</v>
          </cell>
          <cell r="BK15">
            <v>67</v>
          </cell>
          <cell r="BL15">
            <v>67</v>
          </cell>
          <cell r="BM15" t="str">
            <v>A</v>
          </cell>
          <cell r="BN15" t="str">
            <v/>
          </cell>
          <cell r="BO15" t="str">
            <v/>
          </cell>
          <cell r="BP15" t="str">
            <v/>
          </cell>
          <cell r="BQ15">
            <v>0</v>
          </cell>
          <cell r="BR15">
            <v>0</v>
          </cell>
          <cell r="BS15" t="str">
            <v>-</v>
          </cell>
          <cell r="BT15">
            <v>18</v>
          </cell>
          <cell r="BU15">
            <v>20</v>
          </cell>
          <cell r="BV15">
            <v>30</v>
          </cell>
          <cell r="BW15">
            <v>68</v>
          </cell>
          <cell r="BX15">
            <v>68</v>
          </cell>
          <cell r="BY15" t="str">
            <v>A</v>
          </cell>
          <cell r="BZ15" t="str">
            <v/>
          </cell>
          <cell r="CA15" t="str">
            <v/>
          </cell>
          <cell r="CB15" t="str">
            <v/>
          </cell>
          <cell r="CC15">
            <v>0</v>
          </cell>
          <cell r="CD15">
            <v>0</v>
          </cell>
          <cell r="CE15" t="str">
            <v>-</v>
          </cell>
          <cell r="CF15">
            <v>0</v>
          </cell>
          <cell r="CG15" t="str">
            <v/>
          </cell>
          <cell r="CH15" t="str">
            <v/>
          </cell>
          <cell r="CI15">
            <v>0</v>
          </cell>
          <cell r="CJ15">
            <v>0</v>
          </cell>
          <cell r="CK15" t="str">
            <v>-</v>
          </cell>
          <cell r="CL15">
            <v>703</v>
          </cell>
          <cell r="CM15">
            <v>703</v>
          </cell>
          <cell r="CN15" t="str">
            <v>A</v>
          </cell>
          <cell r="CO15" t="str">
            <v>11th</v>
          </cell>
          <cell r="CP15">
            <v>66</v>
          </cell>
          <cell r="CQ15">
            <v>0</v>
          </cell>
          <cell r="CR15">
            <v>88</v>
          </cell>
          <cell r="CS15" t="str">
            <v>6th</v>
          </cell>
          <cell r="CT15">
            <v>30</v>
          </cell>
          <cell r="CU15">
            <v>0</v>
          </cell>
          <cell r="CV15">
            <v>65</v>
          </cell>
          <cell r="CW15" t="str">
            <v>13th</v>
          </cell>
          <cell r="CX15">
            <v>69</v>
          </cell>
          <cell r="CY15">
            <v>0</v>
          </cell>
          <cell r="CZ15">
            <v>90</v>
          </cell>
          <cell r="DA15" t="str">
            <v>10th</v>
          </cell>
          <cell r="DB15">
            <v>90</v>
          </cell>
          <cell r="DC15">
            <v>0</v>
          </cell>
          <cell r="DD15">
            <v>95</v>
          </cell>
          <cell r="DE15" t="str">
            <v>3rd</v>
          </cell>
          <cell r="DF15">
            <v>59</v>
          </cell>
          <cell r="DG15">
            <v>0</v>
          </cell>
          <cell r="DH15">
            <v>81</v>
          </cell>
          <cell r="DI15" t="str">
            <v>5th</v>
          </cell>
          <cell r="DJ15">
            <v>90</v>
          </cell>
          <cell r="DK15">
            <v>0</v>
          </cell>
          <cell r="DL15">
            <v>95</v>
          </cell>
          <cell r="DM15" t="str">
            <v>6th</v>
          </cell>
          <cell r="DN15">
            <v>78</v>
          </cell>
          <cell r="DO15">
            <v>0</v>
          </cell>
          <cell r="DP15">
            <v>82</v>
          </cell>
          <cell r="DQ15" t="str">
            <v>4th</v>
          </cell>
          <cell r="DR15">
            <v>53</v>
          </cell>
          <cell r="DS15">
            <v>0</v>
          </cell>
          <cell r="DT15">
            <v>4</v>
          </cell>
          <cell r="DU15" t="str">
            <v>12th</v>
          </cell>
          <cell r="DV15">
            <v>33</v>
          </cell>
          <cell r="DW15">
            <v>0</v>
          </cell>
          <cell r="DX15">
            <v>56</v>
          </cell>
          <cell r="DY15" t="str">
            <v>7th</v>
          </cell>
          <cell r="DZ15">
            <v>67</v>
          </cell>
          <cell r="EA15">
            <v>0</v>
          </cell>
          <cell r="EB15">
            <v>4</v>
          </cell>
          <cell r="EC15" t="str">
            <v>N.R</v>
          </cell>
          <cell r="ED15">
            <v>0</v>
          </cell>
          <cell r="EE15">
            <v>0</v>
          </cell>
          <cell r="EF15">
            <v>81</v>
          </cell>
          <cell r="EG15" t="str">
            <v>N.R</v>
          </cell>
          <cell r="EH15">
            <v>68</v>
          </cell>
          <cell r="EI15">
            <v>0</v>
          </cell>
          <cell r="EJ15">
            <v>4</v>
          </cell>
          <cell r="EK15" t="str">
            <v>8th</v>
          </cell>
          <cell r="EL15">
            <v>0</v>
          </cell>
          <cell r="EM15">
            <v>0</v>
          </cell>
          <cell r="EN15">
            <v>67</v>
          </cell>
          <cell r="EO15" t="str">
            <v>N.R</v>
          </cell>
          <cell r="EP15">
            <v>0</v>
          </cell>
          <cell r="EQ15">
            <v>0</v>
          </cell>
          <cell r="ER15">
            <v>76</v>
          </cell>
          <cell r="ES15" t="str">
            <v>N.R</v>
          </cell>
        </row>
        <row r="16">
          <cell r="A16" t="str">
            <v>BDS/21/059</v>
          </cell>
          <cell r="B16" t="str">
            <v>OWULEZI CHINALU P</v>
          </cell>
          <cell r="C16" t="str">
            <v>FEMALE</v>
          </cell>
          <cell r="D16" t="str">
            <v>22/5/2012</v>
          </cell>
          <cell r="E16">
            <v>0</v>
          </cell>
          <cell r="F16">
            <v>20</v>
          </cell>
          <cell r="G16">
            <v>15</v>
          </cell>
          <cell r="H16">
            <v>53</v>
          </cell>
          <cell r="I16">
            <v>88</v>
          </cell>
          <cell r="J16">
            <v>88</v>
          </cell>
          <cell r="K16" t="str">
            <v>A</v>
          </cell>
          <cell r="L16">
            <v>0</v>
          </cell>
          <cell r="M16">
            <v>20</v>
          </cell>
          <cell r="N16">
            <v>34</v>
          </cell>
          <cell r="O16">
            <v>54</v>
          </cell>
          <cell r="P16">
            <v>54</v>
          </cell>
          <cell r="Q16" t="str">
            <v>A</v>
          </cell>
          <cell r="R16">
            <v>19</v>
          </cell>
          <cell r="S16">
            <v>20</v>
          </cell>
          <cell r="T16">
            <v>48</v>
          </cell>
          <cell r="U16">
            <v>87</v>
          </cell>
          <cell r="V16">
            <v>87</v>
          </cell>
          <cell r="W16" t="str">
            <v>A</v>
          </cell>
          <cell r="X16">
            <v>15</v>
          </cell>
          <cell r="Y16">
            <v>20</v>
          </cell>
          <cell r="Z16">
            <v>50</v>
          </cell>
          <cell r="AA16">
            <v>85</v>
          </cell>
          <cell r="AB16">
            <v>85</v>
          </cell>
          <cell r="AC16" t="str">
            <v>A</v>
          </cell>
          <cell r="AD16">
            <v>20</v>
          </cell>
          <cell r="AE16">
            <v>15</v>
          </cell>
          <cell r="AF16">
            <v>46</v>
          </cell>
          <cell r="AG16">
            <v>81</v>
          </cell>
          <cell r="AH16">
            <v>81</v>
          </cell>
          <cell r="AI16" t="str">
            <v>A</v>
          </cell>
          <cell r="AJ16">
            <v>15</v>
          </cell>
          <cell r="AK16">
            <v>20</v>
          </cell>
          <cell r="AL16">
            <v>50</v>
          </cell>
          <cell r="AM16">
            <v>85</v>
          </cell>
          <cell r="AN16">
            <v>85</v>
          </cell>
          <cell r="AO16" t="str">
            <v>A</v>
          </cell>
          <cell r="AP16" t="str">
            <v/>
          </cell>
          <cell r="AQ16">
            <v>10</v>
          </cell>
          <cell r="AR16">
            <v>58</v>
          </cell>
          <cell r="AS16">
            <v>68</v>
          </cell>
          <cell r="AT16">
            <v>68</v>
          </cell>
          <cell r="AU16" t="str">
            <v>A</v>
          </cell>
          <cell r="AV16">
            <v>10</v>
          </cell>
          <cell r="AW16">
            <v>9</v>
          </cell>
          <cell r="AX16">
            <v>35</v>
          </cell>
          <cell r="AY16">
            <v>54</v>
          </cell>
          <cell r="AZ16">
            <v>54</v>
          </cell>
          <cell r="BA16" t="str">
            <v>A</v>
          </cell>
          <cell r="BB16" t="str">
            <v/>
          </cell>
          <cell r="BC16" t="str">
            <v/>
          </cell>
          <cell r="BD16">
            <v>47</v>
          </cell>
          <cell r="BE16">
            <v>47</v>
          </cell>
          <cell r="BF16">
            <v>47</v>
          </cell>
          <cell r="BG16" t="str">
            <v>A</v>
          </cell>
          <cell r="BH16">
            <v>14</v>
          </cell>
          <cell r="BI16">
            <v>20</v>
          </cell>
          <cell r="BJ16">
            <v>45</v>
          </cell>
          <cell r="BK16">
            <v>79</v>
          </cell>
          <cell r="BL16">
            <v>79</v>
          </cell>
          <cell r="BM16" t="str">
            <v>A</v>
          </cell>
          <cell r="BN16" t="str">
            <v/>
          </cell>
          <cell r="BO16" t="str">
            <v/>
          </cell>
          <cell r="BP16" t="str">
            <v/>
          </cell>
          <cell r="BQ16">
            <v>0</v>
          </cell>
          <cell r="BR16">
            <v>0</v>
          </cell>
          <cell r="BS16" t="str">
            <v>-</v>
          </cell>
          <cell r="BT16">
            <v>20</v>
          </cell>
          <cell r="BU16">
            <v>18</v>
          </cell>
          <cell r="BV16">
            <v>47</v>
          </cell>
          <cell r="BW16">
            <v>85</v>
          </cell>
          <cell r="BX16">
            <v>85</v>
          </cell>
          <cell r="BY16" t="str">
            <v>A</v>
          </cell>
          <cell r="BZ16" t="str">
            <v/>
          </cell>
          <cell r="CA16" t="str">
            <v/>
          </cell>
          <cell r="CB16" t="str">
            <v/>
          </cell>
          <cell r="CC16">
            <v>0</v>
          </cell>
          <cell r="CD16">
            <v>0</v>
          </cell>
          <cell r="CE16" t="str">
            <v>-</v>
          </cell>
          <cell r="CF16">
            <v>0</v>
          </cell>
          <cell r="CG16" t="str">
            <v/>
          </cell>
          <cell r="CH16" t="str">
            <v/>
          </cell>
          <cell r="CI16">
            <v>0</v>
          </cell>
          <cell r="CJ16">
            <v>0</v>
          </cell>
          <cell r="CK16" t="str">
            <v>-</v>
          </cell>
          <cell r="CL16">
            <v>813</v>
          </cell>
          <cell r="CM16">
            <v>813.00000000000011</v>
          </cell>
          <cell r="CN16" t="str">
            <v>A</v>
          </cell>
          <cell r="CO16" t="str">
            <v>1st</v>
          </cell>
          <cell r="CP16">
            <v>88</v>
          </cell>
          <cell r="CQ16">
            <v>0</v>
          </cell>
          <cell r="CR16">
            <v>88</v>
          </cell>
          <cell r="CS16" t="str">
            <v>1st</v>
          </cell>
          <cell r="CT16">
            <v>54</v>
          </cell>
          <cell r="CU16">
            <v>0</v>
          </cell>
          <cell r="CV16">
            <v>65</v>
          </cell>
          <cell r="CW16" t="str">
            <v>4th</v>
          </cell>
          <cell r="CX16">
            <v>87</v>
          </cell>
          <cell r="CY16">
            <v>0</v>
          </cell>
          <cell r="CZ16">
            <v>90</v>
          </cell>
          <cell r="DA16" t="str">
            <v>2nd</v>
          </cell>
          <cell r="DB16">
            <v>85</v>
          </cell>
          <cell r="DC16">
            <v>0</v>
          </cell>
          <cell r="DD16">
            <v>95</v>
          </cell>
          <cell r="DE16" t="str">
            <v>16th</v>
          </cell>
          <cell r="DF16">
            <v>81</v>
          </cell>
          <cell r="DG16">
            <v>0</v>
          </cell>
          <cell r="DH16">
            <v>81</v>
          </cell>
          <cell r="DI16" t="str">
            <v>1st</v>
          </cell>
          <cell r="DJ16">
            <v>85</v>
          </cell>
          <cell r="DK16">
            <v>0</v>
          </cell>
          <cell r="DL16">
            <v>95</v>
          </cell>
          <cell r="DM16" t="str">
            <v>12th</v>
          </cell>
          <cell r="DN16">
            <v>68</v>
          </cell>
          <cell r="DO16">
            <v>0</v>
          </cell>
          <cell r="DP16">
            <v>82</v>
          </cell>
          <cell r="DQ16" t="str">
            <v>12th</v>
          </cell>
          <cell r="DR16">
            <v>54</v>
          </cell>
          <cell r="DS16">
            <v>0</v>
          </cell>
          <cell r="DT16">
            <v>5</v>
          </cell>
          <cell r="DU16" t="str">
            <v>8th</v>
          </cell>
          <cell r="DV16">
            <v>47</v>
          </cell>
          <cell r="DW16">
            <v>0</v>
          </cell>
          <cell r="DX16">
            <v>56</v>
          </cell>
          <cell r="DY16" t="str">
            <v>2nd</v>
          </cell>
          <cell r="DZ16">
            <v>79</v>
          </cell>
          <cell r="EA16">
            <v>0</v>
          </cell>
          <cell r="EB16">
            <v>5</v>
          </cell>
          <cell r="EC16" t="str">
            <v>N.R</v>
          </cell>
          <cell r="ED16">
            <v>0</v>
          </cell>
          <cell r="EE16">
            <v>0</v>
          </cell>
          <cell r="EF16">
            <v>81</v>
          </cell>
          <cell r="EG16" t="str">
            <v>N.R</v>
          </cell>
          <cell r="EH16">
            <v>85</v>
          </cell>
          <cell r="EI16">
            <v>0</v>
          </cell>
          <cell r="EJ16">
            <v>5</v>
          </cell>
          <cell r="EK16" t="str">
            <v>1st</v>
          </cell>
          <cell r="EL16">
            <v>0</v>
          </cell>
          <cell r="EM16">
            <v>0</v>
          </cell>
          <cell r="EN16">
            <v>67</v>
          </cell>
          <cell r="EO16" t="str">
            <v>N.R</v>
          </cell>
          <cell r="EP16">
            <v>0</v>
          </cell>
          <cell r="EQ16">
            <v>0</v>
          </cell>
          <cell r="ER16">
            <v>76</v>
          </cell>
          <cell r="ES16" t="str">
            <v>N.R</v>
          </cell>
        </row>
        <row r="17">
          <cell r="A17" t="str">
            <v>BDS/21/061</v>
          </cell>
          <cell r="B17" t="str">
            <v xml:space="preserve">EKUMA BRIGHT </v>
          </cell>
          <cell r="C17" t="str">
            <v>MALE</v>
          </cell>
          <cell r="D17" t="str">
            <v>25/11/2010</v>
          </cell>
          <cell r="E17">
            <v>0</v>
          </cell>
          <cell r="F17">
            <v>10</v>
          </cell>
          <cell r="G17">
            <v>5</v>
          </cell>
          <cell r="H17">
            <v>34</v>
          </cell>
          <cell r="I17">
            <v>49</v>
          </cell>
          <cell r="J17">
            <v>49</v>
          </cell>
          <cell r="K17" t="str">
            <v>A</v>
          </cell>
          <cell r="L17">
            <v>9</v>
          </cell>
          <cell r="M17">
            <v>20</v>
          </cell>
          <cell r="N17">
            <v>20</v>
          </cell>
          <cell r="O17">
            <v>49</v>
          </cell>
          <cell r="P17">
            <v>49</v>
          </cell>
          <cell r="Q17" t="str">
            <v>A</v>
          </cell>
          <cell r="R17">
            <v>19</v>
          </cell>
          <cell r="S17">
            <v>10</v>
          </cell>
          <cell r="T17">
            <v>44</v>
          </cell>
          <cell r="U17">
            <v>73</v>
          </cell>
          <cell r="V17">
            <v>73</v>
          </cell>
          <cell r="W17" t="str">
            <v>A</v>
          </cell>
          <cell r="X17">
            <v>15</v>
          </cell>
          <cell r="Y17">
            <v>20</v>
          </cell>
          <cell r="Z17">
            <v>55</v>
          </cell>
          <cell r="AA17">
            <v>90</v>
          </cell>
          <cell r="AB17">
            <v>90</v>
          </cell>
          <cell r="AC17" t="str">
            <v>A</v>
          </cell>
          <cell r="AD17">
            <v>10</v>
          </cell>
          <cell r="AE17">
            <v>15</v>
          </cell>
          <cell r="AF17">
            <v>33</v>
          </cell>
          <cell r="AG17">
            <v>58</v>
          </cell>
          <cell r="AH17">
            <v>57.999999999999993</v>
          </cell>
          <cell r="AI17" t="str">
            <v>A</v>
          </cell>
          <cell r="AJ17">
            <v>15</v>
          </cell>
          <cell r="AK17">
            <v>20</v>
          </cell>
          <cell r="AL17">
            <v>50</v>
          </cell>
          <cell r="AM17">
            <v>85</v>
          </cell>
          <cell r="AN17">
            <v>85</v>
          </cell>
          <cell r="AO17" t="str">
            <v>A</v>
          </cell>
          <cell r="AP17">
            <v>15</v>
          </cell>
          <cell r="AQ17">
            <v>10</v>
          </cell>
          <cell r="AR17">
            <v>36</v>
          </cell>
          <cell r="AS17">
            <v>61</v>
          </cell>
          <cell r="AT17">
            <v>61</v>
          </cell>
          <cell r="AU17" t="str">
            <v>A</v>
          </cell>
          <cell r="AV17">
            <v>10</v>
          </cell>
          <cell r="AW17">
            <v>16</v>
          </cell>
          <cell r="AX17">
            <v>20</v>
          </cell>
          <cell r="AY17">
            <v>46</v>
          </cell>
          <cell r="AZ17">
            <v>46</v>
          </cell>
          <cell r="BA17" t="str">
            <v>A</v>
          </cell>
          <cell r="BB17" t="str">
            <v/>
          </cell>
          <cell r="BC17" t="str">
            <v/>
          </cell>
          <cell r="BD17" t="str">
            <v/>
          </cell>
          <cell r="BE17">
            <v>0</v>
          </cell>
          <cell r="BF17">
            <v>0</v>
          </cell>
          <cell r="BG17" t="str">
            <v>-</v>
          </cell>
          <cell r="BH17">
            <v>1</v>
          </cell>
          <cell r="BI17">
            <v>20</v>
          </cell>
          <cell r="BJ17">
            <v>46</v>
          </cell>
          <cell r="BK17">
            <v>67</v>
          </cell>
          <cell r="BL17">
            <v>67</v>
          </cell>
          <cell r="BM17" t="str">
            <v>A</v>
          </cell>
          <cell r="BN17" t="str">
            <v/>
          </cell>
          <cell r="BO17" t="str">
            <v/>
          </cell>
          <cell r="BP17" t="str">
            <v/>
          </cell>
          <cell r="BQ17">
            <v>0</v>
          </cell>
          <cell r="BR17">
            <v>0</v>
          </cell>
          <cell r="BS17" t="str">
            <v>-</v>
          </cell>
          <cell r="BT17">
            <v>18</v>
          </cell>
          <cell r="BU17">
            <v>20</v>
          </cell>
          <cell r="BV17">
            <v>31</v>
          </cell>
          <cell r="BW17">
            <v>69</v>
          </cell>
          <cell r="BX17">
            <v>69</v>
          </cell>
          <cell r="BY17" t="str">
            <v>A</v>
          </cell>
          <cell r="BZ17" t="str">
            <v/>
          </cell>
          <cell r="CA17" t="str">
            <v/>
          </cell>
          <cell r="CB17" t="str">
            <v/>
          </cell>
          <cell r="CC17">
            <v>0</v>
          </cell>
          <cell r="CD17">
            <v>0</v>
          </cell>
          <cell r="CE17" t="str">
            <v>-</v>
          </cell>
          <cell r="CF17">
            <v>20</v>
          </cell>
          <cell r="CG17">
            <v>15</v>
          </cell>
          <cell r="CH17">
            <v>31</v>
          </cell>
          <cell r="CI17">
            <v>66</v>
          </cell>
          <cell r="CJ17">
            <v>66</v>
          </cell>
          <cell r="CK17" t="str">
            <v>A</v>
          </cell>
          <cell r="CL17">
            <v>713</v>
          </cell>
          <cell r="CM17">
            <v>713</v>
          </cell>
          <cell r="CN17" t="str">
            <v>A</v>
          </cell>
          <cell r="CO17" t="str">
            <v>9th</v>
          </cell>
          <cell r="CP17">
            <v>49</v>
          </cell>
          <cell r="CQ17">
            <v>0</v>
          </cell>
          <cell r="CR17">
            <v>88</v>
          </cell>
          <cell r="CS17" t="str">
            <v>10th</v>
          </cell>
          <cell r="CT17">
            <v>49</v>
          </cell>
          <cell r="CU17">
            <v>0</v>
          </cell>
          <cell r="CV17">
            <v>65</v>
          </cell>
          <cell r="CW17" t="str">
            <v>6th</v>
          </cell>
          <cell r="CX17">
            <v>73</v>
          </cell>
          <cell r="CY17">
            <v>0</v>
          </cell>
          <cell r="CZ17">
            <v>90</v>
          </cell>
          <cell r="DA17" t="str">
            <v>8th</v>
          </cell>
          <cell r="DB17">
            <v>90</v>
          </cell>
          <cell r="DC17">
            <v>0</v>
          </cell>
          <cell r="DD17">
            <v>95</v>
          </cell>
          <cell r="DE17" t="str">
            <v>3rd</v>
          </cell>
          <cell r="DF17">
            <v>58</v>
          </cell>
          <cell r="DG17">
            <v>0</v>
          </cell>
          <cell r="DH17">
            <v>81</v>
          </cell>
          <cell r="DI17" t="str">
            <v>6th</v>
          </cell>
          <cell r="DJ17">
            <v>85</v>
          </cell>
          <cell r="DK17">
            <v>0</v>
          </cell>
          <cell r="DL17">
            <v>95</v>
          </cell>
          <cell r="DM17" t="str">
            <v>12th</v>
          </cell>
          <cell r="DN17">
            <v>61</v>
          </cell>
          <cell r="DO17">
            <v>0</v>
          </cell>
          <cell r="DP17">
            <v>82</v>
          </cell>
          <cell r="DQ17" t="str">
            <v>16th</v>
          </cell>
          <cell r="DR17">
            <v>46</v>
          </cell>
          <cell r="DS17">
            <v>0</v>
          </cell>
          <cell r="DT17">
            <v>6</v>
          </cell>
          <cell r="DU17" t="str">
            <v>15th</v>
          </cell>
          <cell r="DV17">
            <v>0</v>
          </cell>
          <cell r="DW17">
            <v>0</v>
          </cell>
          <cell r="DX17">
            <v>56</v>
          </cell>
          <cell r="DY17" t="str">
            <v>N.R</v>
          </cell>
          <cell r="DZ17">
            <v>67</v>
          </cell>
          <cell r="EA17">
            <v>0</v>
          </cell>
          <cell r="EB17">
            <v>6</v>
          </cell>
          <cell r="EC17" t="str">
            <v>N.R</v>
          </cell>
          <cell r="ED17">
            <v>0</v>
          </cell>
          <cell r="EE17">
            <v>0</v>
          </cell>
          <cell r="EF17">
            <v>81</v>
          </cell>
          <cell r="EG17" t="str">
            <v>N.R</v>
          </cell>
          <cell r="EH17">
            <v>69</v>
          </cell>
          <cell r="EI17">
            <v>0</v>
          </cell>
          <cell r="EJ17">
            <v>6</v>
          </cell>
          <cell r="EK17" t="str">
            <v>7th</v>
          </cell>
          <cell r="EL17">
            <v>0</v>
          </cell>
          <cell r="EM17">
            <v>0</v>
          </cell>
          <cell r="EN17">
            <v>67</v>
          </cell>
          <cell r="EO17" t="str">
            <v>N.R</v>
          </cell>
          <cell r="EP17">
            <v>66</v>
          </cell>
          <cell r="EQ17">
            <v>0</v>
          </cell>
          <cell r="ER17">
            <v>76</v>
          </cell>
          <cell r="ES17" t="str">
            <v>3rd</v>
          </cell>
        </row>
        <row r="18">
          <cell r="A18" t="str">
            <v>BDS/21/063</v>
          </cell>
          <cell r="B18" t="str">
            <v>VINCENT KENNETH</v>
          </cell>
          <cell r="C18" t="str">
            <v>MALE</v>
          </cell>
          <cell r="D18">
            <v>40491</v>
          </cell>
          <cell r="E18">
            <v>0</v>
          </cell>
          <cell r="F18">
            <v>10</v>
          </cell>
          <cell r="G18">
            <v>5</v>
          </cell>
          <cell r="H18">
            <v>18</v>
          </cell>
          <cell r="I18">
            <v>33</v>
          </cell>
          <cell r="J18">
            <v>33</v>
          </cell>
          <cell r="K18" t="str">
            <v>B1</v>
          </cell>
          <cell r="L18">
            <v>1</v>
          </cell>
          <cell r="M18">
            <v>20</v>
          </cell>
          <cell r="N18">
            <v>7</v>
          </cell>
          <cell r="O18">
            <v>28</v>
          </cell>
          <cell r="P18">
            <v>28.000000000000004</v>
          </cell>
          <cell r="Q18" t="str">
            <v>C5</v>
          </cell>
          <cell r="R18">
            <v>10</v>
          </cell>
          <cell r="S18">
            <v>9</v>
          </cell>
          <cell r="T18">
            <v>46</v>
          </cell>
          <cell r="U18">
            <v>65</v>
          </cell>
          <cell r="V18">
            <v>65</v>
          </cell>
          <cell r="W18" t="str">
            <v>A</v>
          </cell>
          <cell r="X18">
            <v>20</v>
          </cell>
          <cell r="Y18">
            <v>20</v>
          </cell>
          <cell r="Z18">
            <v>50</v>
          </cell>
          <cell r="AA18">
            <v>90</v>
          </cell>
          <cell r="AB18">
            <v>90</v>
          </cell>
          <cell r="AC18" t="str">
            <v>A</v>
          </cell>
          <cell r="AD18">
            <v>10</v>
          </cell>
          <cell r="AE18">
            <v>10</v>
          </cell>
          <cell r="AF18">
            <v>15</v>
          </cell>
          <cell r="AG18">
            <v>35</v>
          </cell>
          <cell r="AH18">
            <v>35</v>
          </cell>
          <cell r="AI18" t="str">
            <v>B1</v>
          </cell>
          <cell r="AJ18">
            <v>20</v>
          </cell>
          <cell r="AK18">
            <v>20</v>
          </cell>
          <cell r="AL18">
            <v>55</v>
          </cell>
          <cell r="AM18">
            <v>95</v>
          </cell>
          <cell r="AN18">
            <v>95</v>
          </cell>
          <cell r="AO18" t="str">
            <v>A</v>
          </cell>
          <cell r="AP18">
            <v>20</v>
          </cell>
          <cell r="AQ18">
            <v>10</v>
          </cell>
          <cell r="AR18">
            <v>40</v>
          </cell>
          <cell r="AS18">
            <v>70</v>
          </cell>
          <cell r="AT18">
            <v>70</v>
          </cell>
          <cell r="AU18" t="str">
            <v>A</v>
          </cell>
          <cell r="AV18">
            <v>10</v>
          </cell>
          <cell r="AW18">
            <v>16</v>
          </cell>
          <cell r="AX18">
            <v>15</v>
          </cell>
          <cell r="AY18">
            <v>41</v>
          </cell>
          <cell r="AZ18">
            <v>41</v>
          </cell>
          <cell r="BA18" t="str">
            <v>A</v>
          </cell>
          <cell r="BB18" t="str">
            <v/>
          </cell>
          <cell r="BC18" t="str">
            <v/>
          </cell>
          <cell r="BD18" t="str">
            <v/>
          </cell>
          <cell r="BE18">
            <v>0</v>
          </cell>
          <cell r="BF18">
            <v>0</v>
          </cell>
          <cell r="BG18" t="str">
            <v>-</v>
          </cell>
          <cell r="BH18">
            <v>0</v>
          </cell>
          <cell r="BI18">
            <v>20</v>
          </cell>
          <cell r="BJ18">
            <v>30</v>
          </cell>
          <cell r="BK18">
            <v>50</v>
          </cell>
          <cell r="BL18">
            <v>50</v>
          </cell>
          <cell r="BM18" t="str">
            <v>A</v>
          </cell>
          <cell r="BN18" t="str">
            <v/>
          </cell>
          <cell r="BO18" t="str">
            <v/>
          </cell>
          <cell r="BP18" t="str">
            <v/>
          </cell>
          <cell r="BQ18">
            <v>0</v>
          </cell>
          <cell r="BR18">
            <v>0</v>
          </cell>
          <cell r="BS18" t="str">
            <v>-</v>
          </cell>
          <cell r="BT18">
            <v>0</v>
          </cell>
          <cell r="BU18">
            <v>13</v>
          </cell>
          <cell r="BV18">
            <v>15</v>
          </cell>
          <cell r="BW18">
            <v>28</v>
          </cell>
          <cell r="BX18">
            <v>28.000000000000004</v>
          </cell>
          <cell r="BY18" t="str">
            <v>C5</v>
          </cell>
          <cell r="BZ18" t="str">
            <v/>
          </cell>
          <cell r="CA18" t="str">
            <v/>
          </cell>
          <cell r="CB18" t="str">
            <v/>
          </cell>
          <cell r="CC18">
            <v>0</v>
          </cell>
          <cell r="CD18">
            <v>0</v>
          </cell>
          <cell r="CE18" t="str">
            <v>-</v>
          </cell>
          <cell r="CF18">
            <v>5</v>
          </cell>
          <cell r="CG18">
            <v>11</v>
          </cell>
          <cell r="CH18">
            <v>16</v>
          </cell>
          <cell r="CI18">
            <v>32</v>
          </cell>
          <cell r="CJ18">
            <v>32</v>
          </cell>
          <cell r="CK18" t="str">
            <v>B1</v>
          </cell>
          <cell r="CL18">
            <v>567</v>
          </cell>
          <cell r="CM18">
            <v>567</v>
          </cell>
          <cell r="CN18" t="str">
            <v>A</v>
          </cell>
          <cell r="CO18" t="str">
            <v>17th</v>
          </cell>
          <cell r="CP18">
            <v>33</v>
          </cell>
          <cell r="CQ18">
            <v>0</v>
          </cell>
          <cell r="CR18">
            <v>88</v>
          </cell>
          <cell r="CS18" t="str">
            <v>15th</v>
          </cell>
          <cell r="CT18">
            <v>28</v>
          </cell>
          <cell r="CU18">
            <v>0</v>
          </cell>
          <cell r="CV18">
            <v>65</v>
          </cell>
          <cell r="CW18" t="str">
            <v>15th</v>
          </cell>
          <cell r="CX18">
            <v>65</v>
          </cell>
          <cell r="CY18">
            <v>0</v>
          </cell>
          <cell r="CZ18">
            <v>90</v>
          </cell>
          <cell r="DA18" t="str">
            <v>13th</v>
          </cell>
          <cell r="DB18">
            <v>90</v>
          </cell>
          <cell r="DC18">
            <v>0</v>
          </cell>
          <cell r="DD18">
            <v>95</v>
          </cell>
          <cell r="DE18" t="str">
            <v>3rd</v>
          </cell>
          <cell r="DF18">
            <v>35</v>
          </cell>
          <cell r="DG18">
            <v>0</v>
          </cell>
          <cell r="DH18">
            <v>81</v>
          </cell>
          <cell r="DI18" t="str">
            <v>15th</v>
          </cell>
          <cell r="DJ18">
            <v>95</v>
          </cell>
          <cell r="DK18">
            <v>0</v>
          </cell>
          <cell r="DL18">
            <v>95</v>
          </cell>
          <cell r="DM18" t="str">
            <v>1st</v>
          </cell>
          <cell r="DN18">
            <v>70</v>
          </cell>
          <cell r="DO18">
            <v>0</v>
          </cell>
          <cell r="DP18">
            <v>82</v>
          </cell>
          <cell r="DQ18" t="str">
            <v>10th</v>
          </cell>
          <cell r="DR18">
            <v>41</v>
          </cell>
          <cell r="DS18">
            <v>0</v>
          </cell>
          <cell r="DT18">
            <v>7</v>
          </cell>
          <cell r="DU18" t="str">
            <v>16th</v>
          </cell>
          <cell r="DV18">
            <v>0</v>
          </cell>
          <cell r="DW18">
            <v>0</v>
          </cell>
          <cell r="DX18">
            <v>56</v>
          </cell>
          <cell r="DY18" t="str">
            <v>N.R</v>
          </cell>
          <cell r="DZ18">
            <v>50</v>
          </cell>
          <cell r="EA18">
            <v>0</v>
          </cell>
          <cell r="EB18">
            <v>7</v>
          </cell>
          <cell r="EC18" t="str">
            <v>N.R</v>
          </cell>
          <cell r="ED18">
            <v>0</v>
          </cell>
          <cell r="EE18">
            <v>0</v>
          </cell>
          <cell r="EF18">
            <v>81</v>
          </cell>
          <cell r="EG18" t="str">
            <v>N.R</v>
          </cell>
          <cell r="EH18">
            <v>28</v>
          </cell>
          <cell r="EI18">
            <v>0</v>
          </cell>
          <cell r="EJ18">
            <v>7</v>
          </cell>
          <cell r="EK18" t="str">
            <v>17th</v>
          </cell>
          <cell r="EL18">
            <v>0</v>
          </cell>
          <cell r="EM18">
            <v>0</v>
          </cell>
          <cell r="EN18">
            <v>67</v>
          </cell>
          <cell r="EO18" t="str">
            <v>N.R</v>
          </cell>
          <cell r="EP18">
            <v>32</v>
          </cell>
          <cell r="EQ18">
            <v>0</v>
          </cell>
          <cell r="ER18">
            <v>76</v>
          </cell>
          <cell r="ES18" t="str">
            <v>9th</v>
          </cell>
        </row>
        <row r="19">
          <cell r="A19" t="str">
            <v>BDS/21/066</v>
          </cell>
          <cell r="B19" t="str">
            <v>ISAAC CHIDERA</v>
          </cell>
          <cell r="C19" t="str">
            <v>MALE</v>
          </cell>
          <cell r="D19" t="str">
            <v>27/7/2010</v>
          </cell>
          <cell r="E19">
            <v>0</v>
          </cell>
          <cell r="F19">
            <v>10</v>
          </cell>
          <cell r="G19">
            <v>15</v>
          </cell>
          <cell r="H19">
            <v>26</v>
          </cell>
          <cell r="I19">
            <v>51</v>
          </cell>
          <cell r="J19">
            <v>51</v>
          </cell>
          <cell r="K19" t="str">
            <v>A</v>
          </cell>
          <cell r="L19">
            <v>8</v>
          </cell>
          <cell r="M19">
            <v>20</v>
          </cell>
          <cell r="N19">
            <v>20</v>
          </cell>
          <cell r="O19">
            <v>48</v>
          </cell>
          <cell r="P19">
            <v>48</v>
          </cell>
          <cell r="Q19" t="str">
            <v>A</v>
          </cell>
          <cell r="R19">
            <v>18</v>
          </cell>
          <cell r="S19">
            <v>10</v>
          </cell>
          <cell r="T19">
            <v>48</v>
          </cell>
          <cell r="U19">
            <v>76</v>
          </cell>
          <cell r="V19">
            <v>76</v>
          </cell>
          <cell r="W19" t="str">
            <v>A</v>
          </cell>
          <cell r="X19">
            <v>20</v>
          </cell>
          <cell r="Y19">
            <v>20</v>
          </cell>
          <cell r="Z19">
            <v>50</v>
          </cell>
          <cell r="AA19">
            <v>90</v>
          </cell>
          <cell r="AB19">
            <v>90</v>
          </cell>
          <cell r="AC19" t="str">
            <v>A</v>
          </cell>
          <cell r="AD19">
            <v>15</v>
          </cell>
          <cell r="AE19">
            <v>15</v>
          </cell>
          <cell r="AF19">
            <v>28</v>
          </cell>
          <cell r="AG19">
            <v>58</v>
          </cell>
          <cell r="AH19">
            <v>57.999999999999993</v>
          </cell>
          <cell r="AI19" t="str">
            <v>A</v>
          </cell>
          <cell r="AJ19">
            <v>15</v>
          </cell>
          <cell r="AK19">
            <v>20</v>
          </cell>
          <cell r="AL19">
            <v>55</v>
          </cell>
          <cell r="AM19">
            <v>90</v>
          </cell>
          <cell r="AN19">
            <v>90</v>
          </cell>
          <cell r="AO19" t="str">
            <v>A</v>
          </cell>
          <cell r="AP19">
            <v>20</v>
          </cell>
          <cell r="AQ19">
            <v>10</v>
          </cell>
          <cell r="AR19">
            <v>40</v>
          </cell>
          <cell r="AS19">
            <v>70</v>
          </cell>
          <cell r="AT19">
            <v>70</v>
          </cell>
          <cell r="AU19" t="str">
            <v>A</v>
          </cell>
          <cell r="AV19">
            <v>13</v>
          </cell>
          <cell r="AW19">
            <v>20</v>
          </cell>
          <cell r="AX19">
            <v>40</v>
          </cell>
          <cell r="AY19">
            <v>73</v>
          </cell>
          <cell r="AZ19">
            <v>73</v>
          </cell>
          <cell r="BA19" t="str">
            <v>A</v>
          </cell>
          <cell r="BB19" t="str">
            <v/>
          </cell>
          <cell r="BC19" t="str">
            <v/>
          </cell>
          <cell r="BD19" t="str">
            <v/>
          </cell>
          <cell r="BE19">
            <v>0</v>
          </cell>
          <cell r="BF19">
            <v>0</v>
          </cell>
          <cell r="BG19" t="str">
            <v>-</v>
          </cell>
          <cell r="BH19">
            <v>13</v>
          </cell>
          <cell r="BI19">
            <v>20</v>
          </cell>
          <cell r="BJ19">
            <v>51</v>
          </cell>
          <cell r="BK19">
            <v>84</v>
          </cell>
          <cell r="BL19">
            <v>84</v>
          </cell>
          <cell r="BM19" t="str">
            <v>A</v>
          </cell>
          <cell r="BN19" t="str">
            <v/>
          </cell>
          <cell r="BO19" t="str">
            <v/>
          </cell>
          <cell r="BP19" t="str">
            <v/>
          </cell>
          <cell r="BQ19">
            <v>0</v>
          </cell>
          <cell r="BR19">
            <v>0</v>
          </cell>
          <cell r="BS19" t="str">
            <v>-</v>
          </cell>
          <cell r="BT19">
            <v>16</v>
          </cell>
          <cell r="BU19">
            <v>20</v>
          </cell>
          <cell r="BV19">
            <v>25</v>
          </cell>
          <cell r="BW19">
            <v>61</v>
          </cell>
          <cell r="BX19">
            <v>61</v>
          </cell>
          <cell r="BY19" t="str">
            <v>A</v>
          </cell>
          <cell r="BZ19" t="str">
            <v/>
          </cell>
          <cell r="CA19" t="str">
            <v/>
          </cell>
          <cell r="CB19" t="str">
            <v/>
          </cell>
          <cell r="CC19">
            <v>0</v>
          </cell>
          <cell r="CD19">
            <v>0</v>
          </cell>
          <cell r="CE19" t="str">
            <v>-</v>
          </cell>
          <cell r="CF19">
            <v>20</v>
          </cell>
          <cell r="CG19">
            <v>15</v>
          </cell>
          <cell r="CH19">
            <v>35</v>
          </cell>
          <cell r="CI19">
            <v>70</v>
          </cell>
          <cell r="CJ19">
            <v>70</v>
          </cell>
          <cell r="CK19" t="str">
            <v>A</v>
          </cell>
          <cell r="CL19">
            <v>771</v>
          </cell>
          <cell r="CM19">
            <v>771</v>
          </cell>
          <cell r="CN19" t="str">
            <v>A</v>
          </cell>
          <cell r="CO19" t="str">
            <v>4th</v>
          </cell>
          <cell r="CP19">
            <v>51</v>
          </cell>
          <cell r="CQ19">
            <v>0</v>
          </cell>
          <cell r="CR19">
            <v>88</v>
          </cell>
          <cell r="CS19" t="str">
            <v>9th</v>
          </cell>
          <cell r="CT19">
            <v>48</v>
          </cell>
          <cell r="CU19">
            <v>0</v>
          </cell>
          <cell r="CV19">
            <v>65</v>
          </cell>
          <cell r="CW19" t="str">
            <v>7th</v>
          </cell>
          <cell r="CX19">
            <v>76</v>
          </cell>
          <cell r="CY19">
            <v>0</v>
          </cell>
          <cell r="CZ19">
            <v>90</v>
          </cell>
          <cell r="DA19" t="str">
            <v>7th</v>
          </cell>
          <cell r="DB19">
            <v>90</v>
          </cell>
          <cell r="DC19">
            <v>0</v>
          </cell>
          <cell r="DD19">
            <v>95</v>
          </cell>
          <cell r="DE19" t="str">
            <v>3rd</v>
          </cell>
          <cell r="DF19">
            <v>58</v>
          </cell>
          <cell r="DG19">
            <v>0</v>
          </cell>
          <cell r="DH19">
            <v>81</v>
          </cell>
          <cell r="DI19" t="str">
            <v>6th</v>
          </cell>
          <cell r="DJ19">
            <v>90</v>
          </cell>
          <cell r="DK19">
            <v>0</v>
          </cell>
          <cell r="DL19">
            <v>95</v>
          </cell>
          <cell r="DM19" t="str">
            <v>6th</v>
          </cell>
          <cell r="DN19">
            <v>70</v>
          </cell>
          <cell r="DO19">
            <v>0</v>
          </cell>
          <cell r="DP19">
            <v>82</v>
          </cell>
          <cell r="DQ19" t="str">
            <v>10th</v>
          </cell>
          <cell r="DR19">
            <v>73</v>
          </cell>
          <cell r="DS19">
            <v>0</v>
          </cell>
          <cell r="DT19">
            <v>8</v>
          </cell>
          <cell r="DU19" t="str">
            <v>3rd</v>
          </cell>
          <cell r="DV19">
            <v>0</v>
          </cell>
          <cell r="DW19">
            <v>0</v>
          </cell>
          <cell r="DX19">
            <v>56</v>
          </cell>
          <cell r="DY19" t="str">
            <v>N.R</v>
          </cell>
          <cell r="DZ19">
            <v>84</v>
          </cell>
          <cell r="EA19">
            <v>0</v>
          </cell>
          <cell r="EB19">
            <v>8</v>
          </cell>
          <cell r="EC19" t="str">
            <v>N.R</v>
          </cell>
          <cell r="ED19">
            <v>0</v>
          </cell>
          <cell r="EE19">
            <v>0</v>
          </cell>
          <cell r="EF19">
            <v>81</v>
          </cell>
          <cell r="EG19" t="str">
            <v>N.R</v>
          </cell>
          <cell r="EH19">
            <v>61</v>
          </cell>
          <cell r="EI19">
            <v>0</v>
          </cell>
          <cell r="EJ19">
            <v>8</v>
          </cell>
          <cell r="EK19" t="str">
            <v>13th</v>
          </cell>
          <cell r="EL19">
            <v>0</v>
          </cell>
          <cell r="EM19">
            <v>0</v>
          </cell>
          <cell r="EN19">
            <v>67</v>
          </cell>
          <cell r="EO19" t="str">
            <v>N.R</v>
          </cell>
          <cell r="EP19">
            <v>70</v>
          </cell>
          <cell r="EQ19">
            <v>0</v>
          </cell>
          <cell r="ER19">
            <v>76</v>
          </cell>
          <cell r="ES19" t="str">
            <v>2nd</v>
          </cell>
        </row>
        <row r="20">
          <cell r="A20" t="str">
            <v>BDS/21/067</v>
          </cell>
          <cell r="B20" t="str">
            <v>IFEANYI KASARACHI</v>
          </cell>
          <cell r="C20" t="str">
            <v>MALE</v>
          </cell>
          <cell r="D20" t="str">
            <v>28/10/2009</v>
          </cell>
          <cell r="E20">
            <v>0</v>
          </cell>
          <cell r="F20">
            <v>5</v>
          </cell>
          <cell r="G20">
            <v>5</v>
          </cell>
          <cell r="H20">
            <v>20</v>
          </cell>
          <cell r="I20">
            <v>30</v>
          </cell>
          <cell r="J20">
            <v>30</v>
          </cell>
          <cell r="K20" t="str">
            <v>B2</v>
          </cell>
          <cell r="L20">
            <v>1</v>
          </cell>
          <cell r="M20">
            <v>20</v>
          </cell>
          <cell r="N20">
            <v>10</v>
          </cell>
          <cell r="O20">
            <v>31</v>
          </cell>
          <cell r="P20">
            <v>31</v>
          </cell>
          <cell r="Q20" t="str">
            <v>B1</v>
          </cell>
          <cell r="R20">
            <v>7</v>
          </cell>
          <cell r="S20">
            <v>10</v>
          </cell>
          <cell r="T20">
            <v>43</v>
          </cell>
          <cell r="U20">
            <v>60</v>
          </cell>
          <cell r="V20">
            <v>60</v>
          </cell>
          <cell r="W20" t="str">
            <v>A</v>
          </cell>
          <cell r="X20">
            <v>15</v>
          </cell>
          <cell r="Y20">
            <v>20</v>
          </cell>
          <cell r="Z20">
            <v>55</v>
          </cell>
          <cell r="AA20">
            <v>90</v>
          </cell>
          <cell r="AB20">
            <v>90</v>
          </cell>
          <cell r="AC20" t="str">
            <v>A</v>
          </cell>
          <cell r="AD20">
            <v>15</v>
          </cell>
          <cell r="AE20">
            <v>15</v>
          </cell>
          <cell r="AF20">
            <v>12</v>
          </cell>
          <cell r="AG20">
            <v>42</v>
          </cell>
          <cell r="AH20">
            <v>42</v>
          </cell>
          <cell r="AI20" t="str">
            <v>A</v>
          </cell>
          <cell r="AJ20">
            <v>15</v>
          </cell>
          <cell r="AK20">
            <v>20</v>
          </cell>
          <cell r="AL20">
            <v>50</v>
          </cell>
          <cell r="AM20">
            <v>85</v>
          </cell>
          <cell r="AN20">
            <v>85</v>
          </cell>
          <cell r="AO20" t="str">
            <v>A</v>
          </cell>
          <cell r="AP20">
            <v>18</v>
          </cell>
          <cell r="AQ20">
            <v>20</v>
          </cell>
          <cell r="AR20">
            <v>42</v>
          </cell>
          <cell r="AS20">
            <v>80</v>
          </cell>
          <cell r="AT20">
            <v>80</v>
          </cell>
          <cell r="AU20" t="str">
            <v>A</v>
          </cell>
          <cell r="AV20">
            <v>10</v>
          </cell>
          <cell r="AW20">
            <v>17</v>
          </cell>
          <cell r="AX20">
            <v>26</v>
          </cell>
          <cell r="AY20">
            <v>53</v>
          </cell>
          <cell r="AZ20">
            <v>53</v>
          </cell>
          <cell r="BA20" t="str">
            <v>A</v>
          </cell>
          <cell r="BB20" t="str">
            <v/>
          </cell>
          <cell r="BC20" t="str">
            <v/>
          </cell>
          <cell r="BD20">
            <v>36</v>
          </cell>
          <cell r="BE20">
            <v>36</v>
          </cell>
          <cell r="BF20">
            <v>36</v>
          </cell>
          <cell r="BG20" t="str">
            <v>A</v>
          </cell>
          <cell r="BH20">
            <v>12</v>
          </cell>
          <cell r="BI20">
            <v>20</v>
          </cell>
          <cell r="BJ20">
            <v>25</v>
          </cell>
          <cell r="BK20">
            <v>57</v>
          </cell>
          <cell r="BL20">
            <v>56.999999999999993</v>
          </cell>
          <cell r="BM20" t="str">
            <v>A</v>
          </cell>
          <cell r="BN20" t="str">
            <v/>
          </cell>
          <cell r="BO20" t="str">
            <v/>
          </cell>
          <cell r="BP20" t="str">
            <v/>
          </cell>
          <cell r="BQ20">
            <v>0</v>
          </cell>
          <cell r="BR20">
            <v>0</v>
          </cell>
          <cell r="BS20" t="str">
            <v>-</v>
          </cell>
          <cell r="BT20">
            <v>10</v>
          </cell>
          <cell r="BU20">
            <v>10</v>
          </cell>
          <cell r="BV20">
            <v>30</v>
          </cell>
          <cell r="BW20">
            <v>50</v>
          </cell>
          <cell r="BX20">
            <v>50</v>
          </cell>
          <cell r="BY20" t="str">
            <v>A</v>
          </cell>
          <cell r="BZ20" t="str">
            <v/>
          </cell>
          <cell r="CA20" t="str">
            <v/>
          </cell>
          <cell r="CB20" t="str">
            <v/>
          </cell>
          <cell r="CC20">
            <v>0</v>
          </cell>
          <cell r="CD20">
            <v>0</v>
          </cell>
          <cell r="CE20" t="str">
            <v>-</v>
          </cell>
          <cell r="CF20" t="str">
            <v/>
          </cell>
          <cell r="CG20" t="str">
            <v/>
          </cell>
          <cell r="CH20" t="str">
            <v/>
          </cell>
          <cell r="CI20">
            <v>0</v>
          </cell>
          <cell r="CJ20">
            <v>0</v>
          </cell>
          <cell r="CK20" t="str">
            <v>-</v>
          </cell>
          <cell r="CL20">
            <v>614</v>
          </cell>
          <cell r="CM20">
            <v>614</v>
          </cell>
          <cell r="CN20" t="str">
            <v>A</v>
          </cell>
          <cell r="CO20" t="str">
            <v>15th</v>
          </cell>
          <cell r="CP20">
            <v>30</v>
          </cell>
          <cell r="CQ20">
            <v>0</v>
          </cell>
          <cell r="CR20">
            <v>88</v>
          </cell>
          <cell r="CS20" t="str">
            <v>16th</v>
          </cell>
          <cell r="CT20">
            <v>31</v>
          </cell>
          <cell r="CU20">
            <v>0</v>
          </cell>
          <cell r="CV20">
            <v>65</v>
          </cell>
          <cell r="CW20" t="str">
            <v>12th</v>
          </cell>
          <cell r="CX20">
            <v>60</v>
          </cell>
          <cell r="CY20">
            <v>0</v>
          </cell>
          <cell r="CZ20">
            <v>90</v>
          </cell>
          <cell r="DA20" t="str">
            <v>16th</v>
          </cell>
          <cell r="DB20">
            <v>90</v>
          </cell>
          <cell r="DC20">
            <v>0</v>
          </cell>
          <cell r="DD20">
            <v>95</v>
          </cell>
          <cell r="DE20" t="str">
            <v>3rd</v>
          </cell>
          <cell r="DF20">
            <v>42</v>
          </cell>
          <cell r="DG20">
            <v>0</v>
          </cell>
          <cell r="DH20">
            <v>81</v>
          </cell>
          <cell r="DI20" t="str">
            <v>13th</v>
          </cell>
          <cell r="DJ20">
            <v>85</v>
          </cell>
          <cell r="DK20">
            <v>0</v>
          </cell>
          <cell r="DL20">
            <v>95</v>
          </cell>
          <cell r="DM20" t="str">
            <v>12th</v>
          </cell>
          <cell r="DN20">
            <v>80</v>
          </cell>
          <cell r="DO20">
            <v>0</v>
          </cell>
          <cell r="DP20">
            <v>82</v>
          </cell>
          <cell r="DQ20" t="str">
            <v>2nd</v>
          </cell>
          <cell r="DR20">
            <v>53</v>
          </cell>
          <cell r="DS20">
            <v>0</v>
          </cell>
          <cell r="DT20">
            <v>9</v>
          </cell>
          <cell r="DU20" t="str">
            <v>12th</v>
          </cell>
          <cell r="DV20">
            <v>36</v>
          </cell>
          <cell r="DW20">
            <v>0</v>
          </cell>
          <cell r="DX20">
            <v>56</v>
          </cell>
          <cell r="DY20" t="str">
            <v>6th</v>
          </cell>
          <cell r="DZ20">
            <v>57</v>
          </cell>
          <cell r="EA20">
            <v>0</v>
          </cell>
          <cell r="EB20">
            <v>9</v>
          </cell>
          <cell r="EC20" t="str">
            <v>N.R</v>
          </cell>
          <cell r="ED20">
            <v>0</v>
          </cell>
          <cell r="EE20">
            <v>0</v>
          </cell>
          <cell r="EF20">
            <v>81</v>
          </cell>
          <cell r="EG20" t="str">
            <v>N.R</v>
          </cell>
          <cell r="EH20">
            <v>50</v>
          </cell>
          <cell r="EI20">
            <v>0</v>
          </cell>
          <cell r="EJ20">
            <v>9</v>
          </cell>
          <cell r="EK20" t="str">
            <v>14th</v>
          </cell>
          <cell r="EL20">
            <v>0</v>
          </cell>
          <cell r="EM20">
            <v>0</v>
          </cell>
          <cell r="EN20">
            <v>67</v>
          </cell>
          <cell r="EO20" t="str">
            <v>N.R</v>
          </cell>
          <cell r="EP20">
            <v>0</v>
          </cell>
          <cell r="EQ20">
            <v>0</v>
          </cell>
          <cell r="ER20">
            <v>76</v>
          </cell>
          <cell r="ES20" t="str">
            <v>N.R</v>
          </cell>
        </row>
        <row r="21">
          <cell r="A21" t="str">
            <v>BDS/21/069</v>
          </cell>
          <cell r="B21" t="str">
            <v>FAVOUR CHINEDU</v>
          </cell>
          <cell r="C21" t="str">
            <v>MALE</v>
          </cell>
          <cell r="D21">
            <v>40188</v>
          </cell>
          <cell r="E21">
            <v>0</v>
          </cell>
          <cell r="F21">
            <v>10</v>
          </cell>
          <cell r="G21">
            <v>5</v>
          </cell>
          <cell r="H21">
            <v>23</v>
          </cell>
          <cell r="I21">
            <v>38</v>
          </cell>
          <cell r="J21">
            <v>38</v>
          </cell>
          <cell r="K21" t="str">
            <v>A</v>
          </cell>
          <cell r="L21">
            <v>9</v>
          </cell>
          <cell r="M21">
            <v>20</v>
          </cell>
          <cell r="N21">
            <v>9</v>
          </cell>
          <cell r="O21">
            <v>38</v>
          </cell>
          <cell r="P21">
            <v>38</v>
          </cell>
          <cell r="Q21" t="str">
            <v>A</v>
          </cell>
          <cell r="R21">
            <v>15</v>
          </cell>
          <cell r="S21">
            <v>15</v>
          </cell>
          <cell r="T21">
            <v>47</v>
          </cell>
          <cell r="U21">
            <v>77</v>
          </cell>
          <cell r="V21">
            <v>77</v>
          </cell>
          <cell r="W21" t="str">
            <v>A</v>
          </cell>
          <cell r="X21">
            <v>15</v>
          </cell>
          <cell r="Y21">
            <v>20</v>
          </cell>
          <cell r="Z21">
            <v>55</v>
          </cell>
          <cell r="AA21">
            <v>90</v>
          </cell>
          <cell r="AB21">
            <v>90</v>
          </cell>
          <cell r="AC21" t="str">
            <v>A</v>
          </cell>
          <cell r="AD21">
            <v>15</v>
          </cell>
          <cell r="AE21">
            <v>15</v>
          </cell>
          <cell r="AF21">
            <v>24</v>
          </cell>
          <cell r="AG21">
            <v>54</v>
          </cell>
          <cell r="AH21">
            <v>54</v>
          </cell>
          <cell r="AI21" t="str">
            <v>A</v>
          </cell>
          <cell r="AJ21">
            <v>20</v>
          </cell>
          <cell r="AK21">
            <v>20</v>
          </cell>
          <cell r="AL21">
            <v>55</v>
          </cell>
          <cell r="AM21">
            <v>95</v>
          </cell>
          <cell r="AN21">
            <v>95</v>
          </cell>
          <cell r="AO21" t="str">
            <v>A</v>
          </cell>
          <cell r="AP21">
            <v>10</v>
          </cell>
          <cell r="AQ21">
            <v>10</v>
          </cell>
          <cell r="AR21">
            <v>42</v>
          </cell>
          <cell r="AS21">
            <v>62</v>
          </cell>
          <cell r="AT21">
            <v>62</v>
          </cell>
          <cell r="AU21" t="str">
            <v>A</v>
          </cell>
          <cell r="AV21">
            <v>8</v>
          </cell>
          <cell r="AW21">
            <v>10</v>
          </cell>
          <cell r="AX21">
            <v>36</v>
          </cell>
          <cell r="AY21">
            <v>54</v>
          </cell>
          <cell r="AZ21">
            <v>54</v>
          </cell>
          <cell r="BA21" t="str">
            <v>A</v>
          </cell>
          <cell r="BB21" t="str">
            <v/>
          </cell>
          <cell r="BC21" t="str">
            <v/>
          </cell>
          <cell r="BD21" t="str">
            <v/>
          </cell>
          <cell r="BE21">
            <v>0</v>
          </cell>
          <cell r="BF21">
            <v>0</v>
          </cell>
          <cell r="BG21" t="str">
            <v>-</v>
          </cell>
          <cell r="BH21">
            <v>5</v>
          </cell>
          <cell r="BI21">
            <v>20</v>
          </cell>
          <cell r="BJ21">
            <v>43</v>
          </cell>
          <cell r="BK21">
            <v>68</v>
          </cell>
          <cell r="BL21">
            <v>68</v>
          </cell>
          <cell r="BM21" t="str">
            <v>A</v>
          </cell>
          <cell r="BN21" t="str">
            <v/>
          </cell>
          <cell r="BO21" t="str">
            <v/>
          </cell>
          <cell r="BP21" t="str">
            <v/>
          </cell>
          <cell r="BQ21">
            <v>0</v>
          </cell>
          <cell r="BR21">
            <v>0</v>
          </cell>
          <cell r="BS21" t="str">
            <v>-</v>
          </cell>
          <cell r="BT21">
            <v>20</v>
          </cell>
          <cell r="BU21">
            <v>20</v>
          </cell>
          <cell r="BV21">
            <v>26</v>
          </cell>
          <cell r="BW21">
            <v>66</v>
          </cell>
          <cell r="BX21">
            <v>66</v>
          </cell>
          <cell r="BY21" t="str">
            <v>A</v>
          </cell>
          <cell r="BZ21" t="str">
            <v/>
          </cell>
          <cell r="CA21" t="str">
            <v/>
          </cell>
          <cell r="CB21" t="str">
            <v/>
          </cell>
          <cell r="CC21">
            <v>0</v>
          </cell>
          <cell r="CD21">
            <v>0</v>
          </cell>
          <cell r="CE21" t="str">
            <v>-</v>
          </cell>
          <cell r="CF21">
            <v>20</v>
          </cell>
          <cell r="CG21">
            <v>13</v>
          </cell>
          <cell r="CH21">
            <v>17</v>
          </cell>
          <cell r="CI21">
            <v>50</v>
          </cell>
          <cell r="CJ21">
            <v>50</v>
          </cell>
          <cell r="CK21" t="str">
            <v>A</v>
          </cell>
          <cell r="CL21">
            <v>692</v>
          </cell>
          <cell r="CM21">
            <v>692</v>
          </cell>
          <cell r="CN21" t="str">
            <v>A</v>
          </cell>
          <cell r="CO21" t="str">
            <v>12th</v>
          </cell>
          <cell r="CP21">
            <v>38</v>
          </cell>
          <cell r="CQ21">
            <v>0</v>
          </cell>
          <cell r="CR21">
            <v>88</v>
          </cell>
          <cell r="CS21" t="str">
            <v>13th</v>
          </cell>
          <cell r="CT21">
            <v>38</v>
          </cell>
          <cell r="CU21">
            <v>0</v>
          </cell>
          <cell r="CV21">
            <v>65</v>
          </cell>
          <cell r="CW21" t="str">
            <v>10th</v>
          </cell>
          <cell r="CX21">
            <v>77</v>
          </cell>
          <cell r="CY21">
            <v>0</v>
          </cell>
          <cell r="CZ21">
            <v>90</v>
          </cell>
          <cell r="DA21" t="str">
            <v>6th</v>
          </cell>
          <cell r="DB21">
            <v>90</v>
          </cell>
          <cell r="DC21">
            <v>0</v>
          </cell>
          <cell r="DD21">
            <v>95</v>
          </cell>
          <cell r="DE21" t="str">
            <v>3rd</v>
          </cell>
          <cell r="DF21">
            <v>54</v>
          </cell>
          <cell r="DG21">
            <v>0</v>
          </cell>
          <cell r="DH21">
            <v>81</v>
          </cell>
          <cell r="DI21" t="str">
            <v>10th</v>
          </cell>
          <cell r="DJ21">
            <v>95</v>
          </cell>
          <cell r="DK21">
            <v>0</v>
          </cell>
          <cell r="DL21">
            <v>95</v>
          </cell>
          <cell r="DM21" t="str">
            <v>1st</v>
          </cell>
          <cell r="DN21">
            <v>62</v>
          </cell>
          <cell r="DO21">
            <v>0</v>
          </cell>
          <cell r="DP21">
            <v>82</v>
          </cell>
          <cell r="DQ21" t="str">
            <v>15th</v>
          </cell>
          <cell r="DR21">
            <v>54</v>
          </cell>
          <cell r="DS21">
            <v>0</v>
          </cell>
          <cell r="DT21">
            <v>10</v>
          </cell>
          <cell r="DU21" t="str">
            <v>8th</v>
          </cell>
          <cell r="DV21">
            <v>0</v>
          </cell>
          <cell r="DW21">
            <v>0</v>
          </cell>
          <cell r="DX21">
            <v>56</v>
          </cell>
          <cell r="DY21" t="str">
            <v>N.R</v>
          </cell>
          <cell r="DZ21">
            <v>68</v>
          </cell>
          <cell r="EA21">
            <v>0</v>
          </cell>
          <cell r="EB21">
            <v>10</v>
          </cell>
          <cell r="EC21" t="str">
            <v>N.R</v>
          </cell>
          <cell r="ED21">
            <v>0</v>
          </cell>
          <cell r="EE21">
            <v>0</v>
          </cell>
          <cell r="EF21">
            <v>81</v>
          </cell>
          <cell r="EG21" t="str">
            <v>N.R</v>
          </cell>
          <cell r="EH21">
            <v>66</v>
          </cell>
          <cell r="EI21">
            <v>0</v>
          </cell>
          <cell r="EJ21">
            <v>10</v>
          </cell>
          <cell r="EK21" t="str">
            <v>10th</v>
          </cell>
          <cell r="EL21">
            <v>0</v>
          </cell>
          <cell r="EM21">
            <v>0</v>
          </cell>
          <cell r="EN21">
            <v>67</v>
          </cell>
          <cell r="EO21" t="str">
            <v>N.R</v>
          </cell>
          <cell r="EP21">
            <v>50</v>
          </cell>
          <cell r="EQ21">
            <v>0</v>
          </cell>
          <cell r="ER21">
            <v>76</v>
          </cell>
          <cell r="ES21" t="str">
            <v>6th</v>
          </cell>
        </row>
        <row r="22">
          <cell r="A22" t="str">
            <v>BDS/21/070</v>
          </cell>
          <cell r="B22" t="str">
            <v>CHIDIEBERE MIRACLE</v>
          </cell>
          <cell r="C22" t="str">
            <v>MALE</v>
          </cell>
          <cell r="D22" t="str">
            <v>20/2/2008</v>
          </cell>
          <cell r="E22">
            <v>0</v>
          </cell>
          <cell r="F22">
            <v>10</v>
          </cell>
          <cell r="G22">
            <v>15</v>
          </cell>
          <cell r="H22">
            <v>15</v>
          </cell>
          <cell r="I22">
            <v>40</v>
          </cell>
          <cell r="J22">
            <v>40</v>
          </cell>
          <cell r="K22" t="str">
            <v>A</v>
          </cell>
          <cell r="L22">
            <v>0</v>
          </cell>
          <cell r="M22">
            <v>20</v>
          </cell>
          <cell r="N22">
            <v>0</v>
          </cell>
          <cell r="O22">
            <v>20</v>
          </cell>
          <cell r="P22">
            <v>20</v>
          </cell>
          <cell r="Q22" t="str">
            <v>D</v>
          </cell>
          <cell r="R22">
            <v>8</v>
          </cell>
          <cell r="S22">
            <v>10</v>
          </cell>
          <cell r="T22">
            <v>47</v>
          </cell>
          <cell r="U22">
            <v>65</v>
          </cell>
          <cell r="V22">
            <v>65</v>
          </cell>
          <cell r="W22" t="str">
            <v>A</v>
          </cell>
          <cell r="X22">
            <v>15</v>
          </cell>
          <cell r="Y22">
            <v>20</v>
          </cell>
          <cell r="Z22">
            <v>55</v>
          </cell>
          <cell r="AA22">
            <v>90</v>
          </cell>
          <cell r="AB22">
            <v>90</v>
          </cell>
          <cell r="AC22" t="str">
            <v>A</v>
          </cell>
          <cell r="AD22">
            <v>15</v>
          </cell>
          <cell r="AE22">
            <v>15</v>
          </cell>
          <cell r="AF22">
            <v>46</v>
          </cell>
          <cell r="AG22">
            <v>76</v>
          </cell>
          <cell r="AH22">
            <v>76</v>
          </cell>
          <cell r="AI22" t="str">
            <v>A</v>
          </cell>
          <cell r="AJ22">
            <v>20</v>
          </cell>
          <cell r="AK22">
            <v>20</v>
          </cell>
          <cell r="AL22">
            <v>50</v>
          </cell>
          <cell r="AM22">
            <v>90</v>
          </cell>
          <cell r="AN22">
            <v>90</v>
          </cell>
          <cell r="AO22" t="str">
            <v>A</v>
          </cell>
          <cell r="AP22">
            <v>18</v>
          </cell>
          <cell r="AQ22">
            <v>10</v>
          </cell>
          <cell r="AR22">
            <v>45</v>
          </cell>
          <cell r="AS22">
            <v>73</v>
          </cell>
          <cell r="AT22">
            <v>73</v>
          </cell>
          <cell r="AU22" t="str">
            <v>A</v>
          </cell>
          <cell r="AV22" t="str">
            <v/>
          </cell>
          <cell r="AW22" t="str">
            <v/>
          </cell>
          <cell r="AX22" t="str">
            <v/>
          </cell>
          <cell r="AY22">
            <v>0</v>
          </cell>
          <cell r="AZ22">
            <v>0</v>
          </cell>
          <cell r="BA22" t="str">
            <v>-</v>
          </cell>
          <cell r="BB22" t="str">
            <v/>
          </cell>
          <cell r="BC22" t="str">
            <v/>
          </cell>
          <cell r="BD22" t="str">
            <v/>
          </cell>
          <cell r="BE22">
            <v>0</v>
          </cell>
          <cell r="BF22">
            <v>0</v>
          </cell>
          <cell r="BG22" t="str">
            <v>-</v>
          </cell>
          <cell r="BH22" t="str">
            <v/>
          </cell>
          <cell r="BI22" t="str">
            <v/>
          </cell>
          <cell r="BJ22" t="str">
            <v/>
          </cell>
          <cell r="BK22">
            <v>0</v>
          </cell>
          <cell r="BL22">
            <v>0</v>
          </cell>
          <cell r="BM22" t="str">
            <v>-</v>
          </cell>
          <cell r="BN22">
            <v>19</v>
          </cell>
          <cell r="BO22">
            <v>20</v>
          </cell>
          <cell r="BP22">
            <v>42</v>
          </cell>
          <cell r="BQ22">
            <v>81</v>
          </cell>
          <cell r="BR22">
            <v>81</v>
          </cell>
          <cell r="BS22" t="str">
            <v>A</v>
          </cell>
          <cell r="BT22">
            <v>10</v>
          </cell>
          <cell r="BU22">
            <v>20</v>
          </cell>
          <cell r="BV22">
            <v>10</v>
          </cell>
          <cell r="BW22">
            <v>40</v>
          </cell>
          <cell r="BX22">
            <v>40</v>
          </cell>
          <cell r="BY22" t="str">
            <v>A</v>
          </cell>
          <cell r="BZ22" t="str">
            <v/>
          </cell>
          <cell r="CA22" t="str">
            <v/>
          </cell>
          <cell r="CB22" t="str">
            <v/>
          </cell>
          <cell r="CC22">
            <v>0</v>
          </cell>
          <cell r="CD22">
            <v>0</v>
          </cell>
          <cell r="CE22" t="str">
            <v>-</v>
          </cell>
          <cell r="CF22">
            <v>20</v>
          </cell>
          <cell r="CG22">
            <v>8</v>
          </cell>
          <cell r="CH22">
            <v>30</v>
          </cell>
          <cell r="CI22">
            <v>58</v>
          </cell>
          <cell r="CJ22">
            <v>57.999999999999993</v>
          </cell>
          <cell r="CK22" t="str">
            <v>A</v>
          </cell>
          <cell r="CL22">
            <v>633</v>
          </cell>
          <cell r="CM22">
            <v>633</v>
          </cell>
          <cell r="CN22" t="str">
            <v>A</v>
          </cell>
          <cell r="CO22" t="str">
            <v>13th</v>
          </cell>
          <cell r="CP22">
            <v>40</v>
          </cell>
          <cell r="CQ22">
            <v>0</v>
          </cell>
          <cell r="CR22">
            <v>88</v>
          </cell>
          <cell r="CS22" t="str">
            <v>12th</v>
          </cell>
          <cell r="CT22">
            <v>20</v>
          </cell>
          <cell r="CU22">
            <v>0</v>
          </cell>
          <cell r="CV22">
            <v>65</v>
          </cell>
          <cell r="CW22" t="str">
            <v>16th</v>
          </cell>
          <cell r="CX22">
            <v>65</v>
          </cell>
          <cell r="CY22">
            <v>0</v>
          </cell>
          <cell r="CZ22">
            <v>90</v>
          </cell>
          <cell r="DA22" t="str">
            <v>13th</v>
          </cell>
          <cell r="DB22">
            <v>90</v>
          </cell>
          <cell r="DC22">
            <v>0</v>
          </cell>
          <cell r="DD22">
            <v>95</v>
          </cell>
          <cell r="DE22" t="str">
            <v>3rd</v>
          </cell>
          <cell r="DF22">
            <v>76</v>
          </cell>
          <cell r="DG22">
            <v>0</v>
          </cell>
          <cell r="DH22">
            <v>81</v>
          </cell>
          <cell r="DI22" t="str">
            <v>2nd</v>
          </cell>
          <cell r="DJ22">
            <v>90</v>
          </cell>
          <cell r="DK22">
            <v>0</v>
          </cell>
          <cell r="DL22">
            <v>95</v>
          </cell>
          <cell r="DM22" t="str">
            <v>6th</v>
          </cell>
          <cell r="DN22">
            <v>73</v>
          </cell>
          <cell r="DO22">
            <v>0</v>
          </cell>
          <cell r="DP22">
            <v>82</v>
          </cell>
          <cell r="DQ22" t="str">
            <v>8th</v>
          </cell>
          <cell r="DR22">
            <v>0</v>
          </cell>
          <cell r="DS22">
            <v>0</v>
          </cell>
          <cell r="DT22">
            <v>11</v>
          </cell>
          <cell r="DU22" t="str">
            <v>N.R</v>
          </cell>
          <cell r="DV22">
            <v>0</v>
          </cell>
          <cell r="DW22">
            <v>0</v>
          </cell>
          <cell r="DX22">
            <v>56</v>
          </cell>
          <cell r="DY22" t="str">
            <v>N.R</v>
          </cell>
          <cell r="DZ22">
            <v>0</v>
          </cell>
          <cell r="EA22">
            <v>0</v>
          </cell>
          <cell r="EB22">
            <v>11</v>
          </cell>
          <cell r="EC22" t="str">
            <v>N.R</v>
          </cell>
          <cell r="ED22">
            <v>81</v>
          </cell>
          <cell r="EE22">
            <v>0</v>
          </cell>
          <cell r="EF22">
            <v>81</v>
          </cell>
          <cell r="EG22" t="str">
            <v>1st</v>
          </cell>
          <cell r="EH22">
            <v>40</v>
          </cell>
          <cell r="EI22">
            <v>0</v>
          </cell>
          <cell r="EJ22">
            <v>11</v>
          </cell>
          <cell r="EK22" t="str">
            <v>16th</v>
          </cell>
          <cell r="EL22">
            <v>0</v>
          </cell>
          <cell r="EM22">
            <v>0</v>
          </cell>
          <cell r="EN22">
            <v>67</v>
          </cell>
          <cell r="EO22" t="str">
            <v>N.R</v>
          </cell>
          <cell r="EP22">
            <v>58</v>
          </cell>
          <cell r="EQ22">
            <v>0</v>
          </cell>
          <cell r="ER22">
            <v>76</v>
          </cell>
          <cell r="ES22" t="str">
            <v>4th</v>
          </cell>
        </row>
        <row r="23">
          <cell r="A23" t="str">
            <v>BDS/21/071</v>
          </cell>
          <cell r="B23" t="str">
            <v>OSONDU DAVID</v>
          </cell>
          <cell r="C23" t="str">
            <v>MALE</v>
          </cell>
          <cell r="D23">
            <v>0</v>
          </cell>
          <cell r="E23">
            <v>0</v>
          </cell>
          <cell r="F23">
            <v>5</v>
          </cell>
          <cell r="G23">
            <v>5</v>
          </cell>
          <cell r="H23">
            <v>32</v>
          </cell>
          <cell r="I23">
            <v>42</v>
          </cell>
          <cell r="J23">
            <v>42</v>
          </cell>
          <cell r="K23" t="str">
            <v>A</v>
          </cell>
          <cell r="L23">
            <v>0</v>
          </cell>
          <cell r="M23">
            <v>20</v>
          </cell>
          <cell r="N23">
            <v>15</v>
          </cell>
          <cell r="O23">
            <v>35</v>
          </cell>
          <cell r="P23">
            <v>35</v>
          </cell>
          <cell r="Q23" t="str">
            <v>B1</v>
          </cell>
          <cell r="R23">
            <v>14</v>
          </cell>
          <cell r="S23">
            <v>10</v>
          </cell>
          <cell r="T23">
            <v>43</v>
          </cell>
          <cell r="U23">
            <v>67</v>
          </cell>
          <cell r="V23">
            <v>67</v>
          </cell>
          <cell r="W23" t="str">
            <v>A</v>
          </cell>
          <cell r="X23">
            <v>20</v>
          </cell>
          <cell r="Y23">
            <v>20</v>
          </cell>
          <cell r="Z23">
            <v>50</v>
          </cell>
          <cell r="AA23">
            <v>90</v>
          </cell>
          <cell r="AB23">
            <v>90</v>
          </cell>
          <cell r="AC23" t="str">
            <v>A</v>
          </cell>
          <cell r="AD23">
            <v>10</v>
          </cell>
          <cell r="AE23">
            <v>10</v>
          </cell>
          <cell r="AF23">
            <v>3</v>
          </cell>
          <cell r="AG23">
            <v>23</v>
          </cell>
          <cell r="AH23">
            <v>23</v>
          </cell>
          <cell r="AI23" t="str">
            <v>D</v>
          </cell>
          <cell r="AJ23">
            <v>15</v>
          </cell>
          <cell r="AK23">
            <v>15</v>
          </cell>
          <cell r="AL23">
            <v>55</v>
          </cell>
          <cell r="AM23">
            <v>85</v>
          </cell>
          <cell r="AN23">
            <v>85</v>
          </cell>
          <cell r="AO23" t="str">
            <v>A</v>
          </cell>
          <cell r="AP23">
            <v>18</v>
          </cell>
          <cell r="AQ23">
            <v>10</v>
          </cell>
          <cell r="AR23">
            <v>46</v>
          </cell>
          <cell r="AS23">
            <v>74</v>
          </cell>
          <cell r="AT23">
            <v>74</v>
          </cell>
          <cell r="AU23" t="str">
            <v>A</v>
          </cell>
          <cell r="AV23">
            <v>10</v>
          </cell>
          <cell r="AW23">
            <v>18</v>
          </cell>
          <cell r="AX23">
            <v>26</v>
          </cell>
          <cell r="AY23">
            <v>54</v>
          </cell>
          <cell r="AZ23">
            <v>54</v>
          </cell>
          <cell r="BA23" t="str">
            <v>A</v>
          </cell>
          <cell r="BB23" t="str">
            <v/>
          </cell>
          <cell r="BC23" t="str">
            <v/>
          </cell>
          <cell r="BD23" t="str">
            <v/>
          </cell>
          <cell r="BE23">
            <v>0</v>
          </cell>
          <cell r="BF23">
            <v>0</v>
          </cell>
          <cell r="BG23" t="str">
            <v>-</v>
          </cell>
          <cell r="BH23">
            <v>7</v>
          </cell>
          <cell r="BI23">
            <v>20</v>
          </cell>
          <cell r="BJ23">
            <v>33</v>
          </cell>
          <cell r="BK23">
            <v>60</v>
          </cell>
          <cell r="BL23">
            <v>60</v>
          </cell>
          <cell r="BM23" t="str">
            <v>A</v>
          </cell>
          <cell r="BN23" t="str">
            <v/>
          </cell>
          <cell r="BO23" t="str">
            <v/>
          </cell>
          <cell r="BP23" t="str">
            <v/>
          </cell>
          <cell r="BQ23">
            <v>0</v>
          </cell>
          <cell r="BR23">
            <v>0</v>
          </cell>
          <cell r="BS23" t="str">
            <v>-</v>
          </cell>
          <cell r="BT23">
            <v>16</v>
          </cell>
          <cell r="BU23">
            <v>20</v>
          </cell>
          <cell r="BV23">
            <v>30</v>
          </cell>
          <cell r="BW23">
            <v>66</v>
          </cell>
          <cell r="BX23">
            <v>66</v>
          </cell>
          <cell r="BY23" t="str">
            <v>A</v>
          </cell>
          <cell r="BZ23" t="str">
            <v/>
          </cell>
          <cell r="CA23" t="str">
            <v/>
          </cell>
          <cell r="CB23" t="str">
            <v/>
          </cell>
          <cell r="CC23">
            <v>0</v>
          </cell>
          <cell r="CD23">
            <v>0</v>
          </cell>
          <cell r="CE23" t="str">
            <v>-</v>
          </cell>
          <cell r="CF23">
            <v>5</v>
          </cell>
          <cell r="CG23">
            <v>12</v>
          </cell>
          <cell r="CH23">
            <v>20</v>
          </cell>
          <cell r="CI23">
            <v>37</v>
          </cell>
          <cell r="CJ23">
            <v>37</v>
          </cell>
          <cell r="CK23" t="str">
            <v>A</v>
          </cell>
          <cell r="CL23">
            <v>633</v>
          </cell>
          <cell r="CM23">
            <v>633</v>
          </cell>
          <cell r="CN23" t="str">
            <v>A</v>
          </cell>
          <cell r="CO23" t="str">
            <v>13th</v>
          </cell>
          <cell r="CP23">
            <v>42</v>
          </cell>
          <cell r="CQ23">
            <v>0</v>
          </cell>
          <cell r="CR23">
            <v>88</v>
          </cell>
          <cell r="CS23" t="str">
            <v>11th</v>
          </cell>
          <cell r="CT23">
            <v>35</v>
          </cell>
          <cell r="CU23">
            <v>0</v>
          </cell>
          <cell r="CV23">
            <v>65</v>
          </cell>
          <cell r="CW23" t="str">
            <v>11th</v>
          </cell>
          <cell r="CX23">
            <v>67</v>
          </cell>
          <cell r="CY23">
            <v>0</v>
          </cell>
          <cell r="CZ23">
            <v>90</v>
          </cell>
          <cell r="DA23" t="str">
            <v>12th</v>
          </cell>
          <cell r="DB23">
            <v>90</v>
          </cell>
          <cell r="DC23">
            <v>0</v>
          </cell>
          <cell r="DD23">
            <v>95</v>
          </cell>
          <cell r="DE23" t="str">
            <v>3rd</v>
          </cell>
          <cell r="DF23">
            <v>23</v>
          </cell>
          <cell r="DG23">
            <v>0</v>
          </cell>
          <cell r="DH23">
            <v>81</v>
          </cell>
          <cell r="DI23" t="str">
            <v>16th</v>
          </cell>
          <cell r="DJ23">
            <v>85</v>
          </cell>
          <cell r="DK23">
            <v>0</v>
          </cell>
          <cell r="DL23">
            <v>95</v>
          </cell>
          <cell r="DM23" t="str">
            <v>12th</v>
          </cell>
          <cell r="DN23">
            <v>74</v>
          </cell>
          <cell r="DO23">
            <v>0</v>
          </cell>
          <cell r="DP23">
            <v>82</v>
          </cell>
          <cell r="DQ23" t="str">
            <v>6th</v>
          </cell>
          <cell r="DR23">
            <v>54</v>
          </cell>
          <cell r="DS23">
            <v>0</v>
          </cell>
          <cell r="DT23">
            <v>12</v>
          </cell>
          <cell r="DU23" t="str">
            <v>8th</v>
          </cell>
          <cell r="DV23">
            <v>0</v>
          </cell>
          <cell r="DW23">
            <v>0</v>
          </cell>
          <cell r="DX23">
            <v>56</v>
          </cell>
          <cell r="DY23" t="str">
            <v>N.R</v>
          </cell>
          <cell r="DZ23">
            <v>60</v>
          </cell>
          <cell r="EA23">
            <v>0</v>
          </cell>
          <cell r="EB23">
            <v>12</v>
          </cell>
          <cell r="EC23" t="str">
            <v>N.R</v>
          </cell>
          <cell r="ED23">
            <v>0</v>
          </cell>
          <cell r="EE23">
            <v>0</v>
          </cell>
          <cell r="EF23">
            <v>81</v>
          </cell>
          <cell r="EG23" t="str">
            <v>N.R</v>
          </cell>
          <cell r="EH23">
            <v>66</v>
          </cell>
          <cell r="EI23">
            <v>0</v>
          </cell>
          <cell r="EJ23">
            <v>12</v>
          </cell>
          <cell r="EK23" t="str">
            <v>10th</v>
          </cell>
          <cell r="EL23">
            <v>0</v>
          </cell>
          <cell r="EM23">
            <v>0</v>
          </cell>
          <cell r="EN23">
            <v>67</v>
          </cell>
          <cell r="EO23" t="str">
            <v>N.R</v>
          </cell>
          <cell r="EP23">
            <v>37</v>
          </cell>
          <cell r="EQ23">
            <v>0</v>
          </cell>
          <cell r="ER23">
            <v>76</v>
          </cell>
          <cell r="ES23" t="str">
            <v>7th</v>
          </cell>
        </row>
        <row r="24">
          <cell r="A24" t="str">
            <v>BDS/21/072</v>
          </cell>
          <cell r="B24" t="str">
            <v>IKECHUKWU GOODLUCK</v>
          </cell>
          <cell r="C24" t="str">
            <v>MALE</v>
          </cell>
          <cell r="D24" t="str">
            <v>30/4/2009</v>
          </cell>
          <cell r="E24">
            <v>0</v>
          </cell>
          <cell r="F24">
            <v>15</v>
          </cell>
          <cell r="G24">
            <v>15</v>
          </cell>
          <cell r="H24">
            <v>52</v>
          </cell>
          <cell r="I24">
            <v>82</v>
          </cell>
          <cell r="J24">
            <v>82</v>
          </cell>
          <cell r="K24" t="str">
            <v>A</v>
          </cell>
          <cell r="L24">
            <v>3</v>
          </cell>
          <cell r="M24">
            <v>20</v>
          </cell>
          <cell r="N24">
            <v>28</v>
          </cell>
          <cell r="O24">
            <v>51</v>
          </cell>
          <cell r="P24">
            <v>51</v>
          </cell>
          <cell r="Q24" t="str">
            <v>A</v>
          </cell>
          <cell r="R24">
            <v>10</v>
          </cell>
          <cell r="S24">
            <v>10</v>
          </cell>
          <cell r="T24">
            <v>53</v>
          </cell>
          <cell r="U24">
            <v>73</v>
          </cell>
          <cell r="V24">
            <v>73</v>
          </cell>
          <cell r="W24" t="str">
            <v>A</v>
          </cell>
          <cell r="X24">
            <v>20</v>
          </cell>
          <cell r="Y24">
            <v>20</v>
          </cell>
          <cell r="Z24">
            <v>50</v>
          </cell>
          <cell r="AA24">
            <v>90</v>
          </cell>
          <cell r="AB24">
            <v>90</v>
          </cell>
          <cell r="AC24" t="str">
            <v>A</v>
          </cell>
          <cell r="AD24">
            <v>15</v>
          </cell>
          <cell r="AE24">
            <v>15</v>
          </cell>
          <cell r="AF24">
            <v>16</v>
          </cell>
          <cell r="AG24">
            <v>46</v>
          </cell>
          <cell r="AH24">
            <v>46</v>
          </cell>
          <cell r="AI24" t="str">
            <v>A</v>
          </cell>
          <cell r="AJ24">
            <v>15</v>
          </cell>
          <cell r="AK24">
            <v>20</v>
          </cell>
          <cell r="AL24">
            <v>50</v>
          </cell>
          <cell r="AM24">
            <v>85</v>
          </cell>
          <cell r="AN24">
            <v>85</v>
          </cell>
          <cell r="AO24" t="str">
            <v>A</v>
          </cell>
          <cell r="AP24">
            <v>20</v>
          </cell>
          <cell r="AQ24">
            <v>10</v>
          </cell>
          <cell r="AR24">
            <v>49</v>
          </cell>
          <cell r="AS24">
            <v>79</v>
          </cell>
          <cell r="AT24">
            <v>79</v>
          </cell>
          <cell r="AU24" t="str">
            <v>A</v>
          </cell>
          <cell r="AV24">
            <v>17</v>
          </cell>
          <cell r="AW24">
            <v>20</v>
          </cell>
          <cell r="AX24">
            <v>33</v>
          </cell>
          <cell r="AY24">
            <v>70</v>
          </cell>
          <cell r="AZ24">
            <v>70</v>
          </cell>
          <cell r="BA24" t="str">
            <v>A</v>
          </cell>
          <cell r="BB24" t="str">
            <v/>
          </cell>
          <cell r="BC24" t="str">
            <v/>
          </cell>
          <cell r="BD24" t="str">
            <v/>
          </cell>
          <cell r="BE24">
            <v>0</v>
          </cell>
          <cell r="BF24">
            <v>0</v>
          </cell>
          <cell r="BG24" t="str">
            <v>-</v>
          </cell>
          <cell r="BH24">
            <v>10</v>
          </cell>
          <cell r="BI24">
            <v>20</v>
          </cell>
          <cell r="BJ24">
            <v>36</v>
          </cell>
          <cell r="BK24">
            <v>66</v>
          </cell>
          <cell r="BL24">
            <v>66</v>
          </cell>
          <cell r="BM24" t="str">
            <v>A</v>
          </cell>
          <cell r="BN24" t="str">
            <v/>
          </cell>
          <cell r="BO24" t="str">
            <v/>
          </cell>
          <cell r="BP24" t="str">
            <v/>
          </cell>
          <cell r="BQ24">
            <v>0</v>
          </cell>
          <cell r="BR24">
            <v>0</v>
          </cell>
          <cell r="BS24" t="str">
            <v>-</v>
          </cell>
          <cell r="BT24">
            <v>20</v>
          </cell>
          <cell r="BU24">
            <v>20</v>
          </cell>
          <cell r="BV24">
            <v>30</v>
          </cell>
          <cell r="BW24">
            <v>70</v>
          </cell>
          <cell r="BX24">
            <v>70</v>
          </cell>
          <cell r="BY24" t="str">
            <v>A</v>
          </cell>
          <cell r="BZ24" t="str">
            <v/>
          </cell>
          <cell r="CA24" t="str">
            <v/>
          </cell>
          <cell r="CB24" t="str">
            <v/>
          </cell>
          <cell r="CC24">
            <v>0</v>
          </cell>
          <cell r="CD24">
            <v>0</v>
          </cell>
          <cell r="CE24" t="str">
            <v>-</v>
          </cell>
          <cell r="CF24">
            <v>20</v>
          </cell>
          <cell r="CG24">
            <v>14</v>
          </cell>
          <cell r="CH24">
            <v>42</v>
          </cell>
          <cell r="CI24">
            <v>76</v>
          </cell>
          <cell r="CJ24">
            <v>76</v>
          </cell>
          <cell r="CK24" t="str">
            <v>A</v>
          </cell>
          <cell r="CL24">
            <v>788</v>
          </cell>
          <cell r="CM24">
            <v>788</v>
          </cell>
          <cell r="CN24" t="str">
            <v>A</v>
          </cell>
          <cell r="CO24" t="str">
            <v>3rd</v>
          </cell>
          <cell r="CP24">
            <v>82</v>
          </cell>
          <cell r="CQ24">
            <v>0</v>
          </cell>
          <cell r="CR24">
            <v>88</v>
          </cell>
          <cell r="CS24" t="str">
            <v>3rd</v>
          </cell>
          <cell r="CT24">
            <v>51</v>
          </cell>
          <cell r="CU24">
            <v>0</v>
          </cell>
          <cell r="CV24">
            <v>65</v>
          </cell>
          <cell r="CW24" t="str">
            <v>5th</v>
          </cell>
          <cell r="CX24">
            <v>73</v>
          </cell>
          <cell r="CY24">
            <v>0</v>
          </cell>
          <cell r="CZ24">
            <v>90</v>
          </cell>
          <cell r="DA24" t="str">
            <v>8th</v>
          </cell>
          <cell r="DB24">
            <v>90</v>
          </cell>
          <cell r="DC24">
            <v>0</v>
          </cell>
          <cell r="DD24">
            <v>95</v>
          </cell>
          <cell r="DE24" t="str">
            <v>3rd</v>
          </cell>
          <cell r="DF24">
            <v>46</v>
          </cell>
          <cell r="DG24">
            <v>0</v>
          </cell>
          <cell r="DH24">
            <v>81</v>
          </cell>
          <cell r="DI24" t="str">
            <v>12th</v>
          </cell>
          <cell r="DJ24">
            <v>85</v>
          </cell>
          <cell r="DK24">
            <v>0</v>
          </cell>
          <cell r="DL24">
            <v>95</v>
          </cell>
          <cell r="DM24" t="str">
            <v>12th</v>
          </cell>
          <cell r="DN24">
            <v>79</v>
          </cell>
          <cell r="DO24">
            <v>0</v>
          </cell>
          <cell r="DP24">
            <v>82</v>
          </cell>
          <cell r="DQ24" t="str">
            <v>3rd</v>
          </cell>
          <cell r="DR24">
            <v>70</v>
          </cell>
          <cell r="DS24">
            <v>0</v>
          </cell>
          <cell r="DT24">
            <v>13</v>
          </cell>
          <cell r="DU24" t="str">
            <v>4th</v>
          </cell>
          <cell r="DV24">
            <v>0</v>
          </cell>
          <cell r="DW24">
            <v>0</v>
          </cell>
          <cell r="DX24">
            <v>56</v>
          </cell>
          <cell r="DY24" t="str">
            <v>N.R</v>
          </cell>
          <cell r="DZ24">
            <v>66</v>
          </cell>
          <cell r="EA24">
            <v>0</v>
          </cell>
          <cell r="EB24">
            <v>13</v>
          </cell>
          <cell r="EC24" t="str">
            <v>N.R</v>
          </cell>
          <cell r="ED24">
            <v>0</v>
          </cell>
          <cell r="EE24">
            <v>0</v>
          </cell>
          <cell r="EF24">
            <v>81</v>
          </cell>
          <cell r="EG24" t="str">
            <v>N.R</v>
          </cell>
          <cell r="EH24">
            <v>70</v>
          </cell>
          <cell r="EI24">
            <v>0</v>
          </cell>
          <cell r="EJ24">
            <v>13</v>
          </cell>
          <cell r="EK24" t="str">
            <v>6th</v>
          </cell>
          <cell r="EL24">
            <v>0</v>
          </cell>
          <cell r="EM24">
            <v>0</v>
          </cell>
          <cell r="EN24">
            <v>67</v>
          </cell>
          <cell r="EO24" t="str">
            <v>N.R</v>
          </cell>
          <cell r="EP24">
            <v>76</v>
          </cell>
          <cell r="EQ24">
            <v>0</v>
          </cell>
          <cell r="ER24">
            <v>76</v>
          </cell>
          <cell r="ES24" t="str">
            <v>1st</v>
          </cell>
        </row>
        <row r="25">
          <cell r="A25" t="str">
            <v>BDS/21/073</v>
          </cell>
          <cell r="B25" t="str">
            <v>EMEKA PHILIP EZE</v>
          </cell>
          <cell r="C25" t="str">
            <v>MALE</v>
          </cell>
          <cell r="D25" t="str">
            <v>26/4/</v>
          </cell>
          <cell r="E25">
            <v>0</v>
          </cell>
          <cell r="F25">
            <v>10</v>
          </cell>
          <cell r="G25">
            <v>10</v>
          </cell>
          <cell r="H25">
            <v>47</v>
          </cell>
          <cell r="I25">
            <v>67</v>
          </cell>
          <cell r="J25">
            <v>67</v>
          </cell>
          <cell r="K25" t="str">
            <v>A</v>
          </cell>
          <cell r="L25">
            <v>5</v>
          </cell>
          <cell r="M25">
            <v>0</v>
          </cell>
          <cell r="N25">
            <v>33</v>
          </cell>
          <cell r="O25">
            <v>58</v>
          </cell>
          <cell r="P25">
            <v>57.999999999999993</v>
          </cell>
          <cell r="Q25" t="str">
            <v>A</v>
          </cell>
          <cell r="R25">
            <v>10</v>
          </cell>
          <cell r="S25">
            <v>8</v>
          </cell>
          <cell r="T25">
            <v>46</v>
          </cell>
          <cell r="U25">
            <v>64</v>
          </cell>
          <cell r="V25">
            <v>64</v>
          </cell>
          <cell r="W25" t="str">
            <v>A</v>
          </cell>
          <cell r="X25">
            <v>15</v>
          </cell>
          <cell r="Y25">
            <v>20</v>
          </cell>
          <cell r="Z25">
            <v>55</v>
          </cell>
          <cell r="AA25">
            <v>90</v>
          </cell>
          <cell r="AB25">
            <v>90</v>
          </cell>
          <cell r="AC25" t="str">
            <v>A</v>
          </cell>
          <cell r="AD25">
            <v>15</v>
          </cell>
          <cell r="AE25">
            <v>10</v>
          </cell>
          <cell r="AF25">
            <v>27</v>
          </cell>
          <cell r="AG25">
            <v>52</v>
          </cell>
          <cell r="AH25">
            <v>52</v>
          </cell>
          <cell r="AI25" t="str">
            <v>A</v>
          </cell>
          <cell r="AJ25">
            <v>20</v>
          </cell>
          <cell r="AK25">
            <v>20</v>
          </cell>
          <cell r="AL25">
            <v>50</v>
          </cell>
          <cell r="AM25">
            <v>90</v>
          </cell>
          <cell r="AN25">
            <v>90</v>
          </cell>
          <cell r="AO25" t="str">
            <v>A</v>
          </cell>
          <cell r="AP25">
            <v>15</v>
          </cell>
          <cell r="AQ25">
            <v>10</v>
          </cell>
          <cell r="AR25">
            <v>38</v>
          </cell>
          <cell r="AS25">
            <v>63</v>
          </cell>
          <cell r="AT25">
            <v>63</v>
          </cell>
          <cell r="AU25" t="str">
            <v>A</v>
          </cell>
          <cell r="AV25">
            <v>15</v>
          </cell>
          <cell r="AW25">
            <v>15</v>
          </cell>
          <cell r="AX25">
            <v>31</v>
          </cell>
          <cell r="AY25">
            <v>61</v>
          </cell>
          <cell r="AZ25">
            <v>61</v>
          </cell>
          <cell r="BA25" t="str">
            <v>A</v>
          </cell>
          <cell r="BB25" t="str">
            <v/>
          </cell>
          <cell r="BC25" t="str">
            <v/>
          </cell>
          <cell r="BD25">
            <v>41</v>
          </cell>
          <cell r="BE25">
            <v>41</v>
          </cell>
          <cell r="BF25">
            <v>41</v>
          </cell>
          <cell r="BG25" t="str">
            <v>A</v>
          </cell>
          <cell r="BH25">
            <v>0</v>
          </cell>
          <cell r="BI25">
            <v>20</v>
          </cell>
          <cell r="BJ25">
            <v>47</v>
          </cell>
          <cell r="BK25">
            <v>67</v>
          </cell>
          <cell r="BL25">
            <v>67</v>
          </cell>
          <cell r="BM25" t="str">
            <v>A</v>
          </cell>
          <cell r="BN25" t="str">
            <v/>
          </cell>
          <cell r="BO25" t="str">
            <v/>
          </cell>
          <cell r="BP25" t="str">
            <v/>
          </cell>
          <cell r="BQ25">
            <v>0</v>
          </cell>
          <cell r="BR25">
            <v>0</v>
          </cell>
          <cell r="BS25" t="str">
            <v>-</v>
          </cell>
          <cell r="BT25">
            <v>16</v>
          </cell>
          <cell r="BU25">
            <v>20</v>
          </cell>
          <cell r="BV25">
            <v>30</v>
          </cell>
          <cell r="BW25">
            <v>66</v>
          </cell>
          <cell r="BX25">
            <v>66</v>
          </cell>
          <cell r="BY25" t="str">
            <v>A</v>
          </cell>
          <cell r="BZ25" t="str">
            <v/>
          </cell>
          <cell r="CA25" t="str">
            <v/>
          </cell>
          <cell r="CB25" t="str">
            <v/>
          </cell>
          <cell r="CC25">
            <v>0</v>
          </cell>
          <cell r="CD25">
            <v>0</v>
          </cell>
          <cell r="CE25" t="str">
            <v>-</v>
          </cell>
          <cell r="CF25" t="str">
            <v/>
          </cell>
          <cell r="CG25" t="str">
            <v/>
          </cell>
          <cell r="CH25" t="str">
            <v/>
          </cell>
          <cell r="CI25">
            <v>0</v>
          </cell>
          <cell r="CJ25">
            <v>0</v>
          </cell>
          <cell r="CK25" t="str">
            <v>-</v>
          </cell>
          <cell r="CL25">
            <v>719</v>
          </cell>
          <cell r="CM25">
            <v>719</v>
          </cell>
          <cell r="CN25" t="str">
            <v>A</v>
          </cell>
          <cell r="CO25" t="str">
            <v>8th</v>
          </cell>
          <cell r="CP25">
            <v>67</v>
          </cell>
          <cell r="CQ25">
            <v>0</v>
          </cell>
          <cell r="CR25">
            <v>88</v>
          </cell>
          <cell r="CS25" t="str">
            <v>5th</v>
          </cell>
          <cell r="CT25">
            <v>58</v>
          </cell>
          <cell r="CU25">
            <v>0</v>
          </cell>
          <cell r="CV25">
            <v>65</v>
          </cell>
          <cell r="CW25" t="str">
            <v>3rd</v>
          </cell>
          <cell r="CX25">
            <v>64</v>
          </cell>
          <cell r="CY25">
            <v>0</v>
          </cell>
          <cell r="CZ25">
            <v>90</v>
          </cell>
          <cell r="DA25" t="str">
            <v>15th</v>
          </cell>
          <cell r="DB25">
            <v>90</v>
          </cell>
          <cell r="DC25">
            <v>0</v>
          </cell>
          <cell r="DD25">
            <v>95</v>
          </cell>
          <cell r="DE25" t="str">
            <v>3rd</v>
          </cell>
          <cell r="DF25">
            <v>52</v>
          </cell>
          <cell r="DG25">
            <v>0</v>
          </cell>
          <cell r="DH25">
            <v>81</v>
          </cell>
          <cell r="DI25" t="str">
            <v>11th</v>
          </cell>
          <cell r="DJ25">
            <v>90</v>
          </cell>
          <cell r="DK25">
            <v>0</v>
          </cell>
          <cell r="DL25">
            <v>95</v>
          </cell>
          <cell r="DM25" t="str">
            <v>6th</v>
          </cell>
          <cell r="DN25">
            <v>63</v>
          </cell>
          <cell r="DO25">
            <v>0</v>
          </cell>
          <cell r="DP25">
            <v>82</v>
          </cell>
          <cell r="DQ25" t="str">
            <v>14th</v>
          </cell>
          <cell r="DR25">
            <v>61</v>
          </cell>
          <cell r="DS25">
            <v>0</v>
          </cell>
          <cell r="DT25">
            <v>14</v>
          </cell>
          <cell r="DU25" t="str">
            <v>6th</v>
          </cell>
          <cell r="DV25">
            <v>41</v>
          </cell>
          <cell r="DW25">
            <v>0</v>
          </cell>
          <cell r="DX25">
            <v>56</v>
          </cell>
          <cell r="DY25" t="str">
            <v>3rd</v>
          </cell>
          <cell r="DZ25">
            <v>67</v>
          </cell>
          <cell r="EA25">
            <v>0</v>
          </cell>
          <cell r="EB25">
            <v>14</v>
          </cell>
          <cell r="EC25" t="str">
            <v>N.R</v>
          </cell>
          <cell r="ED25">
            <v>0</v>
          </cell>
          <cell r="EE25">
            <v>0</v>
          </cell>
          <cell r="EF25">
            <v>81</v>
          </cell>
          <cell r="EG25" t="str">
            <v>N.R</v>
          </cell>
          <cell r="EH25">
            <v>66</v>
          </cell>
          <cell r="EI25">
            <v>0</v>
          </cell>
          <cell r="EJ25">
            <v>14</v>
          </cell>
          <cell r="EK25" t="str">
            <v>10th</v>
          </cell>
          <cell r="EL25">
            <v>0</v>
          </cell>
          <cell r="EM25">
            <v>0</v>
          </cell>
          <cell r="EN25">
            <v>67</v>
          </cell>
          <cell r="EO25" t="str">
            <v>N.R</v>
          </cell>
          <cell r="EP25">
            <v>0</v>
          </cell>
          <cell r="EQ25">
            <v>0</v>
          </cell>
          <cell r="ER25">
            <v>76</v>
          </cell>
          <cell r="ES25" t="str">
            <v>N.R</v>
          </cell>
        </row>
        <row r="26">
          <cell r="A26" t="str">
            <v>BDS/21/074</v>
          </cell>
          <cell r="B26" t="str">
            <v>COMEDY BEULLAH</v>
          </cell>
          <cell r="C26" t="str">
            <v>FEMALE</v>
          </cell>
          <cell r="D26" t="str">
            <v>30/11/2011</v>
          </cell>
          <cell r="E26">
            <v>0</v>
          </cell>
          <cell r="F26">
            <v>15</v>
          </cell>
          <cell r="G26">
            <v>15</v>
          </cell>
          <cell r="H26">
            <v>33</v>
          </cell>
          <cell r="I26">
            <v>63</v>
          </cell>
          <cell r="J26">
            <v>63</v>
          </cell>
          <cell r="K26" t="str">
            <v>A</v>
          </cell>
          <cell r="L26">
            <v>6</v>
          </cell>
          <cell r="M26">
            <v>20</v>
          </cell>
          <cell r="N26">
            <v>22</v>
          </cell>
          <cell r="O26">
            <v>48</v>
          </cell>
          <cell r="P26">
            <v>48</v>
          </cell>
          <cell r="Q26" t="str">
            <v>A</v>
          </cell>
          <cell r="R26">
            <v>18</v>
          </cell>
          <cell r="S26">
            <v>20</v>
          </cell>
          <cell r="T26">
            <v>52</v>
          </cell>
          <cell r="U26">
            <v>90</v>
          </cell>
          <cell r="V26">
            <v>90</v>
          </cell>
          <cell r="W26" t="str">
            <v>A</v>
          </cell>
          <cell r="X26">
            <v>20</v>
          </cell>
          <cell r="Y26">
            <v>20</v>
          </cell>
          <cell r="Z26">
            <v>50</v>
          </cell>
          <cell r="AA26">
            <v>90</v>
          </cell>
          <cell r="AB26">
            <v>90</v>
          </cell>
          <cell r="AC26" t="str">
            <v>A</v>
          </cell>
          <cell r="AD26">
            <v>15</v>
          </cell>
          <cell r="AE26">
            <v>20</v>
          </cell>
          <cell r="AF26">
            <v>21</v>
          </cell>
          <cell r="AG26">
            <v>56</v>
          </cell>
          <cell r="AH26">
            <v>56.000000000000007</v>
          </cell>
          <cell r="AI26" t="str">
            <v>A</v>
          </cell>
          <cell r="AJ26">
            <v>20</v>
          </cell>
          <cell r="AK26">
            <v>20</v>
          </cell>
          <cell r="AL26">
            <v>55</v>
          </cell>
          <cell r="AM26">
            <v>95</v>
          </cell>
          <cell r="AN26">
            <v>95</v>
          </cell>
          <cell r="AO26" t="str">
            <v>A</v>
          </cell>
          <cell r="AP26">
            <v>18</v>
          </cell>
          <cell r="AQ26">
            <v>10</v>
          </cell>
          <cell r="AR26">
            <v>49</v>
          </cell>
          <cell r="AS26">
            <v>77</v>
          </cell>
          <cell r="AT26">
            <v>77</v>
          </cell>
          <cell r="AU26" t="str">
            <v>A</v>
          </cell>
          <cell r="AV26">
            <v>17</v>
          </cell>
          <cell r="AW26">
            <v>20</v>
          </cell>
          <cell r="AX26">
            <v>37</v>
          </cell>
          <cell r="AY26">
            <v>74</v>
          </cell>
          <cell r="AZ26">
            <v>74</v>
          </cell>
          <cell r="BA26" t="str">
            <v>A</v>
          </cell>
          <cell r="BB26">
            <v>8</v>
          </cell>
          <cell r="BC26">
            <v>8</v>
          </cell>
          <cell r="BD26">
            <v>22</v>
          </cell>
          <cell r="BE26">
            <v>38</v>
          </cell>
          <cell r="BF26">
            <v>38</v>
          </cell>
          <cell r="BG26" t="str">
            <v>A</v>
          </cell>
          <cell r="BH26">
            <v>10</v>
          </cell>
          <cell r="BI26">
            <v>20</v>
          </cell>
          <cell r="BJ26">
            <v>28</v>
          </cell>
          <cell r="BK26">
            <v>58</v>
          </cell>
          <cell r="BL26">
            <v>57.999999999999993</v>
          </cell>
          <cell r="BM26" t="str">
            <v>A</v>
          </cell>
          <cell r="BN26" t="str">
            <v/>
          </cell>
          <cell r="BO26" t="str">
            <v/>
          </cell>
          <cell r="BP26" t="str">
            <v/>
          </cell>
          <cell r="BQ26">
            <v>0</v>
          </cell>
          <cell r="BR26">
            <v>0</v>
          </cell>
          <cell r="BS26" t="str">
            <v>-</v>
          </cell>
          <cell r="BT26">
            <v>20</v>
          </cell>
          <cell r="BU26">
            <v>20</v>
          </cell>
          <cell r="BV26">
            <v>39</v>
          </cell>
          <cell r="BW26">
            <v>79</v>
          </cell>
          <cell r="BX26">
            <v>79</v>
          </cell>
          <cell r="BY26" t="str">
            <v>A</v>
          </cell>
          <cell r="BZ26" t="str">
            <v/>
          </cell>
          <cell r="CA26" t="str">
            <v/>
          </cell>
          <cell r="CB26" t="str">
            <v/>
          </cell>
          <cell r="CC26">
            <v>0</v>
          </cell>
          <cell r="CD26">
            <v>0</v>
          </cell>
          <cell r="CE26" t="str">
            <v>-</v>
          </cell>
          <cell r="CF26" t="str">
            <v/>
          </cell>
          <cell r="CG26" t="str">
            <v/>
          </cell>
          <cell r="CH26" t="str">
            <v/>
          </cell>
          <cell r="CI26">
            <v>0</v>
          </cell>
          <cell r="CJ26">
            <v>0</v>
          </cell>
          <cell r="CK26" t="str">
            <v>-</v>
          </cell>
          <cell r="CL26">
            <v>768</v>
          </cell>
          <cell r="CM26">
            <v>768</v>
          </cell>
          <cell r="CN26" t="str">
            <v>A</v>
          </cell>
          <cell r="CO26" t="str">
            <v>5th</v>
          </cell>
          <cell r="CP26">
            <v>63</v>
          </cell>
          <cell r="CQ26">
            <v>0</v>
          </cell>
          <cell r="CR26">
            <v>88</v>
          </cell>
          <cell r="CS26" t="str">
            <v>7th</v>
          </cell>
          <cell r="CT26">
            <v>48</v>
          </cell>
          <cell r="CU26">
            <v>0</v>
          </cell>
          <cell r="CV26">
            <v>65</v>
          </cell>
          <cell r="CW26" t="str">
            <v>7th</v>
          </cell>
          <cell r="CX26">
            <v>90</v>
          </cell>
          <cell r="CY26">
            <v>0</v>
          </cell>
          <cell r="CZ26">
            <v>90</v>
          </cell>
          <cell r="DA26" t="str">
            <v>1st</v>
          </cell>
          <cell r="DB26">
            <v>90</v>
          </cell>
          <cell r="DC26">
            <v>0</v>
          </cell>
          <cell r="DD26">
            <v>95</v>
          </cell>
          <cell r="DE26" t="str">
            <v>3rd</v>
          </cell>
          <cell r="DF26">
            <v>56</v>
          </cell>
          <cell r="DG26">
            <v>0</v>
          </cell>
          <cell r="DH26">
            <v>81</v>
          </cell>
          <cell r="DI26" t="str">
            <v>8th</v>
          </cell>
          <cell r="DJ26">
            <v>95</v>
          </cell>
          <cell r="DK26">
            <v>0</v>
          </cell>
          <cell r="DL26">
            <v>95</v>
          </cell>
          <cell r="DM26" t="str">
            <v>1st</v>
          </cell>
          <cell r="DN26">
            <v>77</v>
          </cell>
          <cell r="DO26">
            <v>0</v>
          </cell>
          <cell r="DP26">
            <v>82</v>
          </cell>
          <cell r="DQ26" t="str">
            <v>5th</v>
          </cell>
          <cell r="DR26">
            <v>74</v>
          </cell>
          <cell r="DS26">
            <v>0</v>
          </cell>
          <cell r="DT26">
            <v>15</v>
          </cell>
          <cell r="DU26" t="str">
            <v>2nd</v>
          </cell>
          <cell r="DV26">
            <v>38</v>
          </cell>
          <cell r="DW26">
            <v>0</v>
          </cell>
          <cell r="DX26">
            <v>56</v>
          </cell>
          <cell r="DY26" t="str">
            <v>5th</v>
          </cell>
          <cell r="DZ26">
            <v>58</v>
          </cell>
          <cell r="EA26">
            <v>0</v>
          </cell>
          <cell r="EB26">
            <v>15</v>
          </cell>
          <cell r="EC26" t="str">
            <v>N.R</v>
          </cell>
          <cell r="ED26">
            <v>0</v>
          </cell>
          <cell r="EE26">
            <v>0</v>
          </cell>
          <cell r="EF26">
            <v>81</v>
          </cell>
          <cell r="EG26" t="str">
            <v>N.R</v>
          </cell>
          <cell r="EH26">
            <v>79</v>
          </cell>
          <cell r="EI26">
            <v>0</v>
          </cell>
          <cell r="EJ26">
            <v>15</v>
          </cell>
          <cell r="EK26" t="str">
            <v>3rd</v>
          </cell>
          <cell r="EL26">
            <v>0</v>
          </cell>
          <cell r="EM26">
            <v>0</v>
          </cell>
          <cell r="EN26">
            <v>67</v>
          </cell>
          <cell r="EO26" t="str">
            <v>N.R</v>
          </cell>
          <cell r="EP26">
            <v>0</v>
          </cell>
          <cell r="EQ26">
            <v>0</v>
          </cell>
          <cell r="ER26">
            <v>76</v>
          </cell>
          <cell r="ES26" t="str">
            <v>N.R</v>
          </cell>
        </row>
        <row r="27">
          <cell r="A27" t="str">
            <v>BDS/21/078</v>
          </cell>
          <cell r="B27" t="str">
            <v>MAJESTY EMMANUEL</v>
          </cell>
          <cell r="C27" t="str">
            <v>MALE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 t="str">
            <v>-</v>
          </cell>
          <cell r="L27">
            <v>0</v>
          </cell>
          <cell r="M27" t="str">
            <v/>
          </cell>
          <cell r="N27">
            <v>0</v>
          </cell>
          <cell r="O27">
            <v>0</v>
          </cell>
          <cell r="P27">
            <v>0</v>
          </cell>
          <cell r="Q27" t="str">
            <v>-</v>
          </cell>
          <cell r="R27" t="str">
            <v/>
          </cell>
          <cell r="S27" t="str">
            <v/>
          </cell>
          <cell r="T27" t="str">
            <v/>
          </cell>
          <cell r="U27">
            <v>0</v>
          </cell>
          <cell r="V27">
            <v>0</v>
          </cell>
          <cell r="W27" t="str">
            <v>-</v>
          </cell>
          <cell r="X27" t="str">
            <v/>
          </cell>
          <cell r="Y27" t="str">
            <v/>
          </cell>
          <cell r="Z27" t="str">
            <v/>
          </cell>
          <cell r="AA27">
            <v>0</v>
          </cell>
          <cell r="AB27">
            <v>0</v>
          </cell>
          <cell r="AC27" t="str">
            <v>-</v>
          </cell>
          <cell r="AD27" t="str">
            <v/>
          </cell>
          <cell r="AE27">
            <v>0</v>
          </cell>
          <cell r="AF27" t="str">
            <v/>
          </cell>
          <cell r="AG27">
            <v>0</v>
          </cell>
          <cell r="AH27">
            <v>0</v>
          </cell>
          <cell r="AI27" t="str">
            <v>-</v>
          </cell>
          <cell r="AJ27" t="str">
            <v/>
          </cell>
          <cell r="AK27" t="str">
            <v/>
          </cell>
          <cell r="AL27" t="str">
            <v/>
          </cell>
          <cell r="AM27">
            <v>0</v>
          </cell>
          <cell r="AN27">
            <v>0</v>
          </cell>
          <cell r="AO27" t="str">
            <v>-</v>
          </cell>
          <cell r="AP27" t="str">
            <v/>
          </cell>
          <cell r="AQ27" t="str">
            <v/>
          </cell>
          <cell r="AR27" t="str">
            <v/>
          </cell>
          <cell r="AS27">
            <v>0</v>
          </cell>
          <cell r="AT27">
            <v>0</v>
          </cell>
          <cell r="AU27" t="str">
            <v>-</v>
          </cell>
          <cell r="AV27" t="str">
            <v/>
          </cell>
          <cell r="AW27" t="str">
            <v/>
          </cell>
          <cell r="AX27" t="str">
            <v/>
          </cell>
          <cell r="AY27">
            <v>0</v>
          </cell>
          <cell r="AZ27">
            <v>0</v>
          </cell>
          <cell r="BA27" t="str">
            <v>-</v>
          </cell>
          <cell r="BB27" t="str">
            <v/>
          </cell>
          <cell r="BC27" t="str">
            <v/>
          </cell>
          <cell r="BD27" t="str">
            <v/>
          </cell>
          <cell r="BE27">
            <v>0</v>
          </cell>
          <cell r="BF27">
            <v>0</v>
          </cell>
          <cell r="BG27" t="str">
            <v>-</v>
          </cell>
          <cell r="BH27">
            <v>12</v>
          </cell>
          <cell r="BI27">
            <v>20</v>
          </cell>
          <cell r="BJ27">
            <v>0</v>
          </cell>
          <cell r="BK27">
            <v>32</v>
          </cell>
          <cell r="BL27">
            <v>32</v>
          </cell>
          <cell r="BM27" t="str">
            <v>B1</v>
          </cell>
          <cell r="BN27" t="str">
            <v/>
          </cell>
          <cell r="BO27" t="str">
            <v/>
          </cell>
          <cell r="BP27" t="str">
            <v/>
          </cell>
          <cell r="BQ27">
            <v>0</v>
          </cell>
          <cell r="BR27">
            <v>0</v>
          </cell>
          <cell r="BS27" t="str">
            <v>-</v>
          </cell>
          <cell r="BT27" t="str">
            <v/>
          </cell>
          <cell r="BU27" t="str">
            <v/>
          </cell>
          <cell r="BV27" t="str">
            <v/>
          </cell>
          <cell r="BW27">
            <v>0</v>
          </cell>
          <cell r="BX27">
            <v>0</v>
          </cell>
          <cell r="BY27" t="str">
            <v>-</v>
          </cell>
          <cell r="BZ27" t="str">
            <v/>
          </cell>
          <cell r="CA27" t="str">
            <v/>
          </cell>
          <cell r="CB27" t="str">
            <v/>
          </cell>
          <cell r="CC27">
            <v>0</v>
          </cell>
          <cell r="CD27">
            <v>0</v>
          </cell>
          <cell r="CE27" t="str">
            <v>-</v>
          </cell>
          <cell r="CF27" t="str">
            <v/>
          </cell>
          <cell r="CG27" t="str">
            <v/>
          </cell>
          <cell r="CH27" t="str">
            <v/>
          </cell>
          <cell r="CI27">
            <v>0</v>
          </cell>
          <cell r="CJ27">
            <v>0</v>
          </cell>
          <cell r="CK27" t="str">
            <v>-</v>
          </cell>
          <cell r="CL27">
            <v>32</v>
          </cell>
          <cell r="CM27">
            <v>32</v>
          </cell>
          <cell r="CN27" t="str">
            <v>F9</v>
          </cell>
          <cell r="CO27" t="str">
            <v>N.R</v>
          </cell>
          <cell r="CP27">
            <v>0</v>
          </cell>
          <cell r="CQ27">
            <v>0</v>
          </cell>
          <cell r="CR27">
            <v>88</v>
          </cell>
          <cell r="CS27" t="str">
            <v>N.R</v>
          </cell>
          <cell r="CT27">
            <v>0</v>
          </cell>
          <cell r="CU27">
            <v>0</v>
          </cell>
          <cell r="CV27">
            <v>65</v>
          </cell>
          <cell r="CW27" t="str">
            <v>N.R</v>
          </cell>
          <cell r="CX27">
            <v>0</v>
          </cell>
          <cell r="CY27">
            <v>0</v>
          </cell>
          <cell r="CZ27">
            <v>90</v>
          </cell>
          <cell r="DA27" t="str">
            <v>N.R</v>
          </cell>
          <cell r="DB27">
            <v>0</v>
          </cell>
          <cell r="DC27">
            <v>0</v>
          </cell>
          <cell r="DD27">
            <v>95</v>
          </cell>
          <cell r="DE27" t="str">
            <v>N.R</v>
          </cell>
          <cell r="DF27">
            <v>0</v>
          </cell>
          <cell r="DG27">
            <v>0</v>
          </cell>
          <cell r="DH27">
            <v>81</v>
          </cell>
          <cell r="DI27" t="str">
            <v>N.R</v>
          </cell>
          <cell r="DJ27">
            <v>0</v>
          </cell>
          <cell r="DK27">
            <v>0</v>
          </cell>
          <cell r="DL27">
            <v>95</v>
          </cell>
          <cell r="DM27" t="str">
            <v>N.R</v>
          </cell>
          <cell r="DN27">
            <v>0</v>
          </cell>
          <cell r="DO27">
            <v>0</v>
          </cell>
          <cell r="DP27">
            <v>82</v>
          </cell>
          <cell r="DQ27" t="str">
            <v>N.R</v>
          </cell>
          <cell r="DR27">
            <v>0</v>
          </cell>
          <cell r="DS27">
            <v>0</v>
          </cell>
          <cell r="DT27">
            <v>16</v>
          </cell>
          <cell r="DU27" t="str">
            <v>N.R</v>
          </cell>
          <cell r="DV27">
            <v>0</v>
          </cell>
          <cell r="DW27">
            <v>0</v>
          </cell>
          <cell r="DX27">
            <v>56</v>
          </cell>
          <cell r="DY27" t="str">
            <v>N.R</v>
          </cell>
          <cell r="DZ27">
            <v>32</v>
          </cell>
          <cell r="EA27">
            <v>0</v>
          </cell>
          <cell r="EB27">
            <v>16</v>
          </cell>
          <cell r="EC27" t="str">
            <v>N.R</v>
          </cell>
          <cell r="ED27">
            <v>0</v>
          </cell>
          <cell r="EE27">
            <v>0</v>
          </cell>
          <cell r="EF27">
            <v>81</v>
          </cell>
          <cell r="EG27" t="str">
            <v>N.R</v>
          </cell>
          <cell r="EH27">
            <v>0</v>
          </cell>
          <cell r="EI27">
            <v>0</v>
          </cell>
          <cell r="EJ27">
            <v>16</v>
          </cell>
          <cell r="EK27" t="str">
            <v>N.R</v>
          </cell>
          <cell r="EL27">
            <v>0</v>
          </cell>
          <cell r="EM27">
            <v>0</v>
          </cell>
          <cell r="EN27">
            <v>67</v>
          </cell>
          <cell r="EO27" t="str">
            <v>N.R</v>
          </cell>
          <cell r="EP27">
            <v>0</v>
          </cell>
          <cell r="EQ27">
            <v>0</v>
          </cell>
          <cell r="ER27">
            <v>76</v>
          </cell>
          <cell r="ES27" t="str">
            <v>N.R</v>
          </cell>
        </row>
        <row r="28">
          <cell r="A28" t="str">
            <v>BDS/21/079</v>
          </cell>
          <cell r="B28" t="str">
            <v>SUNDAY BRIGHT</v>
          </cell>
          <cell r="C28" t="str">
            <v>MALE</v>
          </cell>
          <cell r="D28" t="str">
            <v>23/07/2010</v>
          </cell>
          <cell r="E28">
            <v>0</v>
          </cell>
          <cell r="F28">
            <v>5</v>
          </cell>
          <cell r="G28">
            <v>5</v>
          </cell>
          <cell r="H28">
            <v>27</v>
          </cell>
          <cell r="I28">
            <v>37</v>
          </cell>
          <cell r="J28">
            <v>37</v>
          </cell>
          <cell r="K28" t="str">
            <v>A</v>
          </cell>
          <cell r="L28">
            <v>1</v>
          </cell>
          <cell r="M28" t="str">
            <v/>
          </cell>
          <cell r="N28">
            <v>8</v>
          </cell>
          <cell r="O28">
            <v>29</v>
          </cell>
          <cell r="P28">
            <v>28.999999999999996</v>
          </cell>
          <cell r="Q28" t="str">
            <v>C5</v>
          </cell>
          <cell r="R28">
            <v>3</v>
          </cell>
          <cell r="S28">
            <v>2</v>
          </cell>
          <cell r="T28">
            <v>55</v>
          </cell>
          <cell r="U28">
            <v>60</v>
          </cell>
          <cell r="V28">
            <v>60</v>
          </cell>
          <cell r="W28" t="str">
            <v>A</v>
          </cell>
          <cell r="X28">
            <v>20</v>
          </cell>
          <cell r="Y28">
            <v>20</v>
          </cell>
          <cell r="Z28">
            <v>50</v>
          </cell>
          <cell r="AA28">
            <v>90</v>
          </cell>
          <cell r="AB28">
            <v>90</v>
          </cell>
          <cell r="AC28" t="str">
            <v>A</v>
          </cell>
          <cell r="AD28">
            <v>0</v>
          </cell>
          <cell r="AE28">
            <v>0</v>
          </cell>
          <cell r="AF28">
            <v>9</v>
          </cell>
          <cell r="AG28">
            <v>9</v>
          </cell>
          <cell r="AH28">
            <v>9</v>
          </cell>
          <cell r="AI28" t="str">
            <v>E8</v>
          </cell>
          <cell r="AJ28">
            <v>15</v>
          </cell>
          <cell r="AK28">
            <v>20</v>
          </cell>
          <cell r="AL28">
            <v>55</v>
          </cell>
          <cell r="AM28">
            <v>90</v>
          </cell>
          <cell r="AN28">
            <v>90</v>
          </cell>
          <cell r="AO28" t="str">
            <v>A</v>
          </cell>
          <cell r="AP28">
            <v>20</v>
          </cell>
          <cell r="AQ28">
            <v>10</v>
          </cell>
          <cell r="AR28">
            <v>44</v>
          </cell>
          <cell r="AS28">
            <v>74</v>
          </cell>
          <cell r="AT28">
            <v>74</v>
          </cell>
          <cell r="AU28" t="str">
            <v>A</v>
          </cell>
          <cell r="AV28">
            <v>10</v>
          </cell>
          <cell r="AW28">
            <v>17</v>
          </cell>
          <cell r="AX28">
            <v>27</v>
          </cell>
          <cell r="AY28">
            <v>54</v>
          </cell>
          <cell r="AZ28">
            <v>54</v>
          </cell>
          <cell r="BA28" t="str">
            <v>A</v>
          </cell>
          <cell r="BB28" t="str">
            <v/>
          </cell>
          <cell r="BC28" t="str">
            <v/>
          </cell>
          <cell r="BD28">
            <v>18</v>
          </cell>
          <cell r="BE28">
            <v>18</v>
          </cell>
          <cell r="BF28">
            <v>18</v>
          </cell>
          <cell r="BG28" t="str">
            <v>E8</v>
          </cell>
          <cell r="BH28">
            <v>11</v>
          </cell>
          <cell r="BI28">
            <v>20</v>
          </cell>
          <cell r="BJ28">
            <v>15</v>
          </cell>
          <cell r="BK28">
            <v>46</v>
          </cell>
          <cell r="BL28">
            <v>46</v>
          </cell>
          <cell r="BM28" t="str">
            <v>A</v>
          </cell>
          <cell r="BN28" t="str">
            <v/>
          </cell>
          <cell r="BO28" t="str">
            <v/>
          </cell>
          <cell r="BP28" t="str">
            <v/>
          </cell>
          <cell r="BQ28">
            <v>0</v>
          </cell>
          <cell r="BR28">
            <v>0</v>
          </cell>
          <cell r="BS28" t="str">
            <v>-</v>
          </cell>
          <cell r="BT28">
            <v>20</v>
          </cell>
          <cell r="BU28">
            <v>10</v>
          </cell>
          <cell r="BV28">
            <v>19</v>
          </cell>
          <cell r="BW28">
            <v>49</v>
          </cell>
          <cell r="BX28">
            <v>49</v>
          </cell>
          <cell r="BY28" t="str">
            <v>A</v>
          </cell>
          <cell r="BZ28" t="str">
            <v/>
          </cell>
          <cell r="CA28" t="str">
            <v/>
          </cell>
          <cell r="CB28" t="str">
            <v/>
          </cell>
          <cell r="CC28">
            <v>0</v>
          </cell>
          <cell r="CD28">
            <v>0</v>
          </cell>
          <cell r="CE28" t="str">
            <v>-</v>
          </cell>
          <cell r="CF28">
            <v>5</v>
          </cell>
          <cell r="CG28">
            <v>5</v>
          </cell>
          <cell r="CH28">
            <v>25</v>
          </cell>
          <cell r="CI28">
            <v>35</v>
          </cell>
          <cell r="CJ28">
            <v>35</v>
          </cell>
          <cell r="CK28" t="str">
            <v>B1</v>
          </cell>
          <cell r="CL28">
            <v>591</v>
          </cell>
          <cell r="CM28">
            <v>591</v>
          </cell>
          <cell r="CN28" t="str">
            <v>A</v>
          </cell>
          <cell r="CO28" t="str">
            <v>16th</v>
          </cell>
          <cell r="CP28">
            <v>37</v>
          </cell>
          <cell r="CQ28">
            <v>0</v>
          </cell>
          <cell r="CR28">
            <v>88</v>
          </cell>
          <cell r="CS28" t="str">
            <v>14th</v>
          </cell>
          <cell r="CT28">
            <v>29</v>
          </cell>
          <cell r="CU28">
            <v>0</v>
          </cell>
          <cell r="CV28">
            <v>65</v>
          </cell>
          <cell r="CW28" t="str">
            <v>14th</v>
          </cell>
          <cell r="CX28">
            <v>60</v>
          </cell>
          <cell r="CY28">
            <v>0</v>
          </cell>
          <cell r="CZ28">
            <v>90</v>
          </cell>
          <cell r="DA28" t="str">
            <v>16th</v>
          </cell>
          <cell r="DB28">
            <v>90</v>
          </cell>
          <cell r="DC28">
            <v>0</v>
          </cell>
          <cell r="DD28">
            <v>95</v>
          </cell>
          <cell r="DE28" t="str">
            <v>3rd</v>
          </cell>
          <cell r="DF28">
            <v>9</v>
          </cell>
          <cell r="DG28">
            <v>0</v>
          </cell>
          <cell r="DH28">
            <v>81</v>
          </cell>
          <cell r="DI28" t="str">
            <v>17th</v>
          </cell>
          <cell r="DJ28">
            <v>90</v>
          </cell>
          <cell r="DK28">
            <v>0</v>
          </cell>
          <cell r="DL28">
            <v>95</v>
          </cell>
          <cell r="DM28" t="str">
            <v>6th</v>
          </cell>
          <cell r="DN28">
            <v>74</v>
          </cell>
          <cell r="DO28">
            <v>0</v>
          </cell>
          <cell r="DP28">
            <v>82</v>
          </cell>
          <cell r="DQ28" t="str">
            <v>6th</v>
          </cell>
          <cell r="DR28">
            <v>54</v>
          </cell>
          <cell r="DS28">
            <v>0</v>
          </cell>
          <cell r="DT28">
            <v>17</v>
          </cell>
          <cell r="DU28" t="str">
            <v>8th</v>
          </cell>
          <cell r="DV28">
            <v>18</v>
          </cell>
          <cell r="DW28">
            <v>0</v>
          </cell>
          <cell r="DX28">
            <v>56</v>
          </cell>
          <cell r="DY28" t="str">
            <v>9th</v>
          </cell>
          <cell r="DZ28">
            <v>46</v>
          </cell>
          <cell r="EA28">
            <v>0</v>
          </cell>
          <cell r="EB28">
            <v>17</v>
          </cell>
          <cell r="EC28" t="str">
            <v>N.R</v>
          </cell>
          <cell r="ED28">
            <v>0</v>
          </cell>
          <cell r="EE28">
            <v>0</v>
          </cell>
          <cell r="EF28">
            <v>81</v>
          </cell>
          <cell r="EG28" t="str">
            <v>N.R</v>
          </cell>
          <cell r="EH28">
            <v>49</v>
          </cell>
          <cell r="EI28">
            <v>0</v>
          </cell>
          <cell r="EJ28">
            <v>17</v>
          </cell>
          <cell r="EK28" t="str">
            <v>15th</v>
          </cell>
          <cell r="EL28">
            <v>0</v>
          </cell>
          <cell r="EM28">
            <v>0</v>
          </cell>
          <cell r="EN28">
            <v>67</v>
          </cell>
          <cell r="EO28" t="str">
            <v>N.R</v>
          </cell>
          <cell r="EP28">
            <v>35</v>
          </cell>
          <cell r="EQ28">
            <v>0</v>
          </cell>
          <cell r="ER28">
            <v>76</v>
          </cell>
          <cell r="ES28" t="str">
            <v>8th</v>
          </cell>
        </row>
        <row r="29">
          <cell r="A29">
            <v>0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 t="str">
            <v/>
          </cell>
          <cell r="G29" t="str">
            <v/>
          </cell>
          <cell r="H29" t="str">
            <v/>
          </cell>
          <cell r="I29">
            <v>0</v>
          </cell>
          <cell r="J29">
            <v>0</v>
          </cell>
          <cell r="K29" t="str">
            <v>-</v>
          </cell>
          <cell r="L29" t="str">
            <v/>
          </cell>
          <cell r="M29" t="str">
            <v/>
          </cell>
          <cell r="N29" t="str">
            <v/>
          </cell>
          <cell r="O29">
            <v>0</v>
          </cell>
          <cell r="P29">
            <v>0</v>
          </cell>
          <cell r="Q29" t="str">
            <v>-</v>
          </cell>
          <cell r="R29" t="str">
            <v/>
          </cell>
          <cell r="S29" t="str">
            <v/>
          </cell>
          <cell r="T29" t="str">
            <v/>
          </cell>
          <cell r="U29">
            <v>0</v>
          </cell>
          <cell r="V29">
            <v>0</v>
          </cell>
          <cell r="W29" t="str">
            <v>-</v>
          </cell>
          <cell r="X29" t="str">
            <v/>
          </cell>
          <cell r="Y29" t="str">
            <v/>
          </cell>
          <cell r="Z29" t="str">
            <v/>
          </cell>
          <cell r="AA29">
            <v>0</v>
          </cell>
          <cell r="AB29">
            <v>0</v>
          </cell>
          <cell r="AC29" t="str">
            <v>-</v>
          </cell>
          <cell r="AD29" t="str">
            <v/>
          </cell>
          <cell r="AE29" t="str">
            <v/>
          </cell>
          <cell r="AF29" t="str">
            <v/>
          </cell>
          <cell r="AG29">
            <v>0</v>
          </cell>
          <cell r="AH29">
            <v>0</v>
          </cell>
          <cell r="AI29" t="str">
            <v>-</v>
          </cell>
          <cell r="AJ29" t="str">
            <v/>
          </cell>
          <cell r="AK29" t="str">
            <v/>
          </cell>
          <cell r="AL29" t="str">
            <v/>
          </cell>
          <cell r="AM29">
            <v>0</v>
          </cell>
          <cell r="AN29">
            <v>0</v>
          </cell>
          <cell r="AO29" t="str">
            <v>-</v>
          </cell>
          <cell r="AP29" t="str">
            <v/>
          </cell>
          <cell r="AQ29" t="str">
            <v/>
          </cell>
          <cell r="AR29" t="str">
            <v/>
          </cell>
          <cell r="AS29">
            <v>0</v>
          </cell>
          <cell r="AT29">
            <v>0</v>
          </cell>
          <cell r="AU29" t="str">
            <v>-</v>
          </cell>
          <cell r="AV29" t="str">
            <v/>
          </cell>
          <cell r="AW29" t="str">
            <v/>
          </cell>
          <cell r="AX29" t="str">
            <v/>
          </cell>
          <cell r="AY29">
            <v>0</v>
          </cell>
          <cell r="AZ29">
            <v>0</v>
          </cell>
          <cell r="BA29" t="str">
            <v>-</v>
          </cell>
          <cell r="BB29" t="str">
            <v/>
          </cell>
          <cell r="BC29" t="str">
            <v/>
          </cell>
          <cell r="BD29" t="str">
            <v/>
          </cell>
          <cell r="BE29">
            <v>0</v>
          </cell>
          <cell r="BF29">
            <v>0</v>
          </cell>
          <cell r="BG29" t="str">
            <v>-</v>
          </cell>
          <cell r="BH29" t="str">
            <v/>
          </cell>
          <cell r="BI29" t="str">
            <v/>
          </cell>
          <cell r="BJ29" t="str">
            <v/>
          </cell>
          <cell r="BK29">
            <v>0</v>
          </cell>
          <cell r="BL29">
            <v>0</v>
          </cell>
          <cell r="BM29" t="str">
            <v>-</v>
          </cell>
          <cell r="BN29" t="str">
            <v/>
          </cell>
          <cell r="BO29" t="str">
            <v/>
          </cell>
          <cell r="BP29" t="str">
            <v/>
          </cell>
          <cell r="BQ29">
            <v>0</v>
          </cell>
          <cell r="BR29">
            <v>0</v>
          </cell>
          <cell r="BS29" t="str">
            <v>-</v>
          </cell>
          <cell r="BT29" t="str">
            <v/>
          </cell>
          <cell r="BU29" t="str">
            <v/>
          </cell>
          <cell r="BV29" t="str">
            <v/>
          </cell>
          <cell r="BW29">
            <v>0</v>
          </cell>
          <cell r="BX29">
            <v>0</v>
          </cell>
          <cell r="BY29" t="str">
            <v>-</v>
          </cell>
          <cell r="BZ29" t="str">
            <v/>
          </cell>
          <cell r="CA29" t="str">
            <v/>
          </cell>
          <cell r="CB29" t="str">
            <v/>
          </cell>
          <cell r="CC29">
            <v>0</v>
          </cell>
          <cell r="CD29">
            <v>0</v>
          </cell>
          <cell r="CE29" t="str">
            <v>-</v>
          </cell>
          <cell r="CF29" t="str">
            <v/>
          </cell>
          <cell r="CG29" t="str">
            <v/>
          </cell>
          <cell r="CH29" t="str">
            <v/>
          </cell>
          <cell r="CI29">
            <v>0</v>
          </cell>
          <cell r="CJ29">
            <v>0</v>
          </cell>
          <cell r="CK29" t="str">
            <v>-</v>
          </cell>
          <cell r="CL29">
            <v>0</v>
          </cell>
          <cell r="CM29">
            <v>0</v>
          </cell>
          <cell r="CN29" t="str">
            <v>F9</v>
          </cell>
          <cell r="CO29" t="str">
            <v>N.R</v>
          </cell>
          <cell r="CP29">
            <v>0</v>
          </cell>
          <cell r="CQ29">
            <v>0</v>
          </cell>
          <cell r="CR29">
            <v>88</v>
          </cell>
          <cell r="CS29" t="str">
            <v>N.R</v>
          </cell>
          <cell r="CT29">
            <v>0</v>
          </cell>
          <cell r="CU29">
            <v>0</v>
          </cell>
          <cell r="CV29">
            <v>65</v>
          </cell>
          <cell r="CW29" t="str">
            <v>N.R</v>
          </cell>
          <cell r="CX29">
            <v>0</v>
          </cell>
          <cell r="CY29">
            <v>0</v>
          </cell>
          <cell r="CZ29">
            <v>90</v>
          </cell>
          <cell r="DA29" t="str">
            <v>N.R</v>
          </cell>
          <cell r="DB29">
            <v>0</v>
          </cell>
          <cell r="DC29">
            <v>0</v>
          </cell>
          <cell r="DD29">
            <v>95</v>
          </cell>
          <cell r="DE29" t="str">
            <v>N.R</v>
          </cell>
          <cell r="DF29">
            <v>0</v>
          </cell>
          <cell r="DG29">
            <v>0</v>
          </cell>
          <cell r="DH29">
            <v>81</v>
          </cell>
          <cell r="DI29" t="str">
            <v>N.R</v>
          </cell>
          <cell r="DJ29">
            <v>0</v>
          </cell>
          <cell r="DK29">
            <v>0</v>
          </cell>
          <cell r="DL29">
            <v>95</v>
          </cell>
          <cell r="DM29" t="str">
            <v>N.R</v>
          </cell>
          <cell r="DN29">
            <v>0</v>
          </cell>
          <cell r="DO29">
            <v>0</v>
          </cell>
          <cell r="DP29">
            <v>82</v>
          </cell>
          <cell r="DQ29" t="str">
            <v>N.R</v>
          </cell>
          <cell r="DR29">
            <v>0</v>
          </cell>
          <cell r="DS29">
            <v>0</v>
          </cell>
          <cell r="DT29">
            <v>18</v>
          </cell>
          <cell r="DU29" t="str">
            <v>N.R</v>
          </cell>
          <cell r="DV29">
            <v>0</v>
          </cell>
          <cell r="DW29">
            <v>0</v>
          </cell>
          <cell r="DX29">
            <v>56</v>
          </cell>
          <cell r="DY29" t="str">
            <v>N.R</v>
          </cell>
          <cell r="DZ29">
            <v>0</v>
          </cell>
          <cell r="EA29">
            <v>0</v>
          </cell>
          <cell r="EB29">
            <v>18</v>
          </cell>
          <cell r="EC29" t="str">
            <v>N.R</v>
          </cell>
          <cell r="ED29">
            <v>0</v>
          </cell>
          <cell r="EE29">
            <v>0</v>
          </cell>
          <cell r="EF29">
            <v>81</v>
          </cell>
          <cell r="EG29" t="str">
            <v>N.R</v>
          </cell>
          <cell r="EH29">
            <v>0</v>
          </cell>
          <cell r="EI29">
            <v>0</v>
          </cell>
          <cell r="EJ29">
            <v>18</v>
          </cell>
          <cell r="EK29" t="str">
            <v>N.R</v>
          </cell>
          <cell r="EL29">
            <v>0</v>
          </cell>
          <cell r="EM29">
            <v>0</v>
          </cell>
          <cell r="EN29">
            <v>67</v>
          </cell>
          <cell r="EO29" t="str">
            <v>N.R</v>
          </cell>
          <cell r="EP29">
            <v>0</v>
          </cell>
          <cell r="EQ29">
            <v>0</v>
          </cell>
          <cell r="ER29">
            <v>76</v>
          </cell>
          <cell r="ES29" t="str">
            <v>N.R</v>
          </cell>
        </row>
        <row r="30">
          <cell r="A30">
            <v>0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 t="str">
            <v/>
          </cell>
          <cell r="G30" t="str">
            <v/>
          </cell>
          <cell r="H30" t="str">
            <v/>
          </cell>
          <cell r="I30">
            <v>0</v>
          </cell>
          <cell r="J30">
            <v>0</v>
          </cell>
          <cell r="K30" t="str">
            <v>-</v>
          </cell>
          <cell r="L30" t="str">
            <v/>
          </cell>
          <cell r="M30" t="str">
            <v/>
          </cell>
          <cell r="N30" t="str">
            <v/>
          </cell>
          <cell r="O30">
            <v>0</v>
          </cell>
          <cell r="P30">
            <v>0</v>
          </cell>
          <cell r="Q30" t="str">
            <v>-</v>
          </cell>
          <cell r="R30" t="str">
            <v/>
          </cell>
          <cell r="S30" t="str">
            <v/>
          </cell>
          <cell r="T30" t="str">
            <v/>
          </cell>
          <cell r="U30">
            <v>0</v>
          </cell>
          <cell r="V30">
            <v>0</v>
          </cell>
          <cell r="W30" t="str">
            <v>-</v>
          </cell>
          <cell r="X30" t="str">
            <v/>
          </cell>
          <cell r="Y30" t="str">
            <v/>
          </cell>
          <cell r="Z30" t="str">
            <v/>
          </cell>
          <cell r="AA30">
            <v>0</v>
          </cell>
          <cell r="AB30">
            <v>0</v>
          </cell>
          <cell r="AC30" t="str">
            <v>-</v>
          </cell>
          <cell r="AD30" t="str">
            <v/>
          </cell>
          <cell r="AE30" t="str">
            <v/>
          </cell>
          <cell r="AF30" t="str">
            <v/>
          </cell>
          <cell r="AG30">
            <v>0</v>
          </cell>
          <cell r="AH30">
            <v>0</v>
          </cell>
          <cell r="AI30" t="str">
            <v>-</v>
          </cell>
          <cell r="AJ30" t="str">
            <v/>
          </cell>
          <cell r="AK30" t="str">
            <v/>
          </cell>
          <cell r="AL30" t="str">
            <v/>
          </cell>
          <cell r="AM30">
            <v>0</v>
          </cell>
          <cell r="AN30">
            <v>0</v>
          </cell>
          <cell r="AO30" t="str">
            <v>-</v>
          </cell>
          <cell r="AP30" t="str">
            <v/>
          </cell>
          <cell r="AQ30" t="str">
            <v/>
          </cell>
          <cell r="AR30" t="str">
            <v/>
          </cell>
          <cell r="AS30">
            <v>0</v>
          </cell>
          <cell r="AT30">
            <v>0</v>
          </cell>
          <cell r="AU30" t="str">
            <v>-</v>
          </cell>
          <cell r="AV30" t="str">
            <v/>
          </cell>
          <cell r="AW30" t="str">
            <v/>
          </cell>
          <cell r="AX30" t="str">
            <v/>
          </cell>
          <cell r="AY30">
            <v>0</v>
          </cell>
          <cell r="AZ30">
            <v>0</v>
          </cell>
          <cell r="BA30" t="str">
            <v>-</v>
          </cell>
          <cell r="BB30" t="str">
            <v/>
          </cell>
          <cell r="BC30" t="str">
            <v/>
          </cell>
          <cell r="BD30" t="str">
            <v/>
          </cell>
          <cell r="BE30">
            <v>0</v>
          </cell>
          <cell r="BF30">
            <v>0</v>
          </cell>
          <cell r="BG30" t="str">
            <v>-</v>
          </cell>
          <cell r="BH30" t="str">
            <v/>
          </cell>
          <cell r="BI30" t="str">
            <v/>
          </cell>
          <cell r="BJ30" t="str">
            <v/>
          </cell>
          <cell r="BK30">
            <v>0</v>
          </cell>
          <cell r="BL30">
            <v>0</v>
          </cell>
          <cell r="BM30" t="str">
            <v>-</v>
          </cell>
          <cell r="BN30" t="str">
            <v/>
          </cell>
          <cell r="BO30" t="str">
            <v/>
          </cell>
          <cell r="BP30" t="str">
            <v/>
          </cell>
          <cell r="BQ30">
            <v>0</v>
          </cell>
          <cell r="BR30">
            <v>0</v>
          </cell>
          <cell r="BS30" t="str">
            <v>-</v>
          </cell>
          <cell r="BT30" t="str">
            <v/>
          </cell>
          <cell r="BU30" t="str">
            <v/>
          </cell>
          <cell r="BV30" t="str">
            <v/>
          </cell>
          <cell r="BW30">
            <v>0</v>
          </cell>
          <cell r="BX30">
            <v>0</v>
          </cell>
          <cell r="BY30" t="str">
            <v>-</v>
          </cell>
          <cell r="BZ30" t="str">
            <v/>
          </cell>
          <cell r="CA30" t="str">
            <v/>
          </cell>
          <cell r="CB30" t="str">
            <v/>
          </cell>
          <cell r="CC30">
            <v>0</v>
          </cell>
          <cell r="CD30">
            <v>0</v>
          </cell>
          <cell r="CE30" t="str">
            <v>-</v>
          </cell>
          <cell r="CF30" t="str">
            <v/>
          </cell>
          <cell r="CG30" t="str">
            <v/>
          </cell>
          <cell r="CH30" t="str">
            <v/>
          </cell>
          <cell r="CI30">
            <v>0</v>
          </cell>
          <cell r="CJ30">
            <v>0</v>
          </cell>
          <cell r="CK30" t="str">
            <v>-</v>
          </cell>
          <cell r="CL30">
            <v>0</v>
          </cell>
          <cell r="CM30">
            <v>0</v>
          </cell>
          <cell r="CN30" t="str">
            <v>F9</v>
          </cell>
          <cell r="CO30" t="str">
            <v>N.R</v>
          </cell>
          <cell r="CP30">
            <v>0</v>
          </cell>
          <cell r="CQ30">
            <v>0</v>
          </cell>
          <cell r="CR30">
            <v>88</v>
          </cell>
          <cell r="CS30" t="str">
            <v>N.R</v>
          </cell>
          <cell r="CT30">
            <v>0</v>
          </cell>
          <cell r="CU30">
            <v>0</v>
          </cell>
          <cell r="CV30">
            <v>65</v>
          </cell>
          <cell r="CW30" t="str">
            <v>N.R</v>
          </cell>
          <cell r="CX30">
            <v>0</v>
          </cell>
          <cell r="CY30">
            <v>0</v>
          </cell>
          <cell r="CZ30">
            <v>90</v>
          </cell>
          <cell r="DA30" t="str">
            <v>N.R</v>
          </cell>
          <cell r="DB30">
            <v>0</v>
          </cell>
          <cell r="DC30">
            <v>0</v>
          </cell>
          <cell r="DD30">
            <v>95</v>
          </cell>
          <cell r="DE30" t="str">
            <v>N.R</v>
          </cell>
          <cell r="DF30">
            <v>0</v>
          </cell>
          <cell r="DG30">
            <v>0</v>
          </cell>
          <cell r="DH30">
            <v>81</v>
          </cell>
          <cell r="DI30" t="str">
            <v>N.R</v>
          </cell>
          <cell r="DJ30">
            <v>0</v>
          </cell>
          <cell r="DK30">
            <v>0</v>
          </cell>
          <cell r="DL30">
            <v>95</v>
          </cell>
          <cell r="DM30" t="str">
            <v>N.R</v>
          </cell>
          <cell r="DN30">
            <v>0</v>
          </cell>
          <cell r="DO30">
            <v>0</v>
          </cell>
          <cell r="DP30">
            <v>82</v>
          </cell>
          <cell r="DQ30" t="str">
            <v>N.R</v>
          </cell>
          <cell r="DR30">
            <v>0</v>
          </cell>
          <cell r="DS30">
            <v>0</v>
          </cell>
          <cell r="DT30">
            <v>19</v>
          </cell>
          <cell r="DU30" t="str">
            <v>N.R</v>
          </cell>
          <cell r="DV30">
            <v>0</v>
          </cell>
          <cell r="DW30">
            <v>0</v>
          </cell>
          <cell r="DX30">
            <v>56</v>
          </cell>
          <cell r="DY30" t="str">
            <v>N.R</v>
          </cell>
          <cell r="DZ30">
            <v>0</v>
          </cell>
          <cell r="EA30">
            <v>0</v>
          </cell>
          <cell r="EB30">
            <v>19</v>
          </cell>
          <cell r="EC30" t="str">
            <v>N.R</v>
          </cell>
          <cell r="ED30">
            <v>0</v>
          </cell>
          <cell r="EE30">
            <v>0</v>
          </cell>
          <cell r="EF30">
            <v>81</v>
          </cell>
          <cell r="EG30" t="str">
            <v>N.R</v>
          </cell>
          <cell r="EH30">
            <v>0</v>
          </cell>
          <cell r="EI30">
            <v>0</v>
          </cell>
          <cell r="EJ30">
            <v>19</v>
          </cell>
          <cell r="EK30" t="str">
            <v>N.R</v>
          </cell>
          <cell r="EL30">
            <v>0</v>
          </cell>
          <cell r="EM30">
            <v>0</v>
          </cell>
          <cell r="EN30">
            <v>67</v>
          </cell>
          <cell r="EO30" t="str">
            <v>N.R</v>
          </cell>
          <cell r="EP30">
            <v>0</v>
          </cell>
          <cell r="EQ30">
            <v>0</v>
          </cell>
          <cell r="ER30">
            <v>76</v>
          </cell>
          <cell r="ES30" t="str">
            <v>N.R</v>
          </cell>
        </row>
        <row r="31">
          <cell r="A31">
            <v>0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 t="str">
            <v/>
          </cell>
          <cell r="G31" t="str">
            <v/>
          </cell>
          <cell r="H31" t="str">
            <v/>
          </cell>
          <cell r="I31">
            <v>0</v>
          </cell>
          <cell r="J31">
            <v>0</v>
          </cell>
          <cell r="K31" t="str">
            <v>-</v>
          </cell>
          <cell r="L31" t="str">
            <v/>
          </cell>
          <cell r="M31" t="str">
            <v/>
          </cell>
          <cell r="N31" t="str">
            <v/>
          </cell>
          <cell r="O31">
            <v>0</v>
          </cell>
          <cell r="P31">
            <v>0</v>
          </cell>
          <cell r="Q31" t="str">
            <v>-</v>
          </cell>
          <cell r="R31" t="str">
            <v/>
          </cell>
          <cell r="S31" t="str">
            <v/>
          </cell>
          <cell r="T31" t="str">
            <v/>
          </cell>
          <cell r="U31">
            <v>0</v>
          </cell>
          <cell r="V31">
            <v>0</v>
          </cell>
          <cell r="W31" t="str">
            <v>-</v>
          </cell>
          <cell r="X31" t="str">
            <v/>
          </cell>
          <cell r="Y31" t="str">
            <v/>
          </cell>
          <cell r="Z31" t="str">
            <v/>
          </cell>
          <cell r="AA31">
            <v>0</v>
          </cell>
          <cell r="AB31">
            <v>0</v>
          </cell>
          <cell r="AC31" t="str">
            <v>-</v>
          </cell>
          <cell r="AD31" t="str">
            <v/>
          </cell>
          <cell r="AE31" t="str">
            <v/>
          </cell>
          <cell r="AF31" t="str">
            <v/>
          </cell>
          <cell r="AG31">
            <v>0</v>
          </cell>
          <cell r="AH31">
            <v>0</v>
          </cell>
          <cell r="AI31" t="str">
            <v>-</v>
          </cell>
          <cell r="AJ31" t="str">
            <v/>
          </cell>
          <cell r="AK31" t="str">
            <v/>
          </cell>
          <cell r="AL31" t="str">
            <v/>
          </cell>
          <cell r="AM31">
            <v>0</v>
          </cell>
          <cell r="AN31">
            <v>0</v>
          </cell>
          <cell r="AO31" t="str">
            <v>-</v>
          </cell>
          <cell r="AP31" t="str">
            <v/>
          </cell>
          <cell r="AQ31" t="str">
            <v/>
          </cell>
          <cell r="AR31" t="str">
            <v/>
          </cell>
          <cell r="AS31">
            <v>0</v>
          </cell>
          <cell r="AT31">
            <v>0</v>
          </cell>
          <cell r="AU31" t="str">
            <v>-</v>
          </cell>
          <cell r="AV31" t="str">
            <v/>
          </cell>
          <cell r="AW31" t="str">
            <v/>
          </cell>
          <cell r="AX31" t="str">
            <v/>
          </cell>
          <cell r="AY31">
            <v>0</v>
          </cell>
          <cell r="AZ31">
            <v>0</v>
          </cell>
          <cell r="BA31" t="str">
            <v>-</v>
          </cell>
          <cell r="BB31" t="str">
            <v/>
          </cell>
          <cell r="BC31" t="str">
            <v/>
          </cell>
          <cell r="BD31" t="str">
            <v/>
          </cell>
          <cell r="BE31">
            <v>0</v>
          </cell>
          <cell r="BF31">
            <v>0</v>
          </cell>
          <cell r="BG31" t="str">
            <v>-</v>
          </cell>
          <cell r="BH31" t="str">
            <v/>
          </cell>
          <cell r="BI31" t="str">
            <v/>
          </cell>
          <cell r="BJ31" t="str">
            <v/>
          </cell>
          <cell r="BK31">
            <v>0</v>
          </cell>
          <cell r="BL31">
            <v>0</v>
          </cell>
          <cell r="BM31" t="str">
            <v>-</v>
          </cell>
          <cell r="BN31" t="str">
            <v/>
          </cell>
          <cell r="BO31" t="str">
            <v/>
          </cell>
          <cell r="BP31" t="str">
            <v/>
          </cell>
          <cell r="BQ31">
            <v>0</v>
          </cell>
          <cell r="BR31">
            <v>0</v>
          </cell>
          <cell r="BS31" t="str">
            <v>-</v>
          </cell>
          <cell r="BT31" t="str">
            <v/>
          </cell>
          <cell r="BU31" t="str">
            <v/>
          </cell>
          <cell r="BV31" t="str">
            <v/>
          </cell>
          <cell r="BW31">
            <v>0</v>
          </cell>
          <cell r="BX31">
            <v>0</v>
          </cell>
          <cell r="BY31" t="str">
            <v>-</v>
          </cell>
          <cell r="BZ31" t="str">
            <v/>
          </cell>
          <cell r="CA31" t="str">
            <v/>
          </cell>
          <cell r="CB31" t="str">
            <v/>
          </cell>
          <cell r="CC31">
            <v>0</v>
          </cell>
          <cell r="CD31">
            <v>0</v>
          </cell>
          <cell r="CE31" t="str">
            <v>-</v>
          </cell>
          <cell r="CF31" t="str">
            <v/>
          </cell>
          <cell r="CG31" t="str">
            <v/>
          </cell>
          <cell r="CH31" t="str">
            <v/>
          </cell>
          <cell r="CI31">
            <v>0</v>
          </cell>
          <cell r="CJ31">
            <v>0</v>
          </cell>
          <cell r="CK31" t="str">
            <v>-</v>
          </cell>
          <cell r="CL31">
            <v>0</v>
          </cell>
          <cell r="CM31">
            <v>0</v>
          </cell>
          <cell r="CN31" t="str">
            <v>F9</v>
          </cell>
          <cell r="CO31" t="str">
            <v>N.R</v>
          </cell>
          <cell r="CP31">
            <v>0</v>
          </cell>
          <cell r="CQ31">
            <v>0</v>
          </cell>
          <cell r="CR31">
            <v>88</v>
          </cell>
          <cell r="CS31" t="str">
            <v>N.R</v>
          </cell>
          <cell r="CT31">
            <v>0</v>
          </cell>
          <cell r="CU31">
            <v>0</v>
          </cell>
          <cell r="CV31">
            <v>65</v>
          </cell>
          <cell r="CW31" t="str">
            <v>N.R</v>
          </cell>
          <cell r="CX31">
            <v>0</v>
          </cell>
          <cell r="CY31">
            <v>0</v>
          </cell>
          <cell r="CZ31">
            <v>90</v>
          </cell>
          <cell r="DA31" t="str">
            <v>N.R</v>
          </cell>
          <cell r="DB31">
            <v>0</v>
          </cell>
          <cell r="DC31">
            <v>0</v>
          </cell>
          <cell r="DD31">
            <v>95</v>
          </cell>
          <cell r="DE31" t="str">
            <v>N.R</v>
          </cell>
          <cell r="DF31">
            <v>0</v>
          </cell>
          <cell r="DG31">
            <v>0</v>
          </cell>
          <cell r="DH31">
            <v>81</v>
          </cell>
          <cell r="DI31" t="str">
            <v>N.R</v>
          </cell>
          <cell r="DJ31">
            <v>0</v>
          </cell>
          <cell r="DK31">
            <v>0</v>
          </cell>
          <cell r="DL31">
            <v>95</v>
          </cell>
          <cell r="DM31" t="str">
            <v>N.R</v>
          </cell>
          <cell r="DN31">
            <v>0</v>
          </cell>
          <cell r="DO31">
            <v>0</v>
          </cell>
          <cell r="DP31">
            <v>82</v>
          </cell>
          <cell r="DQ31" t="str">
            <v>N.R</v>
          </cell>
          <cell r="DR31">
            <v>0</v>
          </cell>
          <cell r="DS31">
            <v>0</v>
          </cell>
          <cell r="DT31">
            <v>20</v>
          </cell>
          <cell r="DU31" t="str">
            <v>N.R</v>
          </cell>
          <cell r="DV31">
            <v>0</v>
          </cell>
          <cell r="DW31">
            <v>0</v>
          </cell>
          <cell r="DX31">
            <v>56</v>
          </cell>
          <cell r="DY31" t="str">
            <v>N.R</v>
          </cell>
          <cell r="DZ31">
            <v>0</v>
          </cell>
          <cell r="EA31">
            <v>0</v>
          </cell>
          <cell r="EB31">
            <v>20</v>
          </cell>
          <cell r="EC31" t="str">
            <v>N.R</v>
          </cell>
          <cell r="ED31">
            <v>0</v>
          </cell>
          <cell r="EE31">
            <v>0</v>
          </cell>
          <cell r="EF31">
            <v>81</v>
          </cell>
          <cell r="EG31" t="str">
            <v>N.R</v>
          </cell>
          <cell r="EH31">
            <v>0</v>
          </cell>
          <cell r="EI31">
            <v>0</v>
          </cell>
          <cell r="EJ31">
            <v>20</v>
          </cell>
          <cell r="EK31" t="str">
            <v>N.R</v>
          </cell>
          <cell r="EL31">
            <v>0</v>
          </cell>
          <cell r="EM31">
            <v>0</v>
          </cell>
          <cell r="EN31">
            <v>67</v>
          </cell>
          <cell r="EO31" t="str">
            <v>N.R</v>
          </cell>
          <cell r="EP31">
            <v>0</v>
          </cell>
          <cell r="EQ31">
            <v>0</v>
          </cell>
          <cell r="ER31">
            <v>76</v>
          </cell>
          <cell r="ES31" t="str">
            <v>N.R</v>
          </cell>
        </row>
        <row r="32">
          <cell r="A32">
            <v>0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 t="str">
            <v/>
          </cell>
          <cell r="G32" t="str">
            <v/>
          </cell>
          <cell r="H32" t="str">
            <v/>
          </cell>
          <cell r="I32">
            <v>0</v>
          </cell>
          <cell r="J32">
            <v>0</v>
          </cell>
          <cell r="K32" t="str">
            <v>-</v>
          </cell>
          <cell r="L32" t="str">
            <v/>
          </cell>
          <cell r="M32" t="str">
            <v/>
          </cell>
          <cell r="N32" t="str">
            <v/>
          </cell>
          <cell r="O32">
            <v>0</v>
          </cell>
          <cell r="P32">
            <v>0</v>
          </cell>
          <cell r="Q32" t="str">
            <v>-</v>
          </cell>
          <cell r="R32" t="str">
            <v/>
          </cell>
          <cell r="S32" t="str">
            <v/>
          </cell>
          <cell r="T32" t="str">
            <v/>
          </cell>
          <cell r="U32">
            <v>0</v>
          </cell>
          <cell r="V32">
            <v>0</v>
          </cell>
          <cell r="W32" t="str">
            <v>-</v>
          </cell>
          <cell r="X32" t="str">
            <v/>
          </cell>
          <cell r="Y32" t="str">
            <v/>
          </cell>
          <cell r="Z32" t="str">
            <v/>
          </cell>
          <cell r="AA32">
            <v>0</v>
          </cell>
          <cell r="AB32">
            <v>0</v>
          </cell>
          <cell r="AC32" t="str">
            <v>-</v>
          </cell>
          <cell r="AD32" t="str">
            <v/>
          </cell>
          <cell r="AE32" t="str">
            <v/>
          </cell>
          <cell r="AF32" t="str">
            <v/>
          </cell>
          <cell r="AG32">
            <v>0</v>
          </cell>
          <cell r="AH32">
            <v>0</v>
          </cell>
          <cell r="AI32" t="str">
            <v>-</v>
          </cell>
          <cell r="AJ32" t="str">
            <v/>
          </cell>
          <cell r="AK32" t="str">
            <v/>
          </cell>
          <cell r="AL32" t="str">
            <v/>
          </cell>
          <cell r="AM32">
            <v>0</v>
          </cell>
          <cell r="AN32">
            <v>0</v>
          </cell>
          <cell r="AO32" t="str">
            <v>-</v>
          </cell>
          <cell r="AP32" t="str">
            <v/>
          </cell>
          <cell r="AQ32" t="str">
            <v/>
          </cell>
          <cell r="AR32" t="str">
            <v/>
          </cell>
          <cell r="AS32">
            <v>0</v>
          </cell>
          <cell r="AT32">
            <v>0</v>
          </cell>
          <cell r="AU32" t="str">
            <v>-</v>
          </cell>
          <cell r="AV32" t="str">
            <v/>
          </cell>
          <cell r="AW32" t="str">
            <v/>
          </cell>
          <cell r="AX32" t="str">
            <v/>
          </cell>
          <cell r="AY32">
            <v>0</v>
          </cell>
          <cell r="AZ32">
            <v>0</v>
          </cell>
          <cell r="BA32" t="str">
            <v>-</v>
          </cell>
          <cell r="BB32" t="str">
            <v/>
          </cell>
          <cell r="BC32" t="str">
            <v/>
          </cell>
          <cell r="BD32" t="str">
            <v/>
          </cell>
          <cell r="BE32">
            <v>0</v>
          </cell>
          <cell r="BF32">
            <v>0</v>
          </cell>
          <cell r="BG32" t="str">
            <v>-</v>
          </cell>
          <cell r="BH32" t="str">
            <v/>
          </cell>
          <cell r="BI32" t="str">
            <v/>
          </cell>
          <cell r="BJ32" t="str">
            <v/>
          </cell>
          <cell r="BK32">
            <v>0</v>
          </cell>
          <cell r="BL32">
            <v>0</v>
          </cell>
          <cell r="BM32" t="str">
            <v>-</v>
          </cell>
          <cell r="BN32" t="str">
            <v/>
          </cell>
          <cell r="BO32" t="str">
            <v/>
          </cell>
          <cell r="BP32" t="str">
            <v/>
          </cell>
          <cell r="BQ32">
            <v>0</v>
          </cell>
          <cell r="BR32">
            <v>0</v>
          </cell>
          <cell r="BS32" t="str">
            <v>-</v>
          </cell>
          <cell r="BT32" t="str">
            <v/>
          </cell>
          <cell r="BU32" t="str">
            <v/>
          </cell>
          <cell r="BV32" t="str">
            <v/>
          </cell>
          <cell r="BW32">
            <v>0</v>
          </cell>
          <cell r="BX32">
            <v>0</v>
          </cell>
          <cell r="BY32" t="str">
            <v>-</v>
          </cell>
          <cell r="BZ32" t="str">
            <v/>
          </cell>
          <cell r="CA32" t="str">
            <v/>
          </cell>
          <cell r="CB32" t="str">
            <v/>
          </cell>
          <cell r="CC32">
            <v>0</v>
          </cell>
          <cell r="CD32">
            <v>0</v>
          </cell>
          <cell r="CE32" t="str">
            <v>-</v>
          </cell>
          <cell r="CF32" t="str">
            <v/>
          </cell>
          <cell r="CG32" t="str">
            <v/>
          </cell>
          <cell r="CH32" t="str">
            <v/>
          </cell>
          <cell r="CI32">
            <v>0</v>
          </cell>
          <cell r="CJ32">
            <v>0</v>
          </cell>
          <cell r="CK32" t="str">
            <v>-</v>
          </cell>
          <cell r="CL32">
            <v>0</v>
          </cell>
          <cell r="CM32">
            <v>0</v>
          </cell>
          <cell r="CN32" t="str">
            <v>F9</v>
          </cell>
          <cell r="CO32" t="str">
            <v>N.R</v>
          </cell>
          <cell r="CP32">
            <v>0</v>
          </cell>
          <cell r="CQ32">
            <v>0</v>
          </cell>
          <cell r="CR32">
            <v>88</v>
          </cell>
          <cell r="CS32" t="str">
            <v>N.R</v>
          </cell>
          <cell r="CT32">
            <v>0</v>
          </cell>
          <cell r="CU32">
            <v>0</v>
          </cell>
          <cell r="CV32">
            <v>65</v>
          </cell>
          <cell r="CW32" t="str">
            <v>N.R</v>
          </cell>
          <cell r="CX32">
            <v>0</v>
          </cell>
          <cell r="CY32">
            <v>0</v>
          </cell>
          <cell r="CZ32">
            <v>90</v>
          </cell>
          <cell r="DA32" t="str">
            <v>N.R</v>
          </cell>
          <cell r="DB32">
            <v>0</v>
          </cell>
          <cell r="DC32">
            <v>0</v>
          </cell>
          <cell r="DD32">
            <v>95</v>
          </cell>
          <cell r="DE32" t="str">
            <v>N.R</v>
          </cell>
          <cell r="DF32">
            <v>0</v>
          </cell>
          <cell r="DG32">
            <v>0</v>
          </cell>
          <cell r="DH32">
            <v>81</v>
          </cell>
          <cell r="DI32" t="str">
            <v>N.R</v>
          </cell>
          <cell r="DJ32">
            <v>0</v>
          </cell>
          <cell r="DK32">
            <v>0</v>
          </cell>
          <cell r="DL32">
            <v>95</v>
          </cell>
          <cell r="DM32" t="str">
            <v>N.R</v>
          </cell>
          <cell r="DN32">
            <v>0</v>
          </cell>
          <cell r="DO32">
            <v>0</v>
          </cell>
          <cell r="DP32">
            <v>82</v>
          </cell>
          <cell r="DQ32" t="str">
            <v>N.R</v>
          </cell>
          <cell r="DR32">
            <v>0</v>
          </cell>
          <cell r="DS32">
            <v>0</v>
          </cell>
          <cell r="DT32">
            <v>21</v>
          </cell>
          <cell r="DU32" t="str">
            <v>N.R</v>
          </cell>
          <cell r="DV32">
            <v>0</v>
          </cell>
          <cell r="DW32">
            <v>0</v>
          </cell>
          <cell r="DX32">
            <v>56</v>
          </cell>
          <cell r="DY32" t="str">
            <v>N.R</v>
          </cell>
          <cell r="DZ32">
            <v>0</v>
          </cell>
          <cell r="EA32">
            <v>0</v>
          </cell>
          <cell r="EB32">
            <v>21</v>
          </cell>
          <cell r="EC32" t="str">
            <v>N.R</v>
          </cell>
          <cell r="ED32">
            <v>0</v>
          </cell>
          <cell r="EE32">
            <v>0</v>
          </cell>
          <cell r="EF32">
            <v>81</v>
          </cell>
          <cell r="EG32" t="str">
            <v>N.R</v>
          </cell>
          <cell r="EH32">
            <v>0</v>
          </cell>
          <cell r="EI32">
            <v>0</v>
          </cell>
          <cell r="EJ32">
            <v>21</v>
          </cell>
          <cell r="EK32" t="str">
            <v>N.R</v>
          </cell>
          <cell r="EL32">
            <v>0</v>
          </cell>
          <cell r="EM32">
            <v>0</v>
          </cell>
          <cell r="EN32">
            <v>67</v>
          </cell>
          <cell r="EO32" t="str">
            <v>N.R</v>
          </cell>
          <cell r="EP32">
            <v>0</v>
          </cell>
          <cell r="EQ32">
            <v>0</v>
          </cell>
          <cell r="ER32">
            <v>76</v>
          </cell>
          <cell r="ES32" t="str">
            <v>N.R</v>
          </cell>
        </row>
        <row r="33">
          <cell r="A33">
            <v>0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 t="str">
            <v/>
          </cell>
          <cell r="G33" t="str">
            <v/>
          </cell>
          <cell r="H33" t="str">
            <v/>
          </cell>
          <cell r="I33">
            <v>0</v>
          </cell>
          <cell r="J33">
            <v>0</v>
          </cell>
          <cell r="K33" t="str">
            <v>-</v>
          </cell>
          <cell r="L33" t="str">
            <v/>
          </cell>
          <cell r="M33" t="str">
            <v/>
          </cell>
          <cell r="N33" t="str">
            <v/>
          </cell>
          <cell r="O33">
            <v>0</v>
          </cell>
          <cell r="P33">
            <v>0</v>
          </cell>
          <cell r="Q33" t="str">
            <v>-</v>
          </cell>
          <cell r="R33" t="str">
            <v/>
          </cell>
          <cell r="S33" t="str">
            <v/>
          </cell>
          <cell r="T33" t="str">
            <v/>
          </cell>
          <cell r="U33">
            <v>0</v>
          </cell>
          <cell r="V33">
            <v>0</v>
          </cell>
          <cell r="W33" t="str">
            <v>-</v>
          </cell>
          <cell r="X33" t="str">
            <v/>
          </cell>
          <cell r="Y33" t="str">
            <v/>
          </cell>
          <cell r="Z33" t="str">
            <v/>
          </cell>
          <cell r="AA33">
            <v>0</v>
          </cell>
          <cell r="AB33">
            <v>0</v>
          </cell>
          <cell r="AC33" t="str">
            <v>-</v>
          </cell>
          <cell r="AD33" t="str">
            <v/>
          </cell>
          <cell r="AE33" t="str">
            <v/>
          </cell>
          <cell r="AF33" t="str">
            <v/>
          </cell>
          <cell r="AG33">
            <v>0</v>
          </cell>
          <cell r="AH33">
            <v>0</v>
          </cell>
          <cell r="AI33" t="str">
            <v>-</v>
          </cell>
          <cell r="AJ33" t="str">
            <v/>
          </cell>
          <cell r="AK33" t="str">
            <v/>
          </cell>
          <cell r="AL33" t="str">
            <v/>
          </cell>
          <cell r="AM33">
            <v>0</v>
          </cell>
          <cell r="AN33">
            <v>0</v>
          </cell>
          <cell r="AO33" t="str">
            <v>-</v>
          </cell>
          <cell r="AP33" t="str">
            <v/>
          </cell>
          <cell r="AQ33" t="str">
            <v/>
          </cell>
          <cell r="AR33" t="str">
            <v/>
          </cell>
          <cell r="AS33">
            <v>0</v>
          </cell>
          <cell r="AT33">
            <v>0</v>
          </cell>
          <cell r="AU33" t="str">
            <v>-</v>
          </cell>
          <cell r="AV33" t="str">
            <v/>
          </cell>
          <cell r="AW33" t="str">
            <v/>
          </cell>
          <cell r="AX33" t="str">
            <v/>
          </cell>
          <cell r="AY33">
            <v>0</v>
          </cell>
          <cell r="AZ33">
            <v>0</v>
          </cell>
          <cell r="BA33" t="str">
            <v>-</v>
          </cell>
          <cell r="BB33" t="str">
            <v/>
          </cell>
          <cell r="BC33" t="str">
            <v/>
          </cell>
          <cell r="BD33" t="str">
            <v/>
          </cell>
          <cell r="BE33">
            <v>0</v>
          </cell>
          <cell r="BF33">
            <v>0</v>
          </cell>
          <cell r="BG33" t="str">
            <v>-</v>
          </cell>
          <cell r="BH33" t="str">
            <v/>
          </cell>
          <cell r="BI33" t="str">
            <v/>
          </cell>
          <cell r="BJ33" t="str">
            <v/>
          </cell>
          <cell r="BK33">
            <v>0</v>
          </cell>
          <cell r="BL33">
            <v>0</v>
          </cell>
          <cell r="BM33" t="str">
            <v>-</v>
          </cell>
          <cell r="BN33" t="str">
            <v/>
          </cell>
          <cell r="BO33" t="str">
            <v/>
          </cell>
          <cell r="BP33" t="str">
            <v/>
          </cell>
          <cell r="BQ33">
            <v>0</v>
          </cell>
          <cell r="BR33">
            <v>0</v>
          </cell>
          <cell r="BS33" t="str">
            <v>-</v>
          </cell>
          <cell r="BT33" t="str">
            <v/>
          </cell>
          <cell r="BU33" t="str">
            <v/>
          </cell>
          <cell r="BV33" t="str">
            <v/>
          </cell>
          <cell r="BW33">
            <v>0</v>
          </cell>
          <cell r="BX33">
            <v>0</v>
          </cell>
          <cell r="BY33" t="str">
            <v>-</v>
          </cell>
          <cell r="BZ33" t="str">
            <v/>
          </cell>
          <cell r="CA33" t="str">
            <v/>
          </cell>
          <cell r="CB33" t="str">
            <v/>
          </cell>
          <cell r="CC33">
            <v>0</v>
          </cell>
          <cell r="CD33">
            <v>0</v>
          </cell>
          <cell r="CE33" t="str">
            <v>-</v>
          </cell>
          <cell r="CF33" t="str">
            <v/>
          </cell>
          <cell r="CG33" t="str">
            <v/>
          </cell>
          <cell r="CH33" t="str">
            <v/>
          </cell>
          <cell r="CI33">
            <v>0</v>
          </cell>
          <cell r="CJ33">
            <v>0</v>
          </cell>
          <cell r="CK33" t="str">
            <v>-</v>
          </cell>
          <cell r="CL33">
            <v>0</v>
          </cell>
          <cell r="CM33">
            <v>0</v>
          </cell>
          <cell r="CN33" t="str">
            <v>F9</v>
          </cell>
          <cell r="CO33" t="str">
            <v>N.R</v>
          </cell>
          <cell r="CP33">
            <v>0</v>
          </cell>
          <cell r="CQ33">
            <v>0</v>
          </cell>
          <cell r="CR33">
            <v>88</v>
          </cell>
          <cell r="CS33" t="str">
            <v>N.R</v>
          </cell>
          <cell r="CT33">
            <v>0</v>
          </cell>
          <cell r="CU33">
            <v>0</v>
          </cell>
          <cell r="CV33">
            <v>65</v>
          </cell>
          <cell r="CW33" t="str">
            <v>N.R</v>
          </cell>
          <cell r="CX33">
            <v>0</v>
          </cell>
          <cell r="CY33">
            <v>0</v>
          </cell>
          <cell r="CZ33">
            <v>90</v>
          </cell>
          <cell r="DA33" t="str">
            <v>N.R</v>
          </cell>
          <cell r="DB33">
            <v>0</v>
          </cell>
          <cell r="DC33">
            <v>0</v>
          </cell>
          <cell r="DD33">
            <v>95</v>
          </cell>
          <cell r="DE33" t="str">
            <v>N.R</v>
          </cell>
          <cell r="DF33">
            <v>0</v>
          </cell>
          <cell r="DG33">
            <v>0</v>
          </cell>
          <cell r="DH33">
            <v>81</v>
          </cell>
          <cell r="DI33" t="str">
            <v>N.R</v>
          </cell>
          <cell r="DJ33">
            <v>0</v>
          </cell>
          <cell r="DK33">
            <v>0</v>
          </cell>
          <cell r="DL33">
            <v>95</v>
          </cell>
          <cell r="DM33" t="str">
            <v>N.R</v>
          </cell>
          <cell r="DN33">
            <v>0</v>
          </cell>
          <cell r="DO33">
            <v>0</v>
          </cell>
          <cell r="DP33">
            <v>82</v>
          </cell>
          <cell r="DQ33" t="str">
            <v>N.R</v>
          </cell>
          <cell r="DR33">
            <v>0</v>
          </cell>
          <cell r="DS33">
            <v>0</v>
          </cell>
          <cell r="DT33">
            <v>22</v>
          </cell>
          <cell r="DU33" t="str">
            <v>N.R</v>
          </cell>
          <cell r="DV33">
            <v>0</v>
          </cell>
          <cell r="DW33">
            <v>0</v>
          </cell>
          <cell r="DX33">
            <v>56</v>
          </cell>
          <cell r="DY33" t="str">
            <v>N.R</v>
          </cell>
          <cell r="DZ33">
            <v>0</v>
          </cell>
          <cell r="EA33">
            <v>0</v>
          </cell>
          <cell r="EB33">
            <v>22</v>
          </cell>
          <cell r="EC33" t="str">
            <v>N.R</v>
          </cell>
          <cell r="ED33">
            <v>0</v>
          </cell>
          <cell r="EE33">
            <v>0</v>
          </cell>
          <cell r="EF33">
            <v>81</v>
          </cell>
          <cell r="EG33" t="str">
            <v>N.R</v>
          </cell>
          <cell r="EH33">
            <v>0</v>
          </cell>
          <cell r="EI33">
            <v>0</v>
          </cell>
          <cell r="EJ33">
            <v>22</v>
          </cell>
          <cell r="EK33" t="str">
            <v>N.R</v>
          </cell>
          <cell r="EL33">
            <v>0</v>
          </cell>
          <cell r="EM33">
            <v>0</v>
          </cell>
          <cell r="EN33">
            <v>67</v>
          </cell>
          <cell r="EO33" t="str">
            <v>N.R</v>
          </cell>
          <cell r="EP33">
            <v>0</v>
          </cell>
          <cell r="EQ33">
            <v>0</v>
          </cell>
          <cell r="ER33">
            <v>76</v>
          </cell>
          <cell r="ES33" t="str">
            <v>N.R</v>
          </cell>
        </row>
        <row r="34">
          <cell r="A34">
            <v>0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 t="str">
            <v/>
          </cell>
          <cell r="G34" t="str">
            <v/>
          </cell>
          <cell r="H34" t="str">
            <v/>
          </cell>
          <cell r="I34">
            <v>0</v>
          </cell>
          <cell r="J34">
            <v>0</v>
          </cell>
          <cell r="K34" t="str">
            <v>-</v>
          </cell>
          <cell r="L34" t="str">
            <v/>
          </cell>
          <cell r="M34" t="str">
            <v/>
          </cell>
          <cell r="N34" t="str">
            <v/>
          </cell>
          <cell r="O34">
            <v>0</v>
          </cell>
          <cell r="P34">
            <v>0</v>
          </cell>
          <cell r="Q34" t="str">
            <v>-</v>
          </cell>
          <cell r="R34" t="str">
            <v/>
          </cell>
          <cell r="S34" t="str">
            <v/>
          </cell>
          <cell r="T34" t="str">
            <v/>
          </cell>
          <cell r="U34">
            <v>0</v>
          </cell>
          <cell r="V34">
            <v>0</v>
          </cell>
          <cell r="W34" t="str">
            <v>-</v>
          </cell>
          <cell r="X34" t="str">
            <v/>
          </cell>
          <cell r="Y34" t="str">
            <v/>
          </cell>
          <cell r="Z34" t="str">
            <v/>
          </cell>
          <cell r="AA34">
            <v>0</v>
          </cell>
          <cell r="AB34">
            <v>0</v>
          </cell>
          <cell r="AC34" t="str">
            <v>-</v>
          </cell>
          <cell r="AD34" t="str">
            <v/>
          </cell>
          <cell r="AE34" t="str">
            <v/>
          </cell>
          <cell r="AF34" t="str">
            <v/>
          </cell>
          <cell r="AG34">
            <v>0</v>
          </cell>
          <cell r="AH34">
            <v>0</v>
          </cell>
          <cell r="AI34" t="str">
            <v>-</v>
          </cell>
          <cell r="AJ34" t="str">
            <v/>
          </cell>
          <cell r="AK34" t="str">
            <v/>
          </cell>
          <cell r="AL34" t="str">
            <v/>
          </cell>
          <cell r="AM34">
            <v>0</v>
          </cell>
          <cell r="AN34">
            <v>0</v>
          </cell>
          <cell r="AO34" t="str">
            <v>-</v>
          </cell>
          <cell r="AP34" t="str">
            <v/>
          </cell>
          <cell r="AQ34" t="str">
            <v/>
          </cell>
          <cell r="AR34" t="str">
            <v/>
          </cell>
          <cell r="AS34">
            <v>0</v>
          </cell>
          <cell r="AT34">
            <v>0</v>
          </cell>
          <cell r="AU34" t="str">
            <v>-</v>
          </cell>
          <cell r="AV34" t="str">
            <v/>
          </cell>
          <cell r="AW34" t="str">
            <v/>
          </cell>
          <cell r="AX34" t="str">
            <v/>
          </cell>
          <cell r="AY34">
            <v>0</v>
          </cell>
          <cell r="AZ34">
            <v>0</v>
          </cell>
          <cell r="BA34" t="str">
            <v>-</v>
          </cell>
          <cell r="BB34" t="str">
            <v/>
          </cell>
          <cell r="BC34" t="str">
            <v/>
          </cell>
          <cell r="BD34" t="str">
            <v/>
          </cell>
          <cell r="BE34">
            <v>0</v>
          </cell>
          <cell r="BF34">
            <v>0</v>
          </cell>
          <cell r="BG34" t="str">
            <v>-</v>
          </cell>
          <cell r="BH34" t="str">
            <v/>
          </cell>
          <cell r="BI34" t="str">
            <v/>
          </cell>
          <cell r="BJ34" t="str">
            <v/>
          </cell>
          <cell r="BK34">
            <v>0</v>
          </cell>
          <cell r="BL34">
            <v>0</v>
          </cell>
          <cell r="BM34" t="str">
            <v>-</v>
          </cell>
          <cell r="BN34" t="str">
            <v/>
          </cell>
          <cell r="BO34" t="str">
            <v/>
          </cell>
          <cell r="BP34" t="str">
            <v/>
          </cell>
          <cell r="BQ34">
            <v>0</v>
          </cell>
          <cell r="BR34">
            <v>0</v>
          </cell>
          <cell r="BS34" t="str">
            <v>-</v>
          </cell>
          <cell r="BT34" t="str">
            <v/>
          </cell>
          <cell r="BU34" t="str">
            <v/>
          </cell>
          <cell r="BV34" t="str">
            <v/>
          </cell>
          <cell r="BW34">
            <v>0</v>
          </cell>
          <cell r="BX34">
            <v>0</v>
          </cell>
          <cell r="BY34" t="str">
            <v>-</v>
          </cell>
          <cell r="BZ34" t="str">
            <v/>
          </cell>
          <cell r="CA34" t="str">
            <v/>
          </cell>
          <cell r="CB34" t="str">
            <v/>
          </cell>
          <cell r="CC34">
            <v>0</v>
          </cell>
          <cell r="CD34">
            <v>0</v>
          </cell>
          <cell r="CE34" t="str">
            <v>-</v>
          </cell>
          <cell r="CF34" t="str">
            <v/>
          </cell>
          <cell r="CG34" t="str">
            <v/>
          </cell>
          <cell r="CH34" t="str">
            <v/>
          </cell>
          <cell r="CI34">
            <v>0</v>
          </cell>
          <cell r="CJ34">
            <v>0</v>
          </cell>
          <cell r="CK34" t="str">
            <v>-</v>
          </cell>
          <cell r="CL34">
            <v>0</v>
          </cell>
          <cell r="CM34">
            <v>0</v>
          </cell>
          <cell r="CN34" t="str">
            <v>F9</v>
          </cell>
          <cell r="CO34" t="str">
            <v>N.R</v>
          </cell>
          <cell r="CP34">
            <v>0</v>
          </cell>
          <cell r="CQ34">
            <v>0</v>
          </cell>
          <cell r="CR34">
            <v>88</v>
          </cell>
          <cell r="CS34" t="str">
            <v>N.R</v>
          </cell>
          <cell r="CT34">
            <v>0</v>
          </cell>
          <cell r="CU34">
            <v>0</v>
          </cell>
          <cell r="CV34">
            <v>65</v>
          </cell>
          <cell r="CW34" t="str">
            <v>N.R</v>
          </cell>
          <cell r="CX34">
            <v>0</v>
          </cell>
          <cell r="CY34">
            <v>0</v>
          </cell>
          <cell r="CZ34">
            <v>90</v>
          </cell>
          <cell r="DA34" t="str">
            <v>N.R</v>
          </cell>
          <cell r="DB34">
            <v>0</v>
          </cell>
          <cell r="DC34">
            <v>0</v>
          </cell>
          <cell r="DD34">
            <v>95</v>
          </cell>
          <cell r="DE34" t="str">
            <v>N.R</v>
          </cell>
          <cell r="DF34">
            <v>0</v>
          </cell>
          <cell r="DG34">
            <v>0</v>
          </cell>
          <cell r="DH34">
            <v>81</v>
          </cell>
          <cell r="DI34" t="str">
            <v>N.R</v>
          </cell>
          <cell r="DJ34">
            <v>0</v>
          </cell>
          <cell r="DK34">
            <v>0</v>
          </cell>
          <cell r="DL34">
            <v>95</v>
          </cell>
          <cell r="DM34" t="str">
            <v>N.R</v>
          </cell>
          <cell r="DN34">
            <v>0</v>
          </cell>
          <cell r="DO34">
            <v>0</v>
          </cell>
          <cell r="DP34">
            <v>82</v>
          </cell>
          <cell r="DQ34" t="str">
            <v>N.R</v>
          </cell>
          <cell r="DR34">
            <v>0</v>
          </cell>
          <cell r="DS34">
            <v>0</v>
          </cell>
          <cell r="DT34">
            <v>23</v>
          </cell>
          <cell r="DU34" t="str">
            <v>N.R</v>
          </cell>
          <cell r="DV34">
            <v>0</v>
          </cell>
          <cell r="DW34">
            <v>0</v>
          </cell>
          <cell r="DX34">
            <v>56</v>
          </cell>
          <cell r="DY34" t="str">
            <v>N.R</v>
          </cell>
          <cell r="DZ34">
            <v>0</v>
          </cell>
          <cell r="EA34">
            <v>0</v>
          </cell>
          <cell r="EB34">
            <v>23</v>
          </cell>
          <cell r="EC34" t="str">
            <v>N.R</v>
          </cell>
          <cell r="ED34">
            <v>0</v>
          </cell>
          <cell r="EE34">
            <v>0</v>
          </cell>
          <cell r="EF34">
            <v>81</v>
          </cell>
          <cell r="EG34" t="str">
            <v>N.R</v>
          </cell>
          <cell r="EH34">
            <v>0</v>
          </cell>
          <cell r="EI34">
            <v>0</v>
          </cell>
          <cell r="EJ34">
            <v>23</v>
          </cell>
          <cell r="EK34" t="str">
            <v>N.R</v>
          </cell>
          <cell r="EL34">
            <v>0</v>
          </cell>
          <cell r="EM34">
            <v>0</v>
          </cell>
          <cell r="EN34">
            <v>67</v>
          </cell>
          <cell r="EO34" t="str">
            <v>N.R</v>
          </cell>
          <cell r="EP34">
            <v>0</v>
          </cell>
          <cell r="EQ34">
            <v>0</v>
          </cell>
          <cell r="ER34">
            <v>76</v>
          </cell>
          <cell r="ES34" t="str">
            <v>N.R</v>
          </cell>
        </row>
        <row r="35">
          <cell r="A35">
            <v>0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 t="str">
            <v/>
          </cell>
          <cell r="G35" t="str">
            <v/>
          </cell>
          <cell r="H35" t="str">
            <v/>
          </cell>
          <cell r="I35">
            <v>0</v>
          </cell>
          <cell r="J35">
            <v>0</v>
          </cell>
          <cell r="K35" t="str">
            <v>-</v>
          </cell>
          <cell r="L35" t="str">
            <v/>
          </cell>
          <cell r="M35" t="str">
            <v/>
          </cell>
          <cell r="N35" t="str">
            <v/>
          </cell>
          <cell r="O35">
            <v>0</v>
          </cell>
          <cell r="P35">
            <v>0</v>
          </cell>
          <cell r="Q35" t="str">
            <v>-</v>
          </cell>
          <cell r="R35" t="str">
            <v/>
          </cell>
          <cell r="S35" t="str">
            <v/>
          </cell>
          <cell r="T35" t="str">
            <v/>
          </cell>
          <cell r="U35">
            <v>0</v>
          </cell>
          <cell r="V35">
            <v>0</v>
          </cell>
          <cell r="W35" t="str">
            <v>-</v>
          </cell>
          <cell r="X35" t="str">
            <v/>
          </cell>
          <cell r="Y35" t="str">
            <v/>
          </cell>
          <cell r="Z35" t="str">
            <v/>
          </cell>
          <cell r="AA35">
            <v>0</v>
          </cell>
          <cell r="AB35">
            <v>0</v>
          </cell>
          <cell r="AC35" t="str">
            <v>-</v>
          </cell>
          <cell r="AD35" t="str">
            <v/>
          </cell>
          <cell r="AE35" t="str">
            <v/>
          </cell>
          <cell r="AF35" t="str">
            <v/>
          </cell>
          <cell r="AG35">
            <v>0</v>
          </cell>
          <cell r="AH35">
            <v>0</v>
          </cell>
          <cell r="AI35" t="str">
            <v>-</v>
          </cell>
          <cell r="AJ35" t="str">
            <v/>
          </cell>
          <cell r="AK35" t="str">
            <v/>
          </cell>
          <cell r="AL35" t="str">
            <v/>
          </cell>
          <cell r="AM35">
            <v>0</v>
          </cell>
          <cell r="AN35">
            <v>0</v>
          </cell>
          <cell r="AO35" t="str">
            <v>-</v>
          </cell>
          <cell r="AP35" t="str">
            <v/>
          </cell>
          <cell r="AQ35" t="str">
            <v/>
          </cell>
          <cell r="AR35" t="str">
            <v/>
          </cell>
          <cell r="AS35">
            <v>0</v>
          </cell>
          <cell r="AT35">
            <v>0</v>
          </cell>
          <cell r="AU35" t="str">
            <v>-</v>
          </cell>
          <cell r="AV35" t="str">
            <v/>
          </cell>
          <cell r="AW35" t="str">
            <v/>
          </cell>
          <cell r="AX35" t="str">
            <v/>
          </cell>
          <cell r="AY35">
            <v>0</v>
          </cell>
          <cell r="AZ35">
            <v>0</v>
          </cell>
          <cell r="BA35" t="str">
            <v>-</v>
          </cell>
          <cell r="BB35" t="str">
            <v/>
          </cell>
          <cell r="BC35" t="str">
            <v/>
          </cell>
          <cell r="BD35" t="str">
            <v/>
          </cell>
          <cell r="BE35">
            <v>0</v>
          </cell>
          <cell r="BF35">
            <v>0</v>
          </cell>
          <cell r="BG35" t="str">
            <v>-</v>
          </cell>
          <cell r="BH35" t="str">
            <v/>
          </cell>
          <cell r="BI35" t="str">
            <v/>
          </cell>
          <cell r="BJ35" t="str">
            <v/>
          </cell>
          <cell r="BK35">
            <v>0</v>
          </cell>
          <cell r="BL35">
            <v>0</v>
          </cell>
          <cell r="BM35" t="str">
            <v>-</v>
          </cell>
          <cell r="BN35" t="str">
            <v/>
          </cell>
          <cell r="BO35" t="str">
            <v/>
          </cell>
          <cell r="BP35" t="str">
            <v/>
          </cell>
          <cell r="BQ35">
            <v>0</v>
          </cell>
          <cell r="BR35">
            <v>0</v>
          </cell>
          <cell r="BS35" t="str">
            <v>-</v>
          </cell>
          <cell r="BT35" t="str">
            <v/>
          </cell>
          <cell r="BU35" t="str">
            <v/>
          </cell>
          <cell r="BV35" t="str">
            <v/>
          </cell>
          <cell r="BW35">
            <v>0</v>
          </cell>
          <cell r="BX35">
            <v>0</v>
          </cell>
          <cell r="BY35" t="str">
            <v>-</v>
          </cell>
          <cell r="BZ35" t="str">
            <v/>
          </cell>
          <cell r="CA35" t="str">
            <v/>
          </cell>
          <cell r="CB35" t="str">
            <v/>
          </cell>
          <cell r="CC35">
            <v>0</v>
          </cell>
          <cell r="CD35">
            <v>0</v>
          </cell>
          <cell r="CE35" t="str">
            <v>-</v>
          </cell>
          <cell r="CF35" t="str">
            <v/>
          </cell>
          <cell r="CG35" t="str">
            <v/>
          </cell>
          <cell r="CH35" t="str">
            <v/>
          </cell>
          <cell r="CI35">
            <v>0</v>
          </cell>
          <cell r="CJ35">
            <v>0</v>
          </cell>
          <cell r="CK35" t="str">
            <v>-</v>
          </cell>
          <cell r="CL35">
            <v>0</v>
          </cell>
          <cell r="CM35">
            <v>0</v>
          </cell>
          <cell r="CN35" t="str">
            <v>F9</v>
          </cell>
          <cell r="CO35" t="str">
            <v>N.R</v>
          </cell>
          <cell r="CP35">
            <v>0</v>
          </cell>
          <cell r="CQ35">
            <v>0</v>
          </cell>
          <cell r="CR35">
            <v>88</v>
          </cell>
          <cell r="CS35" t="str">
            <v>N.R</v>
          </cell>
          <cell r="CT35">
            <v>0</v>
          </cell>
          <cell r="CU35">
            <v>0</v>
          </cell>
          <cell r="CV35">
            <v>65</v>
          </cell>
          <cell r="CW35" t="str">
            <v>N.R</v>
          </cell>
          <cell r="CX35">
            <v>0</v>
          </cell>
          <cell r="CY35">
            <v>0</v>
          </cell>
          <cell r="CZ35">
            <v>90</v>
          </cell>
          <cell r="DA35" t="str">
            <v>N.R</v>
          </cell>
          <cell r="DB35">
            <v>0</v>
          </cell>
          <cell r="DC35">
            <v>0</v>
          </cell>
          <cell r="DD35">
            <v>95</v>
          </cell>
          <cell r="DE35" t="str">
            <v>N.R</v>
          </cell>
          <cell r="DF35">
            <v>0</v>
          </cell>
          <cell r="DG35">
            <v>0</v>
          </cell>
          <cell r="DH35">
            <v>81</v>
          </cell>
          <cell r="DI35" t="str">
            <v>N.R</v>
          </cell>
          <cell r="DJ35">
            <v>0</v>
          </cell>
          <cell r="DK35">
            <v>0</v>
          </cell>
          <cell r="DL35">
            <v>95</v>
          </cell>
          <cell r="DM35" t="str">
            <v>N.R</v>
          </cell>
          <cell r="DN35">
            <v>0</v>
          </cell>
          <cell r="DO35">
            <v>0</v>
          </cell>
          <cell r="DP35">
            <v>82</v>
          </cell>
          <cell r="DQ35" t="str">
            <v>N.R</v>
          </cell>
          <cell r="DR35">
            <v>0</v>
          </cell>
          <cell r="DS35">
            <v>0</v>
          </cell>
          <cell r="DT35">
            <v>24</v>
          </cell>
          <cell r="DU35" t="str">
            <v>N.R</v>
          </cell>
          <cell r="DV35">
            <v>0</v>
          </cell>
          <cell r="DW35">
            <v>0</v>
          </cell>
          <cell r="DX35">
            <v>56</v>
          </cell>
          <cell r="DY35" t="str">
            <v>N.R</v>
          </cell>
          <cell r="DZ35">
            <v>0</v>
          </cell>
          <cell r="EA35">
            <v>0</v>
          </cell>
          <cell r="EB35">
            <v>24</v>
          </cell>
          <cell r="EC35" t="str">
            <v>N.R</v>
          </cell>
          <cell r="ED35">
            <v>0</v>
          </cell>
          <cell r="EE35">
            <v>0</v>
          </cell>
          <cell r="EF35">
            <v>81</v>
          </cell>
          <cell r="EG35" t="str">
            <v>N.R</v>
          </cell>
          <cell r="EH35">
            <v>0</v>
          </cell>
          <cell r="EI35">
            <v>0</v>
          </cell>
          <cell r="EJ35">
            <v>24</v>
          </cell>
          <cell r="EK35" t="str">
            <v>N.R</v>
          </cell>
          <cell r="EL35">
            <v>0</v>
          </cell>
          <cell r="EM35">
            <v>0</v>
          </cell>
          <cell r="EN35">
            <v>67</v>
          </cell>
          <cell r="EO35" t="str">
            <v>N.R</v>
          </cell>
          <cell r="EP35">
            <v>0</v>
          </cell>
          <cell r="EQ35">
            <v>0</v>
          </cell>
          <cell r="ER35">
            <v>76</v>
          </cell>
          <cell r="ES35" t="str">
            <v>N.R</v>
          </cell>
        </row>
        <row r="36">
          <cell r="A36">
            <v>0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 t="str">
            <v/>
          </cell>
          <cell r="G36" t="str">
            <v/>
          </cell>
          <cell r="H36" t="str">
            <v/>
          </cell>
          <cell r="I36">
            <v>0</v>
          </cell>
          <cell r="J36">
            <v>0</v>
          </cell>
          <cell r="K36" t="str">
            <v>-</v>
          </cell>
          <cell r="L36" t="str">
            <v/>
          </cell>
          <cell r="M36" t="str">
            <v/>
          </cell>
          <cell r="N36" t="str">
            <v/>
          </cell>
          <cell r="O36">
            <v>0</v>
          </cell>
          <cell r="P36">
            <v>0</v>
          </cell>
          <cell r="Q36" t="str">
            <v>-</v>
          </cell>
          <cell r="R36" t="str">
            <v/>
          </cell>
          <cell r="S36" t="str">
            <v/>
          </cell>
          <cell r="T36" t="str">
            <v/>
          </cell>
          <cell r="U36">
            <v>0</v>
          </cell>
          <cell r="V36">
            <v>0</v>
          </cell>
          <cell r="W36" t="str">
            <v>-</v>
          </cell>
          <cell r="X36" t="str">
            <v/>
          </cell>
          <cell r="Y36" t="str">
            <v/>
          </cell>
          <cell r="Z36" t="str">
            <v/>
          </cell>
          <cell r="AA36">
            <v>0</v>
          </cell>
          <cell r="AB36">
            <v>0</v>
          </cell>
          <cell r="AC36" t="str">
            <v>-</v>
          </cell>
          <cell r="AD36" t="str">
            <v/>
          </cell>
          <cell r="AE36" t="str">
            <v/>
          </cell>
          <cell r="AF36" t="str">
            <v/>
          </cell>
          <cell r="AG36">
            <v>0</v>
          </cell>
          <cell r="AH36">
            <v>0</v>
          </cell>
          <cell r="AI36" t="str">
            <v>-</v>
          </cell>
          <cell r="AJ36" t="str">
            <v/>
          </cell>
          <cell r="AK36" t="str">
            <v/>
          </cell>
          <cell r="AL36" t="str">
            <v/>
          </cell>
          <cell r="AM36">
            <v>0</v>
          </cell>
          <cell r="AN36">
            <v>0</v>
          </cell>
          <cell r="AO36" t="str">
            <v>-</v>
          </cell>
          <cell r="AP36" t="str">
            <v/>
          </cell>
          <cell r="AQ36" t="str">
            <v/>
          </cell>
          <cell r="AR36" t="str">
            <v/>
          </cell>
          <cell r="AS36">
            <v>0</v>
          </cell>
          <cell r="AT36">
            <v>0</v>
          </cell>
          <cell r="AU36" t="str">
            <v>-</v>
          </cell>
          <cell r="AV36" t="str">
            <v/>
          </cell>
          <cell r="AW36" t="str">
            <v/>
          </cell>
          <cell r="AX36" t="str">
            <v/>
          </cell>
          <cell r="AY36">
            <v>0</v>
          </cell>
          <cell r="AZ36">
            <v>0</v>
          </cell>
          <cell r="BA36" t="str">
            <v>-</v>
          </cell>
          <cell r="BB36" t="str">
            <v/>
          </cell>
          <cell r="BC36" t="str">
            <v/>
          </cell>
          <cell r="BD36" t="str">
            <v/>
          </cell>
          <cell r="BE36">
            <v>0</v>
          </cell>
          <cell r="BF36">
            <v>0</v>
          </cell>
          <cell r="BG36" t="str">
            <v>-</v>
          </cell>
          <cell r="BH36" t="str">
            <v/>
          </cell>
          <cell r="BI36" t="str">
            <v/>
          </cell>
          <cell r="BJ36" t="str">
            <v/>
          </cell>
          <cell r="BK36">
            <v>0</v>
          </cell>
          <cell r="BL36">
            <v>0</v>
          </cell>
          <cell r="BM36" t="str">
            <v>-</v>
          </cell>
          <cell r="BN36" t="str">
            <v/>
          </cell>
          <cell r="BO36" t="str">
            <v/>
          </cell>
          <cell r="BP36" t="str">
            <v/>
          </cell>
          <cell r="BQ36">
            <v>0</v>
          </cell>
          <cell r="BR36">
            <v>0</v>
          </cell>
          <cell r="BS36" t="str">
            <v>-</v>
          </cell>
          <cell r="BT36" t="str">
            <v/>
          </cell>
          <cell r="BU36" t="str">
            <v/>
          </cell>
          <cell r="BV36" t="str">
            <v/>
          </cell>
          <cell r="BW36">
            <v>0</v>
          </cell>
          <cell r="BX36">
            <v>0</v>
          </cell>
          <cell r="BY36" t="str">
            <v>-</v>
          </cell>
          <cell r="BZ36" t="str">
            <v/>
          </cell>
          <cell r="CA36" t="str">
            <v/>
          </cell>
          <cell r="CB36" t="str">
            <v/>
          </cell>
          <cell r="CC36">
            <v>0</v>
          </cell>
          <cell r="CD36">
            <v>0</v>
          </cell>
          <cell r="CE36" t="str">
            <v>-</v>
          </cell>
          <cell r="CF36" t="str">
            <v/>
          </cell>
          <cell r="CG36" t="str">
            <v/>
          </cell>
          <cell r="CH36" t="str">
            <v/>
          </cell>
          <cell r="CI36">
            <v>0</v>
          </cell>
          <cell r="CJ36">
            <v>0</v>
          </cell>
          <cell r="CK36" t="str">
            <v>-</v>
          </cell>
          <cell r="CL36">
            <v>0</v>
          </cell>
          <cell r="CM36">
            <v>0</v>
          </cell>
          <cell r="CN36" t="str">
            <v>F9</v>
          </cell>
          <cell r="CO36" t="str">
            <v>N.R</v>
          </cell>
          <cell r="CP36">
            <v>0</v>
          </cell>
          <cell r="CQ36">
            <v>0</v>
          </cell>
          <cell r="CR36">
            <v>88</v>
          </cell>
          <cell r="CS36" t="str">
            <v>N.R</v>
          </cell>
          <cell r="CT36">
            <v>0</v>
          </cell>
          <cell r="CU36">
            <v>0</v>
          </cell>
          <cell r="CV36">
            <v>65</v>
          </cell>
          <cell r="CW36" t="str">
            <v>N.R</v>
          </cell>
          <cell r="CX36">
            <v>0</v>
          </cell>
          <cell r="CY36">
            <v>0</v>
          </cell>
          <cell r="CZ36">
            <v>90</v>
          </cell>
          <cell r="DA36" t="str">
            <v>N.R</v>
          </cell>
          <cell r="DB36">
            <v>0</v>
          </cell>
          <cell r="DC36">
            <v>0</v>
          </cell>
          <cell r="DD36">
            <v>95</v>
          </cell>
          <cell r="DE36" t="str">
            <v>N.R</v>
          </cell>
          <cell r="DF36">
            <v>0</v>
          </cell>
          <cell r="DG36">
            <v>0</v>
          </cell>
          <cell r="DH36">
            <v>81</v>
          </cell>
          <cell r="DI36" t="str">
            <v>N.R</v>
          </cell>
          <cell r="DJ36">
            <v>0</v>
          </cell>
          <cell r="DK36">
            <v>0</v>
          </cell>
          <cell r="DL36">
            <v>95</v>
          </cell>
          <cell r="DM36" t="str">
            <v>N.R</v>
          </cell>
          <cell r="DN36">
            <v>0</v>
          </cell>
          <cell r="DO36">
            <v>0</v>
          </cell>
          <cell r="DP36">
            <v>82</v>
          </cell>
          <cell r="DQ36" t="str">
            <v>N.R</v>
          </cell>
          <cell r="DR36">
            <v>0</v>
          </cell>
          <cell r="DS36">
            <v>0</v>
          </cell>
          <cell r="DT36">
            <v>25</v>
          </cell>
          <cell r="DU36" t="str">
            <v>N.R</v>
          </cell>
          <cell r="DV36">
            <v>0</v>
          </cell>
          <cell r="DW36">
            <v>0</v>
          </cell>
          <cell r="DX36">
            <v>56</v>
          </cell>
          <cell r="DY36" t="str">
            <v>N.R</v>
          </cell>
          <cell r="DZ36">
            <v>0</v>
          </cell>
          <cell r="EA36">
            <v>0</v>
          </cell>
          <cell r="EB36">
            <v>25</v>
          </cell>
          <cell r="EC36" t="str">
            <v>N.R</v>
          </cell>
          <cell r="ED36">
            <v>0</v>
          </cell>
          <cell r="EE36">
            <v>0</v>
          </cell>
          <cell r="EF36">
            <v>81</v>
          </cell>
          <cell r="EG36" t="str">
            <v>N.R</v>
          </cell>
          <cell r="EH36">
            <v>0</v>
          </cell>
          <cell r="EI36">
            <v>0</v>
          </cell>
          <cell r="EJ36">
            <v>25</v>
          </cell>
          <cell r="EK36" t="str">
            <v>N.R</v>
          </cell>
          <cell r="EL36">
            <v>0</v>
          </cell>
          <cell r="EM36">
            <v>0</v>
          </cell>
          <cell r="EN36">
            <v>67</v>
          </cell>
          <cell r="EO36" t="str">
            <v>N.R</v>
          </cell>
          <cell r="EP36">
            <v>0</v>
          </cell>
          <cell r="EQ36">
            <v>0</v>
          </cell>
          <cell r="ER36">
            <v>76</v>
          </cell>
          <cell r="ES36" t="str">
            <v>N.R</v>
          </cell>
        </row>
        <row r="37">
          <cell r="A37">
            <v>0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 t="str">
            <v/>
          </cell>
          <cell r="G37" t="str">
            <v/>
          </cell>
          <cell r="H37" t="str">
            <v/>
          </cell>
          <cell r="I37">
            <v>0</v>
          </cell>
          <cell r="J37">
            <v>0</v>
          </cell>
          <cell r="K37" t="str">
            <v>-</v>
          </cell>
          <cell r="L37" t="str">
            <v/>
          </cell>
          <cell r="M37" t="str">
            <v/>
          </cell>
          <cell r="N37" t="str">
            <v/>
          </cell>
          <cell r="O37">
            <v>0</v>
          </cell>
          <cell r="P37">
            <v>0</v>
          </cell>
          <cell r="Q37" t="str">
            <v>-</v>
          </cell>
          <cell r="R37" t="str">
            <v/>
          </cell>
          <cell r="S37" t="str">
            <v/>
          </cell>
          <cell r="T37" t="str">
            <v/>
          </cell>
          <cell r="U37">
            <v>0</v>
          </cell>
          <cell r="V37">
            <v>0</v>
          </cell>
          <cell r="W37" t="str">
            <v>-</v>
          </cell>
          <cell r="X37" t="str">
            <v/>
          </cell>
          <cell r="Y37" t="str">
            <v/>
          </cell>
          <cell r="Z37" t="str">
            <v/>
          </cell>
          <cell r="AA37">
            <v>0</v>
          </cell>
          <cell r="AB37">
            <v>0</v>
          </cell>
          <cell r="AC37" t="str">
            <v>-</v>
          </cell>
          <cell r="AD37" t="str">
            <v/>
          </cell>
          <cell r="AE37" t="str">
            <v/>
          </cell>
          <cell r="AF37" t="str">
            <v/>
          </cell>
          <cell r="AG37">
            <v>0</v>
          </cell>
          <cell r="AH37">
            <v>0</v>
          </cell>
          <cell r="AI37" t="str">
            <v>-</v>
          </cell>
          <cell r="AJ37" t="str">
            <v/>
          </cell>
          <cell r="AK37" t="str">
            <v/>
          </cell>
          <cell r="AL37" t="str">
            <v/>
          </cell>
          <cell r="AM37">
            <v>0</v>
          </cell>
          <cell r="AN37">
            <v>0</v>
          </cell>
          <cell r="AO37" t="str">
            <v>-</v>
          </cell>
          <cell r="AP37" t="str">
            <v/>
          </cell>
          <cell r="AQ37" t="str">
            <v/>
          </cell>
          <cell r="AR37" t="str">
            <v/>
          </cell>
          <cell r="AS37">
            <v>0</v>
          </cell>
          <cell r="AT37">
            <v>0</v>
          </cell>
          <cell r="AU37" t="str">
            <v>-</v>
          </cell>
          <cell r="AV37" t="str">
            <v/>
          </cell>
          <cell r="AW37" t="str">
            <v/>
          </cell>
          <cell r="AX37" t="str">
            <v/>
          </cell>
          <cell r="AY37">
            <v>0</v>
          </cell>
          <cell r="AZ37">
            <v>0</v>
          </cell>
          <cell r="BA37" t="str">
            <v>-</v>
          </cell>
          <cell r="BB37" t="str">
            <v/>
          </cell>
          <cell r="BC37" t="str">
            <v/>
          </cell>
          <cell r="BD37" t="str">
            <v/>
          </cell>
          <cell r="BE37">
            <v>0</v>
          </cell>
          <cell r="BF37">
            <v>0</v>
          </cell>
          <cell r="BG37" t="str">
            <v>-</v>
          </cell>
          <cell r="BH37" t="str">
            <v/>
          </cell>
          <cell r="BI37" t="str">
            <v/>
          </cell>
          <cell r="BJ37" t="str">
            <v/>
          </cell>
          <cell r="BK37">
            <v>0</v>
          </cell>
          <cell r="BL37">
            <v>0</v>
          </cell>
          <cell r="BM37" t="str">
            <v>-</v>
          </cell>
          <cell r="BN37" t="str">
            <v/>
          </cell>
          <cell r="BO37" t="str">
            <v/>
          </cell>
          <cell r="BP37" t="str">
            <v/>
          </cell>
          <cell r="BQ37">
            <v>0</v>
          </cell>
          <cell r="BR37">
            <v>0</v>
          </cell>
          <cell r="BS37" t="str">
            <v>-</v>
          </cell>
          <cell r="BT37" t="str">
            <v/>
          </cell>
          <cell r="BU37" t="str">
            <v/>
          </cell>
          <cell r="BV37" t="str">
            <v/>
          </cell>
          <cell r="BW37">
            <v>0</v>
          </cell>
          <cell r="BX37">
            <v>0</v>
          </cell>
          <cell r="BY37" t="str">
            <v>-</v>
          </cell>
          <cell r="BZ37" t="str">
            <v/>
          </cell>
          <cell r="CA37" t="str">
            <v/>
          </cell>
          <cell r="CB37" t="str">
            <v/>
          </cell>
          <cell r="CC37">
            <v>0</v>
          </cell>
          <cell r="CD37">
            <v>0</v>
          </cell>
          <cell r="CE37" t="str">
            <v>-</v>
          </cell>
          <cell r="CF37" t="str">
            <v/>
          </cell>
          <cell r="CG37" t="str">
            <v/>
          </cell>
          <cell r="CH37" t="str">
            <v/>
          </cell>
          <cell r="CI37">
            <v>0</v>
          </cell>
          <cell r="CJ37">
            <v>0</v>
          </cell>
          <cell r="CK37" t="str">
            <v>-</v>
          </cell>
          <cell r="CL37">
            <v>0</v>
          </cell>
          <cell r="CM37">
            <v>0</v>
          </cell>
          <cell r="CN37" t="str">
            <v>F9</v>
          </cell>
          <cell r="CO37" t="str">
            <v>N.R</v>
          </cell>
          <cell r="CP37">
            <v>0</v>
          </cell>
          <cell r="CQ37">
            <v>0</v>
          </cell>
          <cell r="CR37">
            <v>88</v>
          </cell>
          <cell r="CS37" t="str">
            <v>N.R</v>
          </cell>
          <cell r="CT37">
            <v>0</v>
          </cell>
          <cell r="CU37">
            <v>0</v>
          </cell>
          <cell r="CV37">
            <v>65</v>
          </cell>
          <cell r="CW37" t="str">
            <v>N.R</v>
          </cell>
          <cell r="CX37">
            <v>0</v>
          </cell>
          <cell r="CY37">
            <v>0</v>
          </cell>
          <cell r="CZ37">
            <v>90</v>
          </cell>
          <cell r="DA37" t="str">
            <v>N.R</v>
          </cell>
          <cell r="DB37">
            <v>0</v>
          </cell>
          <cell r="DC37">
            <v>0</v>
          </cell>
          <cell r="DD37">
            <v>95</v>
          </cell>
          <cell r="DE37" t="str">
            <v>N.R</v>
          </cell>
          <cell r="DF37">
            <v>0</v>
          </cell>
          <cell r="DG37">
            <v>0</v>
          </cell>
          <cell r="DH37">
            <v>81</v>
          </cell>
          <cell r="DI37" t="str">
            <v>N.R</v>
          </cell>
          <cell r="DJ37">
            <v>0</v>
          </cell>
          <cell r="DK37">
            <v>0</v>
          </cell>
          <cell r="DL37">
            <v>95</v>
          </cell>
          <cell r="DM37" t="str">
            <v>N.R</v>
          </cell>
          <cell r="DN37">
            <v>0</v>
          </cell>
          <cell r="DO37">
            <v>0</v>
          </cell>
          <cell r="DP37">
            <v>82</v>
          </cell>
          <cell r="DQ37" t="str">
            <v>N.R</v>
          </cell>
          <cell r="DR37">
            <v>0</v>
          </cell>
          <cell r="DS37">
            <v>0</v>
          </cell>
          <cell r="DT37">
            <v>26</v>
          </cell>
          <cell r="DU37" t="str">
            <v>N.R</v>
          </cell>
          <cell r="DV37">
            <v>0</v>
          </cell>
          <cell r="DW37">
            <v>0</v>
          </cell>
          <cell r="DX37">
            <v>56</v>
          </cell>
          <cell r="DY37" t="str">
            <v>N.R</v>
          </cell>
          <cell r="DZ37">
            <v>0</v>
          </cell>
          <cell r="EA37">
            <v>0</v>
          </cell>
          <cell r="EB37">
            <v>26</v>
          </cell>
          <cell r="EC37" t="str">
            <v>N.R</v>
          </cell>
          <cell r="ED37">
            <v>0</v>
          </cell>
          <cell r="EE37">
            <v>0</v>
          </cell>
          <cell r="EF37">
            <v>81</v>
          </cell>
          <cell r="EG37" t="str">
            <v>N.R</v>
          </cell>
          <cell r="EH37">
            <v>0</v>
          </cell>
          <cell r="EI37">
            <v>0</v>
          </cell>
          <cell r="EJ37">
            <v>26</v>
          </cell>
          <cell r="EK37" t="str">
            <v>N.R</v>
          </cell>
          <cell r="EL37">
            <v>0</v>
          </cell>
          <cell r="EM37">
            <v>0</v>
          </cell>
          <cell r="EN37">
            <v>67</v>
          </cell>
          <cell r="EO37" t="str">
            <v>N.R</v>
          </cell>
          <cell r="EP37">
            <v>0</v>
          </cell>
          <cell r="EQ37">
            <v>0</v>
          </cell>
          <cell r="ER37">
            <v>76</v>
          </cell>
          <cell r="ES37" t="str">
            <v>N.R</v>
          </cell>
        </row>
        <row r="38">
          <cell r="A38">
            <v>0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 t="str">
            <v/>
          </cell>
          <cell r="G38" t="str">
            <v/>
          </cell>
          <cell r="H38" t="str">
            <v/>
          </cell>
          <cell r="I38">
            <v>0</v>
          </cell>
          <cell r="J38">
            <v>0</v>
          </cell>
          <cell r="K38" t="str">
            <v>-</v>
          </cell>
          <cell r="L38" t="str">
            <v/>
          </cell>
          <cell r="M38" t="str">
            <v/>
          </cell>
          <cell r="N38" t="str">
            <v/>
          </cell>
          <cell r="O38">
            <v>0</v>
          </cell>
          <cell r="P38">
            <v>0</v>
          </cell>
          <cell r="Q38" t="str">
            <v>-</v>
          </cell>
          <cell r="R38" t="str">
            <v/>
          </cell>
          <cell r="S38" t="str">
            <v/>
          </cell>
          <cell r="T38" t="str">
            <v/>
          </cell>
          <cell r="U38">
            <v>0</v>
          </cell>
          <cell r="V38">
            <v>0</v>
          </cell>
          <cell r="W38" t="str">
            <v>-</v>
          </cell>
          <cell r="X38" t="str">
            <v/>
          </cell>
          <cell r="Y38" t="str">
            <v/>
          </cell>
          <cell r="Z38" t="str">
            <v/>
          </cell>
          <cell r="AA38">
            <v>0</v>
          </cell>
          <cell r="AB38">
            <v>0</v>
          </cell>
          <cell r="AC38" t="str">
            <v>-</v>
          </cell>
          <cell r="AD38" t="str">
            <v/>
          </cell>
          <cell r="AE38" t="str">
            <v/>
          </cell>
          <cell r="AF38" t="str">
            <v/>
          </cell>
          <cell r="AG38">
            <v>0</v>
          </cell>
          <cell r="AH38">
            <v>0</v>
          </cell>
          <cell r="AI38" t="str">
            <v>-</v>
          </cell>
          <cell r="AJ38" t="str">
            <v/>
          </cell>
          <cell r="AK38" t="str">
            <v/>
          </cell>
          <cell r="AL38" t="str">
            <v/>
          </cell>
          <cell r="AM38">
            <v>0</v>
          </cell>
          <cell r="AN38">
            <v>0</v>
          </cell>
          <cell r="AO38" t="str">
            <v>-</v>
          </cell>
          <cell r="AP38" t="str">
            <v/>
          </cell>
          <cell r="AQ38" t="str">
            <v/>
          </cell>
          <cell r="AR38" t="str">
            <v/>
          </cell>
          <cell r="AS38">
            <v>0</v>
          </cell>
          <cell r="AT38">
            <v>0</v>
          </cell>
          <cell r="AU38" t="str">
            <v>-</v>
          </cell>
          <cell r="AV38" t="str">
            <v/>
          </cell>
          <cell r="AW38" t="str">
            <v/>
          </cell>
          <cell r="AX38" t="str">
            <v/>
          </cell>
          <cell r="AY38">
            <v>0</v>
          </cell>
          <cell r="AZ38">
            <v>0</v>
          </cell>
          <cell r="BA38" t="str">
            <v>-</v>
          </cell>
          <cell r="BB38" t="str">
            <v/>
          </cell>
          <cell r="BC38" t="str">
            <v/>
          </cell>
          <cell r="BD38" t="str">
            <v/>
          </cell>
          <cell r="BE38">
            <v>0</v>
          </cell>
          <cell r="BF38">
            <v>0</v>
          </cell>
          <cell r="BG38" t="str">
            <v>-</v>
          </cell>
          <cell r="BH38" t="str">
            <v/>
          </cell>
          <cell r="BI38" t="str">
            <v/>
          </cell>
          <cell r="BJ38" t="str">
            <v/>
          </cell>
          <cell r="BK38">
            <v>0</v>
          </cell>
          <cell r="BL38">
            <v>0</v>
          </cell>
          <cell r="BM38" t="str">
            <v>-</v>
          </cell>
          <cell r="BN38" t="str">
            <v/>
          </cell>
          <cell r="BO38" t="str">
            <v/>
          </cell>
          <cell r="BP38" t="str">
            <v/>
          </cell>
          <cell r="BQ38">
            <v>0</v>
          </cell>
          <cell r="BR38">
            <v>0</v>
          </cell>
          <cell r="BS38" t="str">
            <v>-</v>
          </cell>
          <cell r="BT38" t="str">
            <v/>
          </cell>
          <cell r="BU38" t="str">
            <v/>
          </cell>
          <cell r="BV38" t="str">
            <v/>
          </cell>
          <cell r="BW38">
            <v>0</v>
          </cell>
          <cell r="BX38">
            <v>0</v>
          </cell>
          <cell r="BY38" t="str">
            <v>-</v>
          </cell>
          <cell r="BZ38" t="str">
            <v/>
          </cell>
          <cell r="CA38" t="str">
            <v/>
          </cell>
          <cell r="CB38" t="str">
            <v/>
          </cell>
          <cell r="CC38">
            <v>0</v>
          </cell>
          <cell r="CD38">
            <v>0</v>
          </cell>
          <cell r="CE38" t="str">
            <v>-</v>
          </cell>
          <cell r="CF38" t="str">
            <v/>
          </cell>
          <cell r="CG38" t="str">
            <v/>
          </cell>
          <cell r="CH38" t="str">
            <v/>
          </cell>
          <cell r="CI38">
            <v>0</v>
          </cell>
          <cell r="CJ38">
            <v>0</v>
          </cell>
          <cell r="CK38" t="str">
            <v>-</v>
          </cell>
          <cell r="CL38">
            <v>0</v>
          </cell>
          <cell r="CM38">
            <v>0</v>
          </cell>
          <cell r="CN38" t="str">
            <v>F9</v>
          </cell>
          <cell r="CO38" t="str">
            <v>N.R</v>
          </cell>
          <cell r="CP38">
            <v>0</v>
          </cell>
          <cell r="CQ38">
            <v>0</v>
          </cell>
          <cell r="CR38">
            <v>88</v>
          </cell>
          <cell r="CS38" t="str">
            <v>N.R</v>
          </cell>
          <cell r="CT38">
            <v>0</v>
          </cell>
          <cell r="CU38">
            <v>0</v>
          </cell>
          <cell r="CV38">
            <v>65</v>
          </cell>
          <cell r="CW38" t="str">
            <v>N.R</v>
          </cell>
          <cell r="CX38">
            <v>0</v>
          </cell>
          <cell r="CY38">
            <v>0</v>
          </cell>
          <cell r="CZ38">
            <v>90</v>
          </cell>
          <cell r="DA38" t="str">
            <v>N.R</v>
          </cell>
          <cell r="DB38">
            <v>0</v>
          </cell>
          <cell r="DC38">
            <v>0</v>
          </cell>
          <cell r="DD38">
            <v>95</v>
          </cell>
          <cell r="DE38" t="str">
            <v>N.R</v>
          </cell>
          <cell r="DF38">
            <v>0</v>
          </cell>
          <cell r="DG38">
            <v>0</v>
          </cell>
          <cell r="DH38">
            <v>81</v>
          </cell>
          <cell r="DI38" t="str">
            <v>N.R</v>
          </cell>
          <cell r="DJ38">
            <v>0</v>
          </cell>
          <cell r="DK38">
            <v>0</v>
          </cell>
          <cell r="DL38">
            <v>95</v>
          </cell>
          <cell r="DM38" t="str">
            <v>N.R</v>
          </cell>
          <cell r="DN38">
            <v>0</v>
          </cell>
          <cell r="DO38">
            <v>0</v>
          </cell>
          <cell r="DP38">
            <v>82</v>
          </cell>
          <cell r="DQ38" t="str">
            <v>N.R</v>
          </cell>
          <cell r="DR38">
            <v>0</v>
          </cell>
          <cell r="DS38">
            <v>0</v>
          </cell>
          <cell r="DT38">
            <v>27</v>
          </cell>
          <cell r="DU38" t="str">
            <v>N.R</v>
          </cell>
          <cell r="DV38">
            <v>0</v>
          </cell>
          <cell r="DW38">
            <v>0</v>
          </cell>
          <cell r="DX38">
            <v>56</v>
          </cell>
          <cell r="DY38" t="str">
            <v>N.R</v>
          </cell>
          <cell r="DZ38">
            <v>0</v>
          </cell>
          <cell r="EA38">
            <v>0</v>
          </cell>
          <cell r="EB38">
            <v>27</v>
          </cell>
          <cell r="EC38" t="str">
            <v>N.R</v>
          </cell>
          <cell r="ED38">
            <v>0</v>
          </cell>
          <cell r="EE38">
            <v>0</v>
          </cell>
          <cell r="EF38">
            <v>81</v>
          </cell>
          <cell r="EG38" t="str">
            <v>N.R</v>
          </cell>
          <cell r="EH38">
            <v>0</v>
          </cell>
          <cell r="EI38">
            <v>0</v>
          </cell>
          <cell r="EJ38">
            <v>27</v>
          </cell>
          <cell r="EK38" t="str">
            <v>N.R</v>
          </cell>
          <cell r="EL38">
            <v>0</v>
          </cell>
          <cell r="EM38">
            <v>0</v>
          </cell>
          <cell r="EN38">
            <v>67</v>
          </cell>
          <cell r="EO38" t="str">
            <v>N.R</v>
          </cell>
          <cell r="EP38">
            <v>0</v>
          </cell>
          <cell r="EQ38">
            <v>0</v>
          </cell>
          <cell r="ER38">
            <v>76</v>
          </cell>
          <cell r="ES38" t="str">
            <v>N.R</v>
          </cell>
        </row>
        <row r="39">
          <cell r="A39">
            <v>0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 t="str">
            <v/>
          </cell>
          <cell r="G39" t="str">
            <v/>
          </cell>
          <cell r="H39" t="str">
            <v/>
          </cell>
          <cell r="I39">
            <v>0</v>
          </cell>
          <cell r="J39">
            <v>0</v>
          </cell>
          <cell r="K39" t="str">
            <v>-</v>
          </cell>
          <cell r="L39" t="str">
            <v/>
          </cell>
          <cell r="M39" t="str">
            <v/>
          </cell>
          <cell r="N39" t="str">
            <v/>
          </cell>
          <cell r="O39">
            <v>0</v>
          </cell>
          <cell r="P39">
            <v>0</v>
          </cell>
          <cell r="Q39" t="str">
            <v>-</v>
          </cell>
          <cell r="R39" t="str">
            <v/>
          </cell>
          <cell r="S39" t="str">
            <v/>
          </cell>
          <cell r="T39" t="str">
            <v/>
          </cell>
          <cell r="U39">
            <v>0</v>
          </cell>
          <cell r="V39">
            <v>0</v>
          </cell>
          <cell r="W39" t="str">
            <v>-</v>
          </cell>
          <cell r="X39" t="str">
            <v/>
          </cell>
          <cell r="Y39" t="str">
            <v/>
          </cell>
          <cell r="Z39" t="str">
            <v/>
          </cell>
          <cell r="AA39">
            <v>0</v>
          </cell>
          <cell r="AB39">
            <v>0</v>
          </cell>
          <cell r="AC39" t="str">
            <v>-</v>
          </cell>
          <cell r="AD39" t="str">
            <v/>
          </cell>
          <cell r="AE39" t="str">
            <v/>
          </cell>
          <cell r="AF39" t="str">
            <v/>
          </cell>
          <cell r="AG39">
            <v>0</v>
          </cell>
          <cell r="AH39">
            <v>0</v>
          </cell>
          <cell r="AI39" t="str">
            <v>-</v>
          </cell>
          <cell r="AJ39" t="str">
            <v/>
          </cell>
          <cell r="AK39" t="str">
            <v/>
          </cell>
          <cell r="AL39" t="str">
            <v/>
          </cell>
          <cell r="AM39">
            <v>0</v>
          </cell>
          <cell r="AN39">
            <v>0</v>
          </cell>
          <cell r="AO39" t="str">
            <v>-</v>
          </cell>
          <cell r="AP39" t="str">
            <v/>
          </cell>
          <cell r="AQ39" t="str">
            <v/>
          </cell>
          <cell r="AR39" t="str">
            <v/>
          </cell>
          <cell r="AS39">
            <v>0</v>
          </cell>
          <cell r="AT39">
            <v>0</v>
          </cell>
          <cell r="AU39" t="str">
            <v>-</v>
          </cell>
          <cell r="AV39" t="str">
            <v/>
          </cell>
          <cell r="AW39" t="str">
            <v/>
          </cell>
          <cell r="AX39" t="str">
            <v/>
          </cell>
          <cell r="AY39">
            <v>0</v>
          </cell>
          <cell r="AZ39">
            <v>0</v>
          </cell>
          <cell r="BA39" t="str">
            <v>-</v>
          </cell>
          <cell r="BB39" t="str">
            <v/>
          </cell>
          <cell r="BC39" t="str">
            <v/>
          </cell>
          <cell r="BD39" t="str">
            <v/>
          </cell>
          <cell r="BE39">
            <v>0</v>
          </cell>
          <cell r="BF39">
            <v>0</v>
          </cell>
          <cell r="BG39" t="str">
            <v>-</v>
          </cell>
          <cell r="BH39" t="str">
            <v/>
          </cell>
          <cell r="BI39" t="str">
            <v/>
          </cell>
          <cell r="BJ39" t="str">
            <v/>
          </cell>
          <cell r="BK39">
            <v>0</v>
          </cell>
          <cell r="BL39">
            <v>0</v>
          </cell>
          <cell r="BM39" t="str">
            <v>-</v>
          </cell>
          <cell r="BN39" t="str">
            <v/>
          </cell>
          <cell r="BO39" t="str">
            <v/>
          </cell>
          <cell r="BP39" t="str">
            <v/>
          </cell>
          <cell r="BQ39">
            <v>0</v>
          </cell>
          <cell r="BR39">
            <v>0</v>
          </cell>
          <cell r="BS39" t="str">
            <v>-</v>
          </cell>
          <cell r="BT39" t="str">
            <v/>
          </cell>
          <cell r="BU39" t="str">
            <v/>
          </cell>
          <cell r="BV39" t="str">
            <v/>
          </cell>
          <cell r="BW39">
            <v>0</v>
          </cell>
          <cell r="BX39">
            <v>0</v>
          </cell>
          <cell r="BY39" t="str">
            <v>-</v>
          </cell>
          <cell r="BZ39" t="str">
            <v/>
          </cell>
          <cell r="CA39" t="str">
            <v/>
          </cell>
          <cell r="CB39" t="str">
            <v/>
          </cell>
          <cell r="CC39">
            <v>0</v>
          </cell>
          <cell r="CD39">
            <v>0</v>
          </cell>
          <cell r="CE39" t="str">
            <v>-</v>
          </cell>
          <cell r="CF39" t="str">
            <v/>
          </cell>
          <cell r="CG39" t="str">
            <v/>
          </cell>
          <cell r="CH39" t="str">
            <v/>
          </cell>
          <cell r="CI39">
            <v>0</v>
          </cell>
          <cell r="CJ39">
            <v>0</v>
          </cell>
          <cell r="CK39" t="str">
            <v>-</v>
          </cell>
          <cell r="CL39">
            <v>0</v>
          </cell>
          <cell r="CM39">
            <v>0</v>
          </cell>
          <cell r="CN39" t="str">
            <v>F9</v>
          </cell>
          <cell r="CO39" t="str">
            <v>N.R</v>
          </cell>
          <cell r="CP39">
            <v>0</v>
          </cell>
          <cell r="CQ39">
            <v>0</v>
          </cell>
          <cell r="CR39">
            <v>88</v>
          </cell>
          <cell r="CS39" t="str">
            <v>N.R</v>
          </cell>
          <cell r="CT39">
            <v>0</v>
          </cell>
          <cell r="CU39">
            <v>0</v>
          </cell>
          <cell r="CV39">
            <v>65</v>
          </cell>
          <cell r="CW39" t="str">
            <v>N.R</v>
          </cell>
          <cell r="CX39">
            <v>0</v>
          </cell>
          <cell r="CY39">
            <v>0</v>
          </cell>
          <cell r="CZ39">
            <v>90</v>
          </cell>
          <cell r="DA39" t="str">
            <v>N.R</v>
          </cell>
          <cell r="DB39">
            <v>0</v>
          </cell>
          <cell r="DC39">
            <v>0</v>
          </cell>
          <cell r="DD39">
            <v>95</v>
          </cell>
          <cell r="DE39" t="str">
            <v>N.R</v>
          </cell>
          <cell r="DF39">
            <v>0</v>
          </cell>
          <cell r="DG39">
            <v>0</v>
          </cell>
          <cell r="DH39">
            <v>81</v>
          </cell>
          <cell r="DI39" t="str">
            <v>N.R</v>
          </cell>
          <cell r="DJ39">
            <v>0</v>
          </cell>
          <cell r="DK39">
            <v>0</v>
          </cell>
          <cell r="DL39">
            <v>95</v>
          </cell>
          <cell r="DM39" t="str">
            <v>N.R</v>
          </cell>
          <cell r="DN39">
            <v>0</v>
          </cell>
          <cell r="DO39">
            <v>0</v>
          </cell>
          <cell r="DP39">
            <v>82</v>
          </cell>
          <cell r="DQ39" t="str">
            <v>N.R</v>
          </cell>
          <cell r="DR39">
            <v>0</v>
          </cell>
          <cell r="DS39">
            <v>0</v>
          </cell>
          <cell r="DT39">
            <v>28</v>
          </cell>
          <cell r="DU39" t="str">
            <v>N.R</v>
          </cell>
          <cell r="DV39">
            <v>0</v>
          </cell>
          <cell r="DW39">
            <v>0</v>
          </cell>
          <cell r="DX39">
            <v>56</v>
          </cell>
          <cell r="DY39" t="str">
            <v>N.R</v>
          </cell>
          <cell r="DZ39">
            <v>0</v>
          </cell>
          <cell r="EA39">
            <v>0</v>
          </cell>
          <cell r="EB39">
            <v>28</v>
          </cell>
          <cell r="EC39" t="str">
            <v>N.R</v>
          </cell>
          <cell r="ED39">
            <v>0</v>
          </cell>
          <cell r="EE39">
            <v>0</v>
          </cell>
          <cell r="EF39">
            <v>81</v>
          </cell>
          <cell r="EG39" t="str">
            <v>N.R</v>
          </cell>
          <cell r="EH39">
            <v>0</v>
          </cell>
          <cell r="EI39">
            <v>0</v>
          </cell>
          <cell r="EJ39">
            <v>28</v>
          </cell>
          <cell r="EK39" t="str">
            <v>N.R</v>
          </cell>
          <cell r="EL39">
            <v>0</v>
          </cell>
          <cell r="EM39">
            <v>0</v>
          </cell>
          <cell r="EN39">
            <v>67</v>
          </cell>
          <cell r="EO39" t="str">
            <v>N.R</v>
          </cell>
          <cell r="EP39">
            <v>0</v>
          </cell>
          <cell r="EQ39">
            <v>0</v>
          </cell>
          <cell r="ER39">
            <v>76</v>
          </cell>
          <cell r="ES39" t="str">
            <v>N.R</v>
          </cell>
        </row>
        <row r="40">
          <cell r="A40">
            <v>0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 t="str">
            <v/>
          </cell>
          <cell r="G40" t="str">
            <v/>
          </cell>
          <cell r="H40" t="str">
            <v/>
          </cell>
          <cell r="I40">
            <v>0</v>
          </cell>
          <cell r="J40">
            <v>0</v>
          </cell>
          <cell r="K40" t="str">
            <v>-</v>
          </cell>
          <cell r="L40" t="str">
            <v/>
          </cell>
          <cell r="M40" t="str">
            <v/>
          </cell>
          <cell r="N40" t="str">
            <v/>
          </cell>
          <cell r="O40">
            <v>0</v>
          </cell>
          <cell r="P40">
            <v>0</v>
          </cell>
          <cell r="Q40" t="str">
            <v>-</v>
          </cell>
          <cell r="R40" t="str">
            <v/>
          </cell>
          <cell r="S40" t="str">
            <v/>
          </cell>
          <cell r="T40" t="str">
            <v/>
          </cell>
          <cell r="U40">
            <v>0</v>
          </cell>
          <cell r="V40">
            <v>0</v>
          </cell>
          <cell r="W40" t="str">
            <v>-</v>
          </cell>
          <cell r="X40" t="str">
            <v/>
          </cell>
          <cell r="Y40" t="str">
            <v/>
          </cell>
          <cell r="Z40" t="str">
            <v/>
          </cell>
          <cell r="AA40">
            <v>0</v>
          </cell>
          <cell r="AB40">
            <v>0</v>
          </cell>
          <cell r="AC40" t="str">
            <v>-</v>
          </cell>
          <cell r="AD40" t="str">
            <v/>
          </cell>
          <cell r="AE40" t="str">
            <v/>
          </cell>
          <cell r="AF40" t="str">
            <v/>
          </cell>
          <cell r="AG40">
            <v>0</v>
          </cell>
          <cell r="AH40">
            <v>0</v>
          </cell>
          <cell r="AI40" t="str">
            <v>-</v>
          </cell>
          <cell r="AJ40" t="str">
            <v/>
          </cell>
          <cell r="AK40" t="str">
            <v/>
          </cell>
          <cell r="AL40" t="str">
            <v/>
          </cell>
          <cell r="AM40">
            <v>0</v>
          </cell>
          <cell r="AN40">
            <v>0</v>
          </cell>
          <cell r="AO40" t="str">
            <v>-</v>
          </cell>
          <cell r="AP40" t="str">
            <v/>
          </cell>
          <cell r="AQ40" t="str">
            <v/>
          </cell>
          <cell r="AR40" t="str">
            <v/>
          </cell>
          <cell r="AS40">
            <v>0</v>
          </cell>
          <cell r="AT40">
            <v>0</v>
          </cell>
          <cell r="AU40" t="str">
            <v>-</v>
          </cell>
          <cell r="AV40" t="str">
            <v/>
          </cell>
          <cell r="AW40" t="str">
            <v/>
          </cell>
          <cell r="AX40" t="str">
            <v/>
          </cell>
          <cell r="AY40">
            <v>0</v>
          </cell>
          <cell r="AZ40">
            <v>0</v>
          </cell>
          <cell r="BA40" t="str">
            <v>-</v>
          </cell>
          <cell r="BB40" t="str">
            <v/>
          </cell>
          <cell r="BC40" t="str">
            <v/>
          </cell>
          <cell r="BD40" t="str">
            <v/>
          </cell>
          <cell r="BE40">
            <v>0</v>
          </cell>
          <cell r="BF40">
            <v>0</v>
          </cell>
          <cell r="BG40" t="str">
            <v>-</v>
          </cell>
          <cell r="BH40" t="str">
            <v/>
          </cell>
          <cell r="BI40" t="str">
            <v/>
          </cell>
          <cell r="BJ40" t="str">
            <v/>
          </cell>
          <cell r="BK40">
            <v>0</v>
          </cell>
          <cell r="BL40">
            <v>0</v>
          </cell>
          <cell r="BM40" t="str">
            <v>-</v>
          </cell>
          <cell r="BN40" t="str">
            <v/>
          </cell>
          <cell r="BO40" t="str">
            <v/>
          </cell>
          <cell r="BP40" t="str">
            <v/>
          </cell>
          <cell r="BQ40">
            <v>0</v>
          </cell>
          <cell r="BR40">
            <v>0</v>
          </cell>
          <cell r="BS40" t="str">
            <v>-</v>
          </cell>
          <cell r="BT40" t="str">
            <v/>
          </cell>
          <cell r="BU40" t="str">
            <v/>
          </cell>
          <cell r="BV40" t="str">
            <v/>
          </cell>
          <cell r="BW40">
            <v>0</v>
          </cell>
          <cell r="BX40">
            <v>0</v>
          </cell>
          <cell r="BY40" t="str">
            <v>-</v>
          </cell>
          <cell r="BZ40" t="str">
            <v/>
          </cell>
          <cell r="CA40" t="str">
            <v/>
          </cell>
          <cell r="CB40" t="str">
            <v/>
          </cell>
          <cell r="CC40">
            <v>0</v>
          </cell>
          <cell r="CD40">
            <v>0</v>
          </cell>
          <cell r="CE40" t="str">
            <v>-</v>
          </cell>
          <cell r="CF40" t="str">
            <v/>
          </cell>
          <cell r="CG40" t="str">
            <v/>
          </cell>
          <cell r="CH40" t="str">
            <v/>
          </cell>
          <cell r="CI40">
            <v>0</v>
          </cell>
          <cell r="CJ40">
            <v>0</v>
          </cell>
          <cell r="CK40" t="str">
            <v>-</v>
          </cell>
          <cell r="CL40">
            <v>0</v>
          </cell>
          <cell r="CM40">
            <v>0</v>
          </cell>
          <cell r="CN40" t="str">
            <v>F9</v>
          </cell>
          <cell r="CO40" t="str">
            <v>N.R</v>
          </cell>
          <cell r="CP40">
            <v>0</v>
          </cell>
          <cell r="CQ40">
            <v>0</v>
          </cell>
          <cell r="CR40">
            <v>88</v>
          </cell>
          <cell r="CS40" t="str">
            <v>N.R</v>
          </cell>
          <cell r="CT40">
            <v>0</v>
          </cell>
          <cell r="CU40">
            <v>0</v>
          </cell>
          <cell r="CV40">
            <v>65</v>
          </cell>
          <cell r="CW40" t="str">
            <v>N.R</v>
          </cell>
          <cell r="CX40">
            <v>0</v>
          </cell>
          <cell r="CY40">
            <v>0</v>
          </cell>
          <cell r="CZ40">
            <v>90</v>
          </cell>
          <cell r="DA40" t="str">
            <v>N.R</v>
          </cell>
          <cell r="DB40">
            <v>0</v>
          </cell>
          <cell r="DC40">
            <v>0</v>
          </cell>
          <cell r="DD40">
            <v>95</v>
          </cell>
          <cell r="DE40" t="str">
            <v>N.R</v>
          </cell>
          <cell r="DF40">
            <v>0</v>
          </cell>
          <cell r="DG40">
            <v>0</v>
          </cell>
          <cell r="DH40">
            <v>81</v>
          </cell>
          <cell r="DI40" t="str">
            <v>N.R</v>
          </cell>
          <cell r="DJ40">
            <v>0</v>
          </cell>
          <cell r="DK40">
            <v>0</v>
          </cell>
          <cell r="DL40">
            <v>95</v>
          </cell>
          <cell r="DM40" t="str">
            <v>N.R</v>
          </cell>
          <cell r="DN40">
            <v>0</v>
          </cell>
          <cell r="DO40">
            <v>0</v>
          </cell>
          <cell r="DP40">
            <v>82</v>
          </cell>
          <cell r="DQ40" t="str">
            <v>N.R</v>
          </cell>
          <cell r="DR40">
            <v>0</v>
          </cell>
          <cell r="DS40">
            <v>0</v>
          </cell>
          <cell r="DT40">
            <v>29</v>
          </cell>
          <cell r="DU40" t="str">
            <v>N.R</v>
          </cell>
          <cell r="DV40">
            <v>0</v>
          </cell>
          <cell r="DW40">
            <v>0</v>
          </cell>
          <cell r="DX40">
            <v>56</v>
          </cell>
          <cell r="DY40" t="str">
            <v>N.R</v>
          </cell>
          <cell r="DZ40">
            <v>0</v>
          </cell>
          <cell r="EA40">
            <v>0</v>
          </cell>
          <cell r="EB40">
            <v>29</v>
          </cell>
          <cell r="EC40" t="str">
            <v>N.R</v>
          </cell>
          <cell r="ED40">
            <v>0</v>
          </cell>
          <cell r="EE40">
            <v>0</v>
          </cell>
          <cell r="EF40">
            <v>81</v>
          </cell>
          <cell r="EG40" t="str">
            <v>N.R</v>
          </cell>
          <cell r="EH40">
            <v>0</v>
          </cell>
          <cell r="EI40">
            <v>0</v>
          </cell>
          <cell r="EJ40">
            <v>29</v>
          </cell>
          <cell r="EK40" t="str">
            <v>N.R</v>
          </cell>
          <cell r="EL40">
            <v>0</v>
          </cell>
          <cell r="EM40">
            <v>0</v>
          </cell>
          <cell r="EN40">
            <v>67</v>
          </cell>
          <cell r="EO40" t="str">
            <v>N.R</v>
          </cell>
          <cell r="EP40">
            <v>0</v>
          </cell>
          <cell r="EQ40">
            <v>0</v>
          </cell>
          <cell r="ER40">
            <v>76</v>
          </cell>
          <cell r="ES40" t="str">
            <v>N.R</v>
          </cell>
        </row>
        <row r="41">
          <cell r="A41">
            <v>0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 t="str">
            <v/>
          </cell>
          <cell r="G41" t="str">
            <v/>
          </cell>
          <cell r="H41" t="str">
            <v/>
          </cell>
          <cell r="I41">
            <v>0</v>
          </cell>
          <cell r="J41">
            <v>0</v>
          </cell>
          <cell r="K41" t="str">
            <v>-</v>
          </cell>
          <cell r="L41" t="str">
            <v/>
          </cell>
          <cell r="M41" t="str">
            <v/>
          </cell>
          <cell r="N41" t="str">
            <v/>
          </cell>
          <cell r="O41">
            <v>0</v>
          </cell>
          <cell r="P41">
            <v>0</v>
          </cell>
          <cell r="Q41" t="str">
            <v>-</v>
          </cell>
          <cell r="R41" t="str">
            <v/>
          </cell>
          <cell r="S41" t="str">
            <v/>
          </cell>
          <cell r="T41" t="str">
            <v/>
          </cell>
          <cell r="U41">
            <v>0</v>
          </cell>
          <cell r="V41">
            <v>0</v>
          </cell>
          <cell r="W41" t="str">
            <v>-</v>
          </cell>
          <cell r="X41" t="str">
            <v/>
          </cell>
          <cell r="Y41" t="str">
            <v/>
          </cell>
          <cell r="Z41" t="str">
            <v/>
          </cell>
          <cell r="AA41">
            <v>0</v>
          </cell>
          <cell r="AB41">
            <v>0</v>
          </cell>
          <cell r="AC41" t="str">
            <v>-</v>
          </cell>
          <cell r="AD41" t="str">
            <v/>
          </cell>
          <cell r="AE41" t="str">
            <v/>
          </cell>
          <cell r="AF41" t="str">
            <v/>
          </cell>
          <cell r="AG41">
            <v>0</v>
          </cell>
          <cell r="AH41">
            <v>0</v>
          </cell>
          <cell r="AI41" t="str">
            <v>-</v>
          </cell>
          <cell r="AJ41" t="str">
            <v/>
          </cell>
          <cell r="AK41" t="str">
            <v/>
          </cell>
          <cell r="AL41" t="str">
            <v/>
          </cell>
          <cell r="AM41">
            <v>0</v>
          </cell>
          <cell r="AN41">
            <v>0</v>
          </cell>
          <cell r="AO41" t="str">
            <v>-</v>
          </cell>
          <cell r="AP41" t="str">
            <v/>
          </cell>
          <cell r="AQ41" t="str">
            <v/>
          </cell>
          <cell r="AR41" t="str">
            <v/>
          </cell>
          <cell r="AS41">
            <v>0</v>
          </cell>
          <cell r="AT41">
            <v>0</v>
          </cell>
          <cell r="AU41" t="str">
            <v>-</v>
          </cell>
          <cell r="AV41" t="str">
            <v/>
          </cell>
          <cell r="AW41" t="str">
            <v/>
          </cell>
          <cell r="AX41" t="str">
            <v/>
          </cell>
          <cell r="AY41">
            <v>0</v>
          </cell>
          <cell r="AZ41">
            <v>0</v>
          </cell>
          <cell r="BA41" t="str">
            <v>-</v>
          </cell>
          <cell r="BB41" t="str">
            <v/>
          </cell>
          <cell r="BC41" t="str">
            <v/>
          </cell>
          <cell r="BD41" t="str">
            <v/>
          </cell>
          <cell r="BE41">
            <v>0</v>
          </cell>
          <cell r="BF41">
            <v>0</v>
          </cell>
          <cell r="BG41" t="str">
            <v>-</v>
          </cell>
          <cell r="BH41" t="str">
            <v/>
          </cell>
          <cell r="BI41" t="str">
            <v/>
          </cell>
          <cell r="BJ41" t="str">
            <v/>
          </cell>
          <cell r="BK41">
            <v>0</v>
          </cell>
          <cell r="BL41">
            <v>0</v>
          </cell>
          <cell r="BM41" t="str">
            <v>-</v>
          </cell>
          <cell r="BN41" t="str">
            <v/>
          </cell>
          <cell r="BO41" t="str">
            <v/>
          </cell>
          <cell r="BP41" t="str">
            <v/>
          </cell>
          <cell r="BQ41">
            <v>0</v>
          </cell>
          <cell r="BR41">
            <v>0</v>
          </cell>
          <cell r="BS41" t="str">
            <v>-</v>
          </cell>
          <cell r="BT41" t="str">
            <v/>
          </cell>
          <cell r="BU41" t="str">
            <v/>
          </cell>
          <cell r="BV41" t="str">
            <v/>
          </cell>
          <cell r="BW41">
            <v>0</v>
          </cell>
          <cell r="BX41">
            <v>0</v>
          </cell>
          <cell r="BY41" t="str">
            <v>-</v>
          </cell>
          <cell r="BZ41" t="str">
            <v/>
          </cell>
          <cell r="CA41" t="str">
            <v/>
          </cell>
          <cell r="CB41" t="str">
            <v/>
          </cell>
          <cell r="CC41">
            <v>0</v>
          </cell>
          <cell r="CD41">
            <v>0</v>
          </cell>
          <cell r="CE41" t="str">
            <v>-</v>
          </cell>
          <cell r="CF41" t="str">
            <v/>
          </cell>
          <cell r="CG41" t="str">
            <v/>
          </cell>
          <cell r="CH41" t="str">
            <v/>
          </cell>
          <cell r="CI41">
            <v>0</v>
          </cell>
          <cell r="CJ41">
            <v>0</v>
          </cell>
          <cell r="CK41" t="str">
            <v>-</v>
          </cell>
          <cell r="CL41">
            <v>0</v>
          </cell>
          <cell r="CM41">
            <v>0</v>
          </cell>
          <cell r="CN41" t="str">
            <v>F9</v>
          </cell>
          <cell r="CO41" t="str">
            <v>N.R</v>
          </cell>
          <cell r="CP41">
            <v>0</v>
          </cell>
          <cell r="CQ41">
            <v>0</v>
          </cell>
          <cell r="CR41">
            <v>88</v>
          </cell>
          <cell r="CS41" t="str">
            <v>N.R</v>
          </cell>
          <cell r="CT41">
            <v>0</v>
          </cell>
          <cell r="CU41">
            <v>0</v>
          </cell>
          <cell r="CV41">
            <v>65</v>
          </cell>
          <cell r="CW41" t="str">
            <v>N.R</v>
          </cell>
          <cell r="CX41">
            <v>0</v>
          </cell>
          <cell r="CY41">
            <v>0</v>
          </cell>
          <cell r="CZ41">
            <v>90</v>
          </cell>
          <cell r="DA41" t="str">
            <v>N.R</v>
          </cell>
          <cell r="DB41">
            <v>0</v>
          </cell>
          <cell r="DC41">
            <v>0</v>
          </cell>
          <cell r="DD41">
            <v>95</v>
          </cell>
          <cell r="DE41" t="str">
            <v>N.R</v>
          </cell>
          <cell r="DF41">
            <v>0</v>
          </cell>
          <cell r="DG41">
            <v>0</v>
          </cell>
          <cell r="DH41">
            <v>81</v>
          </cell>
          <cell r="DI41" t="str">
            <v>N.R</v>
          </cell>
          <cell r="DJ41">
            <v>0</v>
          </cell>
          <cell r="DK41">
            <v>0</v>
          </cell>
          <cell r="DL41">
            <v>95</v>
          </cell>
          <cell r="DM41" t="str">
            <v>N.R</v>
          </cell>
          <cell r="DN41">
            <v>0</v>
          </cell>
          <cell r="DO41">
            <v>0</v>
          </cell>
          <cell r="DP41">
            <v>82</v>
          </cell>
          <cell r="DQ41" t="str">
            <v>N.R</v>
          </cell>
          <cell r="DR41">
            <v>0</v>
          </cell>
          <cell r="DS41">
            <v>0</v>
          </cell>
          <cell r="DT41">
            <v>30</v>
          </cell>
          <cell r="DU41" t="str">
            <v>N.R</v>
          </cell>
          <cell r="DV41">
            <v>0</v>
          </cell>
          <cell r="DW41">
            <v>0</v>
          </cell>
          <cell r="DX41">
            <v>56</v>
          </cell>
          <cell r="DY41" t="str">
            <v>N.R</v>
          </cell>
          <cell r="DZ41">
            <v>0</v>
          </cell>
          <cell r="EA41">
            <v>0</v>
          </cell>
          <cell r="EB41">
            <v>30</v>
          </cell>
          <cell r="EC41" t="str">
            <v>N.R</v>
          </cell>
          <cell r="ED41">
            <v>0</v>
          </cell>
          <cell r="EE41">
            <v>0</v>
          </cell>
          <cell r="EF41">
            <v>81</v>
          </cell>
          <cell r="EG41" t="str">
            <v>N.R</v>
          </cell>
          <cell r="EH41">
            <v>0</v>
          </cell>
          <cell r="EI41">
            <v>0</v>
          </cell>
          <cell r="EJ41">
            <v>30</v>
          </cell>
          <cell r="EK41" t="str">
            <v>N.R</v>
          </cell>
          <cell r="EL41">
            <v>0</v>
          </cell>
          <cell r="EM41">
            <v>0</v>
          </cell>
          <cell r="EN41">
            <v>67</v>
          </cell>
          <cell r="EO41" t="str">
            <v>N.R</v>
          </cell>
          <cell r="EP41">
            <v>0</v>
          </cell>
          <cell r="EQ41">
            <v>0</v>
          </cell>
          <cell r="ER41">
            <v>76</v>
          </cell>
          <cell r="ES41" t="str">
            <v>N.R</v>
          </cell>
        </row>
        <row r="42">
          <cell r="A42">
            <v>0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 t="str">
            <v/>
          </cell>
          <cell r="G42" t="str">
            <v/>
          </cell>
          <cell r="H42" t="str">
            <v/>
          </cell>
          <cell r="I42">
            <v>0</v>
          </cell>
          <cell r="J42">
            <v>0</v>
          </cell>
          <cell r="K42" t="str">
            <v>-</v>
          </cell>
          <cell r="L42" t="str">
            <v/>
          </cell>
          <cell r="M42" t="str">
            <v/>
          </cell>
          <cell r="N42" t="str">
            <v/>
          </cell>
          <cell r="O42">
            <v>0</v>
          </cell>
          <cell r="P42">
            <v>0</v>
          </cell>
          <cell r="Q42" t="str">
            <v>-</v>
          </cell>
          <cell r="R42" t="str">
            <v/>
          </cell>
          <cell r="S42" t="str">
            <v/>
          </cell>
          <cell r="T42" t="str">
            <v/>
          </cell>
          <cell r="U42">
            <v>0</v>
          </cell>
          <cell r="V42">
            <v>0</v>
          </cell>
          <cell r="W42" t="str">
            <v>-</v>
          </cell>
          <cell r="X42" t="str">
            <v/>
          </cell>
          <cell r="Y42" t="str">
            <v/>
          </cell>
          <cell r="Z42" t="str">
            <v/>
          </cell>
          <cell r="AA42">
            <v>0</v>
          </cell>
          <cell r="AB42">
            <v>0</v>
          </cell>
          <cell r="AC42" t="str">
            <v>-</v>
          </cell>
          <cell r="AD42" t="str">
            <v/>
          </cell>
          <cell r="AE42" t="str">
            <v/>
          </cell>
          <cell r="AF42" t="str">
            <v/>
          </cell>
          <cell r="AG42">
            <v>0</v>
          </cell>
          <cell r="AH42">
            <v>0</v>
          </cell>
          <cell r="AI42" t="str">
            <v>-</v>
          </cell>
          <cell r="AJ42" t="str">
            <v/>
          </cell>
          <cell r="AK42" t="str">
            <v/>
          </cell>
          <cell r="AL42" t="str">
            <v/>
          </cell>
          <cell r="AM42">
            <v>0</v>
          </cell>
          <cell r="AN42">
            <v>0</v>
          </cell>
          <cell r="AO42" t="str">
            <v>-</v>
          </cell>
          <cell r="AP42" t="str">
            <v/>
          </cell>
          <cell r="AQ42" t="str">
            <v/>
          </cell>
          <cell r="AR42" t="str">
            <v/>
          </cell>
          <cell r="AS42">
            <v>0</v>
          </cell>
          <cell r="AT42">
            <v>0</v>
          </cell>
          <cell r="AU42" t="str">
            <v>-</v>
          </cell>
          <cell r="AV42" t="str">
            <v/>
          </cell>
          <cell r="AW42" t="str">
            <v/>
          </cell>
          <cell r="AX42" t="str">
            <v/>
          </cell>
          <cell r="AY42">
            <v>0</v>
          </cell>
          <cell r="AZ42">
            <v>0</v>
          </cell>
          <cell r="BA42" t="str">
            <v>-</v>
          </cell>
          <cell r="BB42" t="str">
            <v/>
          </cell>
          <cell r="BC42" t="str">
            <v/>
          </cell>
          <cell r="BD42" t="str">
            <v/>
          </cell>
          <cell r="BE42">
            <v>0</v>
          </cell>
          <cell r="BF42">
            <v>0</v>
          </cell>
          <cell r="BG42" t="str">
            <v>-</v>
          </cell>
          <cell r="BH42" t="str">
            <v/>
          </cell>
          <cell r="BI42" t="str">
            <v/>
          </cell>
          <cell r="BJ42" t="str">
            <v/>
          </cell>
          <cell r="BK42">
            <v>0</v>
          </cell>
          <cell r="BL42">
            <v>0</v>
          </cell>
          <cell r="BM42" t="str">
            <v>-</v>
          </cell>
          <cell r="BN42" t="str">
            <v/>
          </cell>
          <cell r="BO42" t="str">
            <v/>
          </cell>
          <cell r="BP42" t="str">
            <v/>
          </cell>
          <cell r="BQ42">
            <v>0</v>
          </cell>
          <cell r="BR42">
            <v>0</v>
          </cell>
          <cell r="BS42" t="str">
            <v>-</v>
          </cell>
          <cell r="BT42" t="str">
            <v/>
          </cell>
          <cell r="BU42" t="str">
            <v/>
          </cell>
          <cell r="BV42" t="str">
            <v/>
          </cell>
          <cell r="BW42">
            <v>0</v>
          </cell>
          <cell r="BX42">
            <v>0</v>
          </cell>
          <cell r="BY42" t="str">
            <v>-</v>
          </cell>
          <cell r="BZ42" t="str">
            <v/>
          </cell>
          <cell r="CA42" t="str">
            <v/>
          </cell>
          <cell r="CB42" t="str">
            <v/>
          </cell>
          <cell r="CC42">
            <v>0</v>
          </cell>
          <cell r="CD42">
            <v>0</v>
          </cell>
          <cell r="CE42" t="str">
            <v>-</v>
          </cell>
          <cell r="CF42" t="str">
            <v/>
          </cell>
          <cell r="CG42" t="str">
            <v/>
          </cell>
          <cell r="CH42" t="str">
            <v/>
          </cell>
          <cell r="CI42">
            <v>0</v>
          </cell>
          <cell r="CJ42">
            <v>0</v>
          </cell>
          <cell r="CK42" t="str">
            <v>-</v>
          </cell>
          <cell r="CL42">
            <v>0</v>
          </cell>
          <cell r="CM42">
            <v>0</v>
          </cell>
          <cell r="CN42" t="str">
            <v>F9</v>
          </cell>
          <cell r="CO42" t="str">
            <v>N.R</v>
          </cell>
          <cell r="CP42">
            <v>0</v>
          </cell>
          <cell r="CQ42">
            <v>0</v>
          </cell>
          <cell r="CR42">
            <v>88</v>
          </cell>
          <cell r="CS42" t="str">
            <v>N.R</v>
          </cell>
          <cell r="CT42">
            <v>0</v>
          </cell>
          <cell r="CU42">
            <v>0</v>
          </cell>
          <cell r="CV42">
            <v>65</v>
          </cell>
          <cell r="CW42" t="str">
            <v>N.R</v>
          </cell>
          <cell r="CX42">
            <v>0</v>
          </cell>
          <cell r="CY42">
            <v>0</v>
          </cell>
          <cell r="CZ42">
            <v>90</v>
          </cell>
          <cell r="DA42" t="str">
            <v>N.R</v>
          </cell>
          <cell r="DB42">
            <v>0</v>
          </cell>
          <cell r="DC42">
            <v>0</v>
          </cell>
          <cell r="DD42">
            <v>95</v>
          </cell>
          <cell r="DE42" t="str">
            <v>N.R</v>
          </cell>
          <cell r="DF42">
            <v>0</v>
          </cell>
          <cell r="DG42">
            <v>0</v>
          </cell>
          <cell r="DH42">
            <v>81</v>
          </cell>
          <cell r="DI42" t="str">
            <v>N.R</v>
          </cell>
          <cell r="DJ42">
            <v>0</v>
          </cell>
          <cell r="DK42">
            <v>0</v>
          </cell>
          <cell r="DL42">
            <v>95</v>
          </cell>
          <cell r="DM42" t="str">
            <v>N.R</v>
          </cell>
          <cell r="DN42">
            <v>0</v>
          </cell>
          <cell r="DO42">
            <v>0</v>
          </cell>
          <cell r="DP42">
            <v>82</v>
          </cell>
          <cell r="DQ42" t="str">
            <v>N.R</v>
          </cell>
          <cell r="DR42">
            <v>0</v>
          </cell>
          <cell r="DS42">
            <v>0</v>
          </cell>
          <cell r="DT42">
            <v>31</v>
          </cell>
          <cell r="DU42" t="str">
            <v>N.R</v>
          </cell>
          <cell r="DV42">
            <v>0</v>
          </cell>
          <cell r="DW42">
            <v>0</v>
          </cell>
          <cell r="DX42">
            <v>56</v>
          </cell>
          <cell r="DY42" t="str">
            <v>N.R</v>
          </cell>
          <cell r="DZ42">
            <v>0</v>
          </cell>
          <cell r="EA42">
            <v>0</v>
          </cell>
          <cell r="EB42">
            <v>31</v>
          </cell>
          <cell r="EC42" t="str">
            <v>N.R</v>
          </cell>
          <cell r="ED42">
            <v>0</v>
          </cell>
          <cell r="EE42">
            <v>0</v>
          </cell>
          <cell r="EF42">
            <v>81</v>
          </cell>
          <cell r="EG42" t="str">
            <v>N.R</v>
          </cell>
          <cell r="EH42">
            <v>0</v>
          </cell>
          <cell r="EI42">
            <v>0</v>
          </cell>
          <cell r="EJ42">
            <v>31</v>
          </cell>
          <cell r="EK42" t="str">
            <v>N.R</v>
          </cell>
          <cell r="EL42">
            <v>0</v>
          </cell>
          <cell r="EM42">
            <v>0</v>
          </cell>
          <cell r="EN42">
            <v>67</v>
          </cell>
          <cell r="EO42" t="str">
            <v>N.R</v>
          </cell>
          <cell r="EP42">
            <v>0</v>
          </cell>
          <cell r="EQ42">
            <v>0</v>
          </cell>
          <cell r="ER42">
            <v>76</v>
          </cell>
          <cell r="ES42" t="str">
            <v>N.R</v>
          </cell>
        </row>
        <row r="43">
          <cell r="A43">
            <v>0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 t="str">
            <v/>
          </cell>
          <cell r="G43" t="str">
            <v/>
          </cell>
          <cell r="H43" t="str">
            <v/>
          </cell>
          <cell r="I43">
            <v>0</v>
          </cell>
          <cell r="J43">
            <v>0</v>
          </cell>
          <cell r="K43" t="str">
            <v>-</v>
          </cell>
          <cell r="L43" t="str">
            <v/>
          </cell>
          <cell r="M43" t="str">
            <v/>
          </cell>
          <cell r="N43" t="str">
            <v/>
          </cell>
          <cell r="O43">
            <v>0</v>
          </cell>
          <cell r="P43">
            <v>0</v>
          </cell>
          <cell r="Q43" t="str">
            <v>-</v>
          </cell>
          <cell r="R43" t="str">
            <v/>
          </cell>
          <cell r="S43" t="str">
            <v/>
          </cell>
          <cell r="T43" t="str">
            <v/>
          </cell>
          <cell r="U43">
            <v>0</v>
          </cell>
          <cell r="V43">
            <v>0</v>
          </cell>
          <cell r="W43" t="str">
            <v>-</v>
          </cell>
          <cell r="X43" t="str">
            <v/>
          </cell>
          <cell r="Y43" t="str">
            <v/>
          </cell>
          <cell r="Z43" t="str">
            <v/>
          </cell>
          <cell r="AA43">
            <v>0</v>
          </cell>
          <cell r="AB43">
            <v>0</v>
          </cell>
          <cell r="AC43" t="str">
            <v>-</v>
          </cell>
          <cell r="AD43" t="str">
            <v/>
          </cell>
          <cell r="AE43" t="str">
            <v/>
          </cell>
          <cell r="AF43" t="str">
            <v/>
          </cell>
          <cell r="AG43">
            <v>0</v>
          </cell>
          <cell r="AH43">
            <v>0</v>
          </cell>
          <cell r="AI43" t="str">
            <v>-</v>
          </cell>
          <cell r="AJ43" t="str">
            <v/>
          </cell>
          <cell r="AK43" t="str">
            <v/>
          </cell>
          <cell r="AL43" t="str">
            <v/>
          </cell>
          <cell r="AM43">
            <v>0</v>
          </cell>
          <cell r="AN43">
            <v>0</v>
          </cell>
          <cell r="AO43" t="str">
            <v>-</v>
          </cell>
          <cell r="AP43" t="str">
            <v/>
          </cell>
          <cell r="AQ43" t="str">
            <v/>
          </cell>
          <cell r="AR43" t="str">
            <v/>
          </cell>
          <cell r="AS43">
            <v>0</v>
          </cell>
          <cell r="AT43">
            <v>0</v>
          </cell>
          <cell r="AU43" t="str">
            <v>-</v>
          </cell>
          <cell r="AV43" t="str">
            <v/>
          </cell>
          <cell r="AW43" t="str">
            <v/>
          </cell>
          <cell r="AX43" t="str">
            <v/>
          </cell>
          <cell r="AY43">
            <v>0</v>
          </cell>
          <cell r="AZ43">
            <v>0</v>
          </cell>
          <cell r="BA43" t="str">
            <v>-</v>
          </cell>
          <cell r="BB43" t="str">
            <v/>
          </cell>
          <cell r="BC43" t="str">
            <v/>
          </cell>
          <cell r="BD43" t="str">
            <v/>
          </cell>
          <cell r="BE43">
            <v>0</v>
          </cell>
          <cell r="BF43">
            <v>0</v>
          </cell>
          <cell r="BG43" t="str">
            <v>-</v>
          </cell>
          <cell r="BH43" t="str">
            <v/>
          </cell>
          <cell r="BI43" t="str">
            <v/>
          </cell>
          <cell r="BJ43" t="str">
            <v/>
          </cell>
          <cell r="BK43">
            <v>0</v>
          </cell>
          <cell r="BL43">
            <v>0</v>
          </cell>
          <cell r="BM43" t="str">
            <v>-</v>
          </cell>
          <cell r="BN43" t="str">
            <v/>
          </cell>
          <cell r="BO43" t="str">
            <v/>
          </cell>
          <cell r="BP43" t="str">
            <v/>
          </cell>
          <cell r="BQ43">
            <v>0</v>
          </cell>
          <cell r="BR43">
            <v>0</v>
          </cell>
          <cell r="BS43" t="str">
            <v>-</v>
          </cell>
          <cell r="BT43" t="str">
            <v/>
          </cell>
          <cell r="BU43" t="str">
            <v/>
          </cell>
          <cell r="BV43" t="str">
            <v/>
          </cell>
          <cell r="BW43">
            <v>0</v>
          </cell>
          <cell r="BX43">
            <v>0</v>
          </cell>
          <cell r="BY43" t="str">
            <v>-</v>
          </cell>
          <cell r="BZ43" t="str">
            <v/>
          </cell>
          <cell r="CA43" t="str">
            <v/>
          </cell>
          <cell r="CB43" t="str">
            <v/>
          </cell>
          <cell r="CC43">
            <v>0</v>
          </cell>
          <cell r="CD43">
            <v>0</v>
          </cell>
          <cell r="CE43" t="str">
            <v>-</v>
          </cell>
          <cell r="CF43" t="str">
            <v/>
          </cell>
          <cell r="CG43" t="str">
            <v/>
          </cell>
          <cell r="CH43" t="str">
            <v/>
          </cell>
          <cell r="CI43">
            <v>0</v>
          </cell>
          <cell r="CJ43">
            <v>0</v>
          </cell>
          <cell r="CK43" t="str">
            <v>-</v>
          </cell>
          <cell r="CL43">
            <v>0</v>
          </cell>
          <cell r="CM43">
            <v>0</v>
          </cell>
          <cell r="CN43" t="str">
            <v>F9</v>
          </cell>
          <cell r="CO43" t="str">
            <v>N.R</v>
          </cell>
          <cell r="CP43">
            <v>0</v>
          </cell>
          <cell r="CQ43">
            <v>0</v>
          </cell>
          <cell r="CR43">
            <v>88</v>
          </cell>
          <cell r="CS43" t="str">
            <v>N.R</v>
          </cell>
          <cell r="CT43">
            <v>0</v>
          </cell>
          <cell r="CU43">
            <v>0</v>
          </cell>
          <cell r="CV43">
            <v>65</v>
          </cell>
          <cell r="CW43" t="str">
            <v>N.R</v>
          </cell>
          <cell r="CX43">
            <v>0</v>
          </cell>
          <cell r="CY43">
            <v>0</v>
          </cell>
          <cell r="CZ43">
            <v>90</v>
          </cell>
          <cell r="DA43" t="str">
            <v>N.R</v>
          </cell>
          <cell r="DB43">
            <v>0</v>
          </cell>
          <cell r="DC43">
            <v>0</v>
          </cell>
          <cell r="DD43">
            <v>95</v>
          </cell>
          <cell r="DE43" t="str">
            <v>N.R</v>
          </cell>
          <cell r="DF43">
            <v>0</v>
          </cell>
          <cell r="DG43">
            <v>0</v>
          </cell>
          <cell r="DH43">
            <v>81</v>
          </cell>
          <cell r="DI43" t="str">
            <v>N.R</v>
          </cell>
          <cell r="DJ43">
            <v>0</v>
          </cell>
          <cell r="DK43">
            <v>0</v>
          </cell>
          <cell r="DL43">
            <v>95</v>
          </cell>
          <cell r="DM43" t="str">
            <v>N.R</v>
          </cell>
          <cell r="DN43">
            <v>0</v>
          </cell>
          <cell r="DO43">
            <v>0</v>
          </cell>
          <cell r="DP43">
            <v>82</v>
          </cell>
          <cell r="DQ43" t="str">
            <v>N.R</v>
          </cell>
          <cell r="DR43">
            <v>0</v>
          </cell>
          <cell r="DS43">
            <v>0</v>
          </cell>
          <cell r="DT43">
            <v>32</v>
          </cell>
          <cell r="DU43" t="str">
            <v>N.R</v>
          </cell>
          <cell r="DV43">
            <v>0</v>
          </cell>
          <cell r="DW43">
            <v>0</v>
          </cell>
          <cell r="DX43">
            <v>56</v>
          </cell>
          <cell r="DY43" t="str">
            <v>N.R</v>
          </cell>
          <cell r="DZ43">
            <v>0</v>
          </cell>
          <cell r="EA43">
            <v>0</v>
          </cell>
          <cell r="EB43">
            <v>32</v>
          </cell>
          <cell r="EC43" t="str">
            <v>N.R</v>
          </cell>
          <cell r="ED43">
            <v>0</v>
          </cell>
          <cell r="EE43">
            <v>0</v>
          </cell>
          <cell r="EF43">
            <v>81</v>
          </cell>
          <cell r="EG43" t="str">
            <v>N.R</v>
          </cell>
          <cell r="EH43">
            <v>0</v>
          </cell>
          <cell r="EI43">
            <v>0</v>
          </cell>
          <cell r="EJ43">
            <v>32</v>
          </cell>
          <cell r="EK43" t="str">
            <v>N.R</v>
          </cell>
          <cell r="EL43">
            <v>0</v>
          </cell>
          <cell r="EM43">
            <v>0</v>
          </cell>
          <cell r="EN43">
            <v>67</v>
          </cell>
          <cell r="EO43" t="str">
            <v>N.R</v>
          </cell>
          <cell r="EP43">
            <v>0</v>
          </cell>
          <cell r="EQ43">
            <v>0</v>
          </cell>
          <cell r="ER43">
            <v>76</v>
          </cell>
          <cell r="ES43" t="str">
            <v>N.R</v>
          </cell>
        </row>
        <row r="44">
          <cell r="A44">
            <v>0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 t="str">
            <v/>
          </cell>
          <cell r="G44" t="str">
            <v/>
          </cell>
          <cell r="H44" t="str">
            <v/>
          </cell>
          <cell r="I44">
            <v>0</v>
          </cell>
          <cell r="J44">
            <v>0</v>
          </cell>
          <cell r="K44" t="str">
            <v>-</v>
          </cell>
          <cell r="L44" t="str">
            <v/>
          </cell>
          <cell r="M44" t="str">
            <v/>
          </cell>
          <cell r="N44" t="str">
            <v/>
          </cell>
          <cell r="O44">
            <v>0</v>
          </cell>
          <cell r="P44">
            <v>0</v>
          </cell>
          <cell r="Q44" t="str">
            <v>-</v>
          </cell>
          <cell r="R44" t="str">
            <v/>
          </cell>
          <cell r="S44" t="str">
            <v/>
          </cell>
          <cell r="T44" t="str">
            <v/>
          </cell>
          <cell r="U44">
            <v>0</v>
          </cell>
          <cell r="V44">
            <v>0</v>
          </cell>
          <cell r="W44" t="str">
            <v>-</v>
          </cell>
          <cell r="X44" t="str">
            <v/>
          </cell>
          <cell r="Y44" t="str">
            <v/>
          </cell>
          <cell r="Z44" t="str">
            <v/>
          </cell>
          <cell r="AA44">
            <v>0</v>
          </cell>
          <cell r="AB44">
            <v>0</v>
          </cell>
          <cell r="AC44" t="str">
            <v>-</v>
          </cell>
          <cell r="AD44" t="str">
            <v/>
          </cell>
          <cell r="AE44" t="str">
            <v/>
          </cell>
          <cell r="AF44" t="str">
            <v/>
          </cell>
          <cell r="AG44">
            <v>0</v>
          </cell>
          <cell r="AH44">
            <v>0</v>
          </cell>
          <cell r="AI44" t="str">
            <v>-</v>
          </cell>
          <cell r="AJ44" t="str">
            <v/>
          </cell>
          <cell r="AK44" t="str">
            <v/>
          </cell>
          <cell r="AL44" t="str">
            <v/>
          </cell>
          <cell r="AM44">
            <v>0</v>
          </cell>
          <cell r="AN44">
            <v>0</v>
          </cell>
          <cell r="AO44" t="str">
            <v>-</v>
          </cell>
          <cell r="AP44" t="str">
            <v/>
          </cell>
          <cell r="AQ44" t="str">
            <v/>
          </cell>
          <cell r="AR44" t="str">
            <v/>
          </cell>
          <cell r="AS44">
            <v>0</v>
          </cell>
          <cell r="AT44">
            <v>0</v>
          </cell>
          <cell r="AU44" t="str">
            <v>-</v>
          </cell>
          <cell r="AV44" t="str">
            <v/>
          </cell>
          <cell r="AW44" t="str">
            <v/>
          </cell>
          <cell r="AX44" t="str">
            <v/>
          </cell>
          <cell r="AY44">
            <v>0</v>
          </cell>
          <cell r="AZ44">
            <v>0</v>
          </cell>
          <cell r="BA44" t="str">
            <v>-</v>
          </cell>
          <cell r="BB44" t="str">
            <v/>
          </cell>
          <cell r="BC44" t="str">
            <v/>
          </cell>
          <cell r="BD44" t="str">
            <v/>
          </cell>
          <cell r="BE44">
            <v>0</v>
          </cell>
          <cell r="BF44">
            <v>0</v>
          </cell>
          <cell r="BG44" t="str">
            <v>-</v>
          </cell>
          <cell r="BH44" t="str">
            <v/>
          </cell>
          <cell r="BI44" t="str">
            <v/>
          </cell>
          <cell r="BJ44" t="str">
            <v/>
          </cell>
          <cell r="BK44">
            <v>0</v>
          </cell>
          <cell r="BL44">
            <v>0</v>
          </cell>
          <cell r="BM44" t="str">
            <v>-</v>
          </cell>
          <cell r="BN44" t="str">
            <v/>
          </cell>
          <cell r="BO44" t="str">
            <v/>
          </cell>
          <cell r="BP44" t="str">
            <v/>
          </cell>
          <cell r="BQ44">
            <v>0</v>
          </cell>
          <cell r="BR44">
            <v>0</v>
          </cell>
          <cell r="BS44" t="str">
            <v>-</v>
          </cell>
          <cell r="BT44" t="str">
            <v/>
          </cell>
          <cell r="BU44" t="str">
            <v/>
          </cell>
          <cell r="BV44" t="str">
            <v/>
          </cell>
          <cell r="BW44">
            <v>0</v>
          </cell>
          <cell r="BX44">
            <v>0</v>
          </cell>
          <cell r="BY44" t="str">
            <v>-</v>
          </cell>
          <cell r="BZ44" t="str">
            <v/>
          </cell>
          <cell r="CA44" t="str">
            <v/>
          </cell>
          <cell r="CB44" t="str">
            <v/>
          </cell>
          <cell r="CC44">
            <v>0</v>
          </cell>
          <cell r="CD44">
            <v>0</v>
          </cell>
          <cell r="CE44" t="str">
            <v>-</v>
          </cell>
          <cell r="CF44" t="str">
            <v/>
          </cell>
          <cell r="CG44" t="str">
            <v/>
          </cell>
          <cell r="CH44" t="str">
            <v/>
          </cell>
          <cell r="CI44">
            <v>0</v>
          </cell>
          <cell r="CJ44">
            <v>0</v>
          </cell>
          <cell r="CK44" t="str">
            <v>-</v>
          </cell>
          <cell r="CL44">
            <v>0</v>
          </cell>
          <cell r="CM44">
            <v>0</v>
          </cell>
          <cell r="CN44" t="str">
            <v>F9</v>
          </cell>
          <cell r="CO44" t="str">
            <v>N.R</v>
          </cell>
          <cell r="CP44">
            <v>0</v>
          </cell>
          <cell r="CQ44">
            <v>0</v>
          </cell>
          <cell r="CR44">
            <v>88</v>
          </cell>
          <cell r="CS44" t="str">
            <v>N.R</v>
          </cell>
          <cell r="CT44">
            <v>0</v>
          </cell>
          <cell r="CU44">
            <v>0</v>
          </cell>
          <cell r="CV44">
            <v>65</v>
          </cell>
          <cell r="CW44" t="str">
            <v>N.R</v>
          </cell>
          <cell r="CX44">
            <v>0</v>
          </cell>
          <cell r="CY44">
            <v>0</v>
          </cell>
          <cell r="CZ44">
            <v>90</v>
          </cell>
          <cell r="DA44" t="str">
            <v>N.R</v>
          </cell>
          <cell r="DB44">
            <v>0</v>
          </cell>
          <cell r="DC44">
            <v>0</v>
          </cell>
          <cell r="DD44">
            <v>95</v>
          </cell>
          <cell r="DE44" t="str">
            <v>N.R</v>
          </cell>
          <cell r="DF44">
            <v>0</v>
          </cell>
          <cell r="DG44">
            <v>0</v>
          </cell>
          <cell r="DH44">
            <v>81</v>
          </cell>
          <cell r="DI44" t="str">
            <v>N.R</v>
          </cell>
          <cell r="DJ44">
            <v>0</v>
          </cell>
          <cell r="DK44">
            <v>0</v>
          </cell>
          <cell r="DL44">
            <v>95</v>
          </cell>
          <cell r="DM44" t="str">
            <v>N.R</v>
          </cell>
          <cell r="DN44">
            <v>0</v>
          </cell>
          <cell r="DO44">
            <v>0</v>
          </cell>
          <cell r="DP44">
            <v>82</v>
          </cell>
          <cell r="DQ44" t="str">
            <v>N.R</v>
          </cell>
          <cell r="DR44">
            <v>0</v>
          </cell>
          <cell r="DS44">
            <v>0</v>
          </cell>
          <cell r="DT44">
            <v>33</v>
          </cell>
          <cell r="DU44" t="str">
            <v>N.R</v>
          </cell>
          <cell r="DV44">
            <v>0</v>
          </cell>
          <cell r="DW44">
            <v>0</v>
          </cell>
          <cell r="DX44">
            <v>56</v>
          </cell>
          <cell r="DY44" t="str">
            <v>N.R</v>
          </cell>
          <cell r="DZ44">
            <v>0</v>
          </cell>
          <cell r="EA44">
            <v>0</v>
          </cell>
          <cell r="EB44">
            <v>33</v>
          </cell>
          <cell r="EC44" t="str">
            <v>N.R</v>
          </cell>
          <cell r="ED44">
            <v>0</v>
          </cell>
          <cell r="EE44">
            <v>0</v>
          </cell>
          <cell r="EF44">
            <v>81</v>
          </cell>
          <cell r="EG44" t="str">
            <v>N.R</v>
          </cell>
          <cell r="EH44">
            <v>0</v>
          </cell>
          <cell r="EI44">
            <v>0</v>
          </cell>
          <cell r="EJ44">
            <v>33</v>
          </cell>
          <cell r="EK44" t="str">
            <v>N.R</v>
          </cell>
          <cell r="EL44">
            <v>0</v>
          </cell>
          <cell r="EM44">
            <v>0</v>
          </cell>
          <cell r="EN44">
            <v>67</v>
          </cell>
          <cell r="EO44" t="str">
            <v>N.R</v>
          </cell>
          <cell r="EP44">
            <v>0</v>
          </cell>
          <cell r="EQ44">
            <v>0</v>
          </cell>
          <cell r="ER44">
            <v>76</v>
          </cell>
          <cell r="ES44" t="str">
            <v>N.R</v>
          </cell>
        </row>
        <row r="45">
          <cell r="A45">
            <v>0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 t="str">
            <v/>
          </cell>
          <cell r="G45" t="str">
            <v/>
          </cell>
          <cell r="H45" t="str">
            <v/>
          </cell>
          <cell r="I45">
            <v>0</v>
          </cell>
          <cell r="J45">
            <v>0</v>
          </cell>
          <cell r="K45" t="str">
            <v>-</v>
          </cell>
          <cell r="L45" t="str">
            <v/>
          </cell>
          <cell r="M45" t="str">
            <v/>
          </cell>
          <cell r="N45" t="str">
            <v/>
          </cell>
          <cell r="O45">
            <v>0</v>
          </cell>
          <cell r="P45">
            <v>0</v>
          </cell>
          <cell r="Q45" t="str">
            <v>-</v>
          </cell>
          <cell r="R45" t="str">
            <v/>
          </cell>
          <cell r="S45" t="str">
            <v/>
          </cell>
          <cell r="T45" t="str">
            <v/>
          </cell>
          <cell r="U45">
            <v>0</v>
          </cell>
          <cell r="V45">
            <v>0</v>
          </cell>
          <cell r="W45" t="str">
            <v>-</v>
          </cell>
          <cell r="X45" t="str">
            <v/>
          </cell>
          <cell r="Y45" t="str">
            <v/>
          </cell>
          <cell r="Z45" t="str">
            <v/>
          </cell>
          <cell r="AA45">
            <v>0</v>
          </cell>
          <cell r="AB45">
            <v>0</v>
          </cell>
          <cell r="AC45" t="str">
            <v>-</v>
          </cell>
          <cell r="AD45" t="str">
            <v/>
          </cell>
          <cell r="AE45" t="str">
            <v/>
          </cell>
          <cell r="AF45" t="str">
            <v/>
          </cell>
          <cell r="AG45">
            <v>0</v>
          </cell>
          <cell r="AH45">
            <v>0</v>
          </cell>
          <cell r="AI45" t="str">
            <v>-</v>
          </cell>
          <cell r="AJ45" t="str">
            <v/>
          </cell>
          <cell r="AK45" t="str">
            <v/>
          </cell>
          <cell r="AL45" t="str">
            <v/>
          </cell>
          <cell r="AM45">
            <v>0</v>
          </cell>
          <cell r="AN45">
            <v>0</v>
          </cell>
          <cell r="AO45" t="str">
            <v>-</v>
          </cell>
          <cell r="AP45" t="str">
            <v/>
          </cell>
          <cell r="AQ45" t="str">
            <v/>
          </cell>
          <cell r="AR45" t="str">
            <v/>
          </cell>
          <cell r="AS45">
            <v>0</v>
          </cell>
          <cell r="AT45">
            <v>0</v>
          </cell>
          <cell r="AU45" t="str">
            <v>-</v>
          </cell>
          <cell r="AV45" t="str">
            <v/>
          </cell>
          <cell r="AW45" t="str">
            <v/>
          </cell>
          <cell r="AX45" t="str">
            <v/>
          </cell>
          <cell r="AY45">
            <v>0</v>
          </cell>
          <cell r="AZ45">
            <v>0</v>
          </cell>
          <cell r="BA45" t="str">
            <v>-</v>
          </cell>
          <cell r="BB45" t="str">
            <v/>
          </cell>
          <cell r="BC45" t="str">
            <v/>
          </cell>
          <cell r="BD45" t="str">
            <v/>
          </cell>
          <cell r="BE45">
            <v>0</v>
          </cell>
          <cell r="BF45">
            <v>0</v>
          </cell>
          <cell r="BG45" t="str">
            <v>-</v>
          </cell>
          <cell r="BH45" t="str">
            <v/>
          </cell>
          <cell r="BI45" t="str">
            <v/>
          </cell>
          <cell r="BJ45" t="str">
            <v/>
          </cell>
          <cell r="BK45">
            <v>0</v>
          </cell>
          <cell r="BL45">
            <v>0</v>
          </cell>
          <cell r="BM45" t="str">
            <v>-</v>
          </cell>
          <cell r="BN45" t="str">
            <v/>
          </cell>
          <cell r="BO45" t="str">
            <v/>
          </cell>
          <cell r="BP45" t="str">
            <v/>
          </cell>
          <cell r="BQ45">
            <v>0</v>
          </cell>
          <cell r="BR45">
            <v>0</v>
          </cell>
          <cell r="BS45" t="str">
            <v>-</v>
          </cell>
          <cell r="BT45" t="str">
            <v/>
          </cell>
          <cell r="BU45" t="str">
            <v/>
          </cell>
          <cell r="BV45" t="str">
            <v/>
          </cell>
          <cell r="BW45">
            <v>0</v>
          </cell>
          <cell r="BX45">
            <v>0</v>
          </cell>
          <cell r="BY45" t="str">
            <v>-</v>
          </cell>
          <cell r="BZ45" t="str">
            <v/>
          </cell>
          <cell r="CA45" t="str">
            <v/>
          </cell>
          <cell r="CB45" t="str">
            <v/>
          </cell>
          <cell r="CC45">
            <v>0</v>
          </cell>
          <cell r="CD45">
            <v>0</v>
          </cell>
          <cell r="CE45" t="str">
            <v>-</v>
          </cell>
          <cell r="CF45" t="str">
            <v/>
          </cell>
          <cell r="CG45" t="str">
            <v/>
          </cell>
          <cell r="CH45" t="str">
            <v/>
          </cell>
          <cell r="CI45">
            <v>0</v>
          </cell>
          <cell r="CJ45">
            <v>0</v>
          </cell>
          <cell r="CK45" t="str">
            <v>-</v>
          </cell>
          <cell r="CL45">
            <v>0</v>
          </cell>
          <cell r="CM45">
            <v>0</v>
          </cell>
          <cell r="CN45" t="str">
            <v>F9</v>
          </cell>
          <cell r="CO45" t="str">
            <v>N.R</v>
          </cell>
          <cell r="CP45">
            <v>0</v>
          </cell>
          <cell r="CQ45">
            <v>0</v>
          </cell>
          <cell r="CR45">
            <v>88</v>
          </cell>
          <cell r="CS45" t="str">
            <v>N.R</v>
          </cell>
          <cell r="CT45">
            <v>0</v>
          </cell>
          <cell r="CU45">
            <v>0</v>
          </cell>
          <cell r="CV45">
            <v>65</v>
          </cell>
          <cell r="CW45" t="str">
            <v>N.R</v>
          </cell>
          <cell r="CX45">
            <v>0</v>
          </cell>
          <cell r="CY45">
            <v>0</v>
          </cell>
          <cell r="CZ45">
            <v>90</v>
          </cell>
          <cell r="DA45" t="str">
            <v>N.R</v>
          </cell>
          <cell r="DB45">
            <v>0</v>
          </cell>
          <cell r="DC45">
            <v>0</v>
          </cell>
          <cell r="DD45">
            <v>95</v>
          </cell>
          <cell r="DE45" t="str">
            <v>N.R</v>
          </cell>
          <cell r="DF45">
            <v>0</v>
          </cell>
          <cell r="DG45">
            <v>0</v>
          </cell>
          <cell r="DH45">
            <v>81</v>
          </cell>
          <cell r="DI45" t="str">
            <v>N.R</v>
          </cell>
          <cell r="DJ45">
            <v>0</v>
          </cell>
          <cell r="DK45">
            <v>0</v>
          </cell>
          <cell r="DL45">
            <v>95</v>
          </cell>
          <cell r="DM45" t="str">
            <v>N.R</v>
          </cell>
          <cell r="DN45">
            <v>0</v>
          </cell>
          <cell r="DO45">
            <v>0</v>
          </cell>
          <cell r="DP45">
            <v>82</v>
          </cell>
          <cell r="DQ45" t="str">
            <v>N.R</v>
          </cell>
          <cell r="DR45">
            <v>0</v>
          </cell>
          <cell r="DS45">
            <v>0</v>
          </cell>
          <cell r="DT45">
            <v>34</v>
          </cell>
          <cell r="DU45" t="str">
            <v>N.R</v>
          </cell>
          <cell r="DV45">
            <v>0</v>
          </cell>
          <cell r="DW45">
            <v>0</v>
          </cell>
          <cell r="DX45">
            <v>56</v>
          </cell>
          <cell r="DY45" t="str">
            <v>N.R</v>
          </cell>
          <cell r="DZ45">
            <v>0</v>
          </cell>
          <cell r="EA45">
            <v>0</v>
          </cell>
          <cell r="EB45">
            <v>34</v>
          </cell>
          <cell r="EC45" t="str">
            <v>N.R</v>
          </cell>
          <cell r="ED45">
            <v>0</v>
          </cell>
          <cell r="EE45">
            <v>0</v>
          </cell>
          <cell r="EF45">
            <v>81</v>
          </cell>
          <cell r="EG45" t="str">
            <v>N.R</v>
          </cell>
          <cell r="EH45">
            <v>0</v>
          </cell>
          <cell r="EI45">
            <v>0</v>
          </cell>
          <cell r="EJ45">
            <v>34</v>
          </cell>
          <cell r="EK45" t="str">
            <v>N.R</v>
          </cell>
          <cell r="EL45">
            <v>0</v>
          </cell>
          <cell r="EM45">
            <v>0</v>
          </cell>
          <cell r="EN45">
            <v>67</v>
          </cell>
          <cell r="EO45" t="str">
            <v>N.R</v>
          </cell>
          <cell r="EP45">
            <v>0</v>
          </cell>
          <cell r="EQ45">
            <v>0</v>
          </cell>
          <cell r="ER45">
            <v>76</v>
          </cell>
          <cell r="ES45" t="str">
            <v>N.R</v>
          </cell>
        </row>
        <row r="46">
          <cell r="A46">
            <v>0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 t="str">
            <v/>
          </cell>
          <cell r="G46" t="str">
            <v/>
          </cell>
          <cell r="H46" t="str">
            <v/>
          </cell>
          <cell r="I46">
            <v>0</v>
          </cell>
          <cell r="J46">
            <v>0</v>
          </cell>
          <cell r="K46" t="str">
            <v>-</v>
          </cell>
          <cell r="L46" t="str">
            <v/>
          </cell>
          <cell r="M46" t="str">
            <v/>
          </cell>
          <cell r="N46" t="str">
            <v/>
          </cell>
          <cell r="O46">
            <v>0</v>
          </cell>
          <cell r="P46">
            <v>0</v>
          </cell>
          <cell r="Q46" t="str">
            <v>-</v>
          </cell>
          <cell r="R46" t="str">
            <v/>
          </cell>
          <cell r="S46" t="str">
            <v/>
          </cell>
          <cell r="T46" t="str">
            <v/>
          </cell>
          <cell r="U46">
            <v>0</v>
          </cell>
          <cell r="V46">
            <v>0</v>
          </cell>
          <cell r="W46" t="str">
            <v>-</v>
          </cell>
          <cell r="X46" t="str">
            <v/>
          </cell>
          <cell r="Y46" t="str">
            <v/>
          </cell>
          <cell r="Z46" t="str">
            <v/>
          </cell>
          <cell r="AA46">
            <v>0</v>
          </cell>
          <cell r="AB46">
            <v>0</v>
          </cell>
          <cell r="AC46" t="str">
            <v>-</v>
          </cell>
          <cell r="AD46" t="str">
            <v/>
          </cell>
          <cell r="AE46" t="str">
            <v/>
          </cell>
          <cell r="AF46" t="str">
            <v/>
          </cell>
          <cell r="AG46">
            <v>0</v>
          </cell>
          <cell r="AH46">
            <v>0</v>
          </cell>
          <cell r="AI46" t="str">
            <v>-</v>
          </cell>
          <cell r="AJ46" t="str">
            <v/>
          </cell>
          <cell r="AK46" t="str">
            <v/>
          </cell>
          <cell r="AL46" t="str">
            <v/>
          </cell>
          <cell r="AM46">
            <v>0</v>
          </cell>
          <cell r="AN46">
            <v>0</v>
          </cell>
          <cell r="AO46" t="str">
            <v>-</v>
          </cell>
          <cell r="AP46" t="str">
            <v/>
          </cell>
          <cell r="AQ46" t="str">
            <v/>
          </cell>
          <cell r="AR46" t="str">
            <v/>
          </cell>
          <cell r="AS46">
            <v>0</v>
          </cell>
          <cell r="AT46">
            <v>0</v>
          </cell>
          <cell r="AU46" t="str">
            <v>-</v>
          </cell>
          <cell r="AV46" t="str">
            <v/>
          </cell>
          <cell r="AW46" t="str">
            <v/>
          </cell>
          <cell r="AX46" t="str">
            <v/>
          </cell>
          <cell r="AY46">
            <v>0</v>
          </cell>
          <cell r="AZ46">
            <v>0</v>
          </cell>
          <cell r="BA46" t="str">
            <v>-</v>
          </cell>
          <cell r="BB46" t="str">
            <v/>
          </cell>
          <cell r="BC46" t="str">
            <v/>
          </cell>
          <cell r="BD46" t="str">
            <v/>
          </cell>
          <cell r="BE46">
            <v>0</v>
          </cell>
          <cell r="BF46">
            <v>0</v>
          </cell>
          <cell r="BG46" t="str">
            <v>-</v>
          </cell>
          <cell r="BH46" t="str">
            <v/>
          </cell>
          <cell r="BI46" t="str">
            <v/>
          </cell>
          <cell r="BJ46" t="str">
            <v/>
          </cell>
          <cell r="BK46">
            <v>0</v>
          </cell>
          <cell r="BL46">
            <v>0</v>
          </cell>
          <cell r="BM46" t="str">
            <v>-</v>
          </cell>
          <cell r="BN46" t="str">
            <v/>
          </cell>
          <cell r="BO46" t="str">
            <v/>
          </cell>
          <cell r="BP46" t="str">
            <v/>
          </cell>
          <cell r="BQ46">
            <v>0</v>
          </cell>
          <cell r="BR46">
            <v>0</v>
          </cell>
          <cell r="BS46" t="str">
            <v>-</v>
          </cell>
          <cell r="BT46" t="str">
            <v/>
          </cell>
          <cell r="BU46" t="str">
            <v/>
          </cell>
          <cell r="BV46" t="str">
            <v/>
          </cell>
          <cell r="BW46">
            <v>0</v>
          </cell>
          <cell r="BX46">
            <v>0</v>
          </cell>
          <cell r="BY46" t="str">
            <v>-</v>
          </cell>
          <cell r="BZ46" t="str">
            <v/>
          </cell>
          <cell r="CA46" t="str">
            <v/>
          </cell>
          <cell r="CB46" t="str">
            <v/>
          </cell>
          <cell r="CC46">
            <v>0</v>
          </cell>
          <cell r="CD46">
            <v>0</v>
          </cell>
          <cell r="CE46" t="str">
            <v>-</v>
          </cell>
          <cell r="CF46" t="str">
            <v/>
          </cell>
          <cell r="CG46" t="str">
            <v/>
          </cell>
          <cell r="CH46" t="str">
            <v/>
          </cell>
          <cell r="CI46">
            <v>0</v>
          </cell>
          <cell r="CJ46">
            <v>0</v>
          </cell>
          <cell r="CK46" t="str">
            <v>-</v>
          </cell>
          <cell r="CL46">
            <v>0</v>
          </cell>
          <cell r="CM46">
            <v>0</v>
          </cell>
          <cell r="CN46" t="str">
            <v>F9</v>
          </cell>
          <cell r="CO46" t="str">
            <v>N.R</v>
          </cell>
          <cell r="CP46">
            <v>0</v>
          </cell>
          <cell r="CQ46">
            <v>0</v>
          </cell>
          <cell r="CR46">
            <v>88</v>
          </cell>
          <cell r="CS46" t="str">
            <v>N.R</v>
          </cell>
          <cell r="CT46">
            <v>0</v>
          </cell>
          <cell r="CU46">
            <v>0</v>
          </cell>
          <cell r="CV46">
            <v>65</v>
          </cell>
          <cell r="CW46" t="str">
            <v>N.R</v>
          </cell>
          <cell r="CX46">
            <v>0</v>
          </cell>
          <cell r="CY46">
            <v>0</v>
          </cell>
          <cell r="CZ46">
            <v>90</v>
          </cell>
          <cell r="DA46" t="str">
            <v>N.R</v>
          </cell>
          <cell r="DB46">
            <v>0</v>
          </cell>
          <cell r="DC46">
            <v>0</v>
          </cell>
          <cell r="DD46">
            <v>95</v>
          </cell>
          <cell r="DE46" t="str">
            <v>N.R</v>
          </cell>
          <cell r="DF46">
            <v>0</v>
          </cell>
          <cell r="DG46">
            <v>0</v>
          </cell>
          <cell r="DH46">
            <v>81</v>
          </cell>
          <cell r="DI46" t="str">
            <v>N.R</v>
          </cell>
          <cell r="DJ46">
            <v>0</v>
          </cell>
          <cell r="DK46">
            <v>0</v>
          </cell>
          <cell r="DL46">
            <v>95</v>
          </cell>
          <cell r="DM46" t="str">
            <v>N.R</v>
          </cell>
          <cell r="DN46">
            <v>0</v>
          </cell>
          <cell r="DO46">
            <v>0</v>
          </cell>
          <cell r="DP46">
            <v>82</v>
          </cell>
          <cell r="DQ46" t="str">
            <v>N.R</v>
          </cell>
          <cell r="DR46">
            <v>0</v>
          </cell>
          <cell r="DS46">
            <v>0</v>
          </cell>
          <cell r="DT46">
            <v>35</v>
          </cell>
          <cell r="DU46" t="str">
            <v>N.R</v>
          </cell>
          <cell r="DV46">
            <v>0</v>
          </cell>
          <cell r="DW46">
            <v>0</v>
          </cell>
          <cell r="DX46">
            <v>56</v>
          </cell>
          <cell r="DY46" t="str">
            <v>N.R</v>
          </cell>
          <cell r="DZ46">
            <v>0</v>
          </cell>
          <cell r="EA46">
            <v>0</v>
          </cell>
          <cell r="EB46">
            <v>35</v>
          </cell>
          <cell r="EC46" t="str">
            <v>N.R</v>
          </cell>
          <cell r="ED46">
            <v>0</v>
          </cell>
          <cell r="EE46">
            <v>0</v>
          </cell>
          <cell r="EF46">
            <v>81</v>
          </cell>
          <cell r="EG46" t="str">
            <v>N.R</v>
          </cell>
          <cell r="EH46">
            <v>0</v>
          </cell>
          <cell r="EI46">
            <v>0</v>
          </cell>
          <cell r="EJ46">
            <v>35</v>
          </cell>
          <cell r="EK46" t="str">
            <v>N.R</v>
          </cell>
          <cell r="EL46">
            <v>0</v>
          </cell>
          <cell r="EM46">
            <v>0</v>
          </cell>
          <cell r="EN46">
            <v>67</v>
          </cell>
          <cell r="EO46" t="str">
            <v>N.R</v>
          </cell>
          <cell r="EP46">
            <v>0</v>
          </cell>
          <cell r="EQ46">
            <v>0</v>
          </cell>
          <cell r="ER46">
            <v>76</v>
          </cell>
          <cell r="ES46" t="str">
            <v>N.R</v>
          </cell>
        </row>
        <row r="47">
          <cell r="A47">
            <v>0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 t="str">
            <v/>
          </cell>
          <cell r="G47" t="str">
            <v/>
          </cell>
          <cell r="H47" t="str">
            <v/>
          </cell>
          <cell r="I47">
            <v>0</v>
          </cell>
          <cell r="J47">
            <v>0</v>
          </cell>
          <cell r="K47" t="str">
            <v>-</v>
          </cell>
          <cell r="L47" t="str">
            <v/>
          </cell>
          <cell r="M47" t="str">
            <v/>
          </cell>
          <cell r="N47" t="str">
            <v/>
          </cell>
          <cell r="O47">
            <v>0</v>
          </cell>
          <cell r="P47">
            <v>0</v>
          </cell>
          <cell r="Q47" t="str">
            <v>-</v>
          </cell>
          <cell r="R47" t="str">
            <v/>
          </cell>
          <cell r="S47" t="str">
            <v/>
          </cell>
          <cell r="T47" t="str">
            <v/>
          </cell>
          <cell r="U47">
            <v>0</v>
          </cell>
          <cell r="V47">
            <v>0</v>
          </cell>
          <cell r="W47" t="str">
            <v>-</v>
          </cell>
          <cell r="X47" t="str">
            <v/>
          </cell>
          <cell r="Y47" t="str">
            <v/>
          </cell>
          <cell r="Z47" t="str">
            <v/>
          </cell>
          <cell r="AA47">
            <v>0</v>
          </cell>
          <cell r="AB47">
            <v>0</v>
          </cell>
          <cell r="AC47" t="str">
            <v>-</v>
          </cell>
          <cell r="AD47" t="str">
            <v/>
          </cell>
          <cell r="AE47" t="str">
            <v/>
          </cell>
          <cell r="AF47" t="str">
            <v/>
          </cell>
          <cell r="AG47">
            <v>0</v>
          </cell>
          <cell r="AH47">
            <v>0</v>
          </cell>
          <cell r="AI47" t="str">
            <v>-</v>
          </cell>
          <cell r="AJ47" t="str">
            <v/>
          </cell>
          <cell r="AK47" t="str">
            <v/>
          </cell>
          <cell r="AL47" t="str">
            <v/>
          </cell>
          <cell r="AM47">
            <v>0</v>
          </cell>
          <cell r="AN47">
            <v>0</v>
          </cell>
          <cell r="AO47" t="str">
            <v>-</v>
          </cell>
          <cell r="AP47" t="str">
            <v/>
          </cell>
          <cell r="AQ47" t="str">
            <v/>
          </cell>
          <cell r="AR47" t="str">
            <v/>
          </cell>
          <cell r="AS47">
            <v>0</v>
          </cell>
          <cell r="AT47">
            <v>0</v>
          </cell>
          <cell r="AU47" t="str">
            <v>-</v>
          </cell>
          <cell r="AV47" t="str">
            <v/>
          </cell>
          <cell r="AW47" t="str">
            <v/>
          </cell>
          <cell r="AX47" t="str">
            <v/>
          </cell>
          <cell r="AY47">
            <v>0</v>
          </cell>
          <cell r="AZ47">
            <v>0</v>
          </cell>
          <cell r="BA47" t="str">
            <v>-</v>
          </cell>
          <cell r="BB47" t="str">
            <v/>
          </cell>
          <cell r="BC47" t="str">
            <v/>
          </cell>
          <cell r="BD47" t="str">
            <v/>
          </cell>
          <cell r="BE47">
            <v>0</v>
          </cell>
          <cell r="BF47">
            <v>0</v>
          </cell>
          <cell r="BG47" t="str">
            <v>-</v>
          </cell>
          <cell r="BH47" t="str">
            <v/>
          </cell>
          <cell r="BI47" t="str">
            <v/>
          </cell>
          <cell r="BJ47" t="str">
            <v/>
          </cell>
          <cell r="BK47">
            <v>0</v>
          </cell>
          <cell r="BL47">
            <v>0</v>
          </cell>
          <cell r="BM47" t="str">
            <v>-</v>
          </cell>
          <cell r="BN47" t="str">
            <v/>
          </cell>
          <cell r="BO47" t="str">
            <v/>
          </cell>
          <cell r="BP47" t="str">
            <v/>
          </cell>
          <cell r="BQ47">
            <v>0</v>
          </cell>
          <cell r="BR47">
            <v>0</v>
          </cell>
          <cell r="BS47" t="str">
            <v>-</v>
          </cell>
          <cell r="BT47" t="str">
            <v/>
          </cell>
          <cell r="BU47" t="str">
            <v/>
          </cell>
          <cell r="BV47" t="str">
            <v/>
          </cell>
          <cell r="BW47">
            <v>0</v>
          </cell>
          <cell r="BX47">
            <v>0</v>
          </cell>
          <cell r="BY47" t="str">
            <v>-</v>
          </cell>
          <cell r="BZ47" t="str">
            <v/>
          </cell>
          <cell r="CA47" t="str">
            <v/>
          </cell>
          <cell r="CB47" t="str">
            <v/>
          </cell>
          <cell r="CC47">
            <v>0</v>
          </cell>
          <cell r="CD47">
            <v>0</v>
          </cell>
          <cell r="CE47" t="str">
            <v>-</v>
          </cell>
          <cell r="CF47" t="str">
            <v/>
          </cell>
          <cell r="CG47" t="str">
            <v/>
          </cell>
          <cell r="CH47" t="str">
            <v/>
          </cell>
          <cell r="CI47">
            <v>0</v>
          </cell>
          <cell r="CJ47">
            <v>0</v>
          </cell>
          <cell r="CK47" t="str">
            <v>-</v>
          </cell>
          <cell r="CL47">
            <v>0</v>
          </cell>
          <cell r="CM47">
            <v>0</v>
          </cell>
          <cell r="CN47" t="str">
            <v>F9</v>
          </cell>
          <cell r="CO47" t="str">
            <v>N.R</v>
          </cell>
          <cell r="CP47">
            <v>0</v>
          </cell>
          <cell r="CQ47">
            <v>0</v>
          </cell>
          <cell r="CR47">
            <v>88</v>
          </cell>
          <cell r="CS47" t="str">
            <v>N.R</v>
          </cell>
          <cell r="CT47">
            <v>0</v>
          </cell>
          <cell r="CU47">
            <v>0</v>
          </cell>
          <cell r="CV47">
            <v>65</v>
          </cell>
          <cell r="CW47" t="str">
            <v>N.R</v>
          </cell>
          <cell r="CX47">
            <v>0</v>
          </cell>
          <cell r="CY47">
            <v>0</v>
          </cell>
          <cell r="CZ47">
            <v>90</v>
          </cell>
          <cell r="DA47" t="str">
            <v>N.R</v>
          </cell>
          <cell r="DB47">
            <v>0</v>
          </cell>
          <cell r="DC47">
            <v>0</v>
          </cell>
          <cell r="DD47">
            <v>95</v>
          </cell>
          <cell r="DE47" t="str">
            <v>N.R</v>
          </cell>
          <cell r="DF47">
            <v>0</v>
          </cell>
          <cell r="DG47">
            <v>0</v>
          </cell>
          <cell r="DH47">
            <v>81</v>
          </cell>
          <cell r="DI47" t="str">
            <v>N.R</v>
          </cell>
          <cell r="DJ47">
            <v>0</v>
          </cell>
          <cell r="DK47">
            <v>0</v>
          </cell>
          <cell r="DL47">
            <v>95</v>
          </cell>
          <cell r="DM47" t="str">
            <v>N.R</v>
          </cell>
          <cell r="DN47">
            <v>0</v>
          </cell>
          <cell r="DO47">
            <v>0</v>
          </cell>
          <cell r="DP47">
            <v>82</v>
          </cell>
          <cell r="DQ47" t="str">
            <v>N.R</v>
          </cell>
          <cell r="DR47">
            <v>0</v>
          </cell>
          <cell r="DS47">
            <v>0</v>
          </cell>
          <cell r="DT47">
            <v>36</v>
          </cell>
          <cell r="DU47" t="str">
            <v>N.R</v>
          </cell>
          <cell r="DV47">
            <v>0</v>
          </cell>
          <cell r="DW47">
            <v>0</v>
          </cell>
          <cell r="DX47">
            <v>56</v>
          </cell>
          <cell r="DY47" t="str">
            <v>N.R</v>
          </cell>
          <cell r="DZ47">
            <v>0</v>
          </cell>
          <cell r="EA47">
            <v>0</v>
          </cell>
          <cell r="EB47">
            <v>36</v>
          </cell>
          <cell r="EC47" t="str">
            <v>N.R</v>
          </cell>
          <cell r="ED47">
            <v>0</v>
          </cell>
          <cell r="EE47">
            <v>0</v>
          </cell>
          <cell r="EF47">
            <v>81</v>
          </cell>
          <cell r="EG47" t="str">
            <v>N.R</v>
          </cell>
          <cell r="EH47">
            <v>0</v>
          </cell>
          <cell r="EI47">
            <v>0</v>
          </cell>
          <cell r="EJ47">
            <v>36</v>
          </cell>
          <cell r="EK47" t="str">
            <v>N.R</v>
          </cell>
          <cell r="EL47">
            <v>0</v>
          </cell>
          <cell r="EM47">
            <v>0</v>
          </cell>
          <cell r="EN47">
            <v>67</v>
          </cell>
          <cell r="EO47" t="str">
            <v>N.R</v>
          </cell>
          <cell r="EP47">
            <v>0</v>
          </cell>
          <cell r="EQ47">
            <v>0</v>
          </cell>
          <cell r="ER47">
            <v>76</v>
          </cell>
          <cell r="ES47" t="str">
            <v>N.R</v>
          </cell>
        </row>
        <row r="48">
          <cell r="A48">
            <v>0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 t="str">
            <v/>
          </cell>
          <cell r="G48" t="str">
            <v/>
          </cell>
          <cell r="H48" t="str">
            <v/>
          </cell>
          <cell r="I48">
            <v>0</v>
          </cell>
          <cell r="J48">
            <v>0</v>
          </cell>
          <cell r="K48" t="str">
            <v>-</v>
          </cell>
          <cell r="L48" t="str">
            <v/>
          </cell>
          <cell r="M48" t="str">
            <v/>
          </cell>
          <cell r="N48" t="str">
            <v/>
          </cell>
          <cell r="O48">
            <v>0</v>
          </cell>
          <cell r="P48">
            <v>0</v>
          </cell>
          <cell r="Q48" t="str">
            <v>-</v>
          </cell>
          <cell r="R48" t="str">
            <v/>
          </cell>
          <cell r="S48" t="str">
            <v/>
          </cell>
          <cell r="T48" t="str">
            <v/>
          </cell>
          <cell r="U48">
            <v>0</v>
          </cell>
          <cell r="V48">
            <v>0</v>
          </cell>
          <cell r="W48" t="str">
            <v>-</v>
          </cell>
          <cell r="X48" t="str">
            <v/>
          </cell>
          <cell r="Y48" t="str">
            <v/>
          </cell>
          <cell r="Z48" t="str">
            <v/>
          </cell>
          <cell r="AA48">
            <v>0</v>
          </cell>
          <cell r="AB48">
            <v>0</v>
          </cell>
          <cell r="AC48" t="str">
            <v>-</v>
          </cell>
          <cell r="AD48" t="str">
            <v/>
          </cell>
          <cell r="AE48" t="str">
            <v/>
          </cell>
          <cell r="AF48" t="str">
            <v/>
          </cell>
          <cell r="AG48">
            <v>0</v>
          </cell>
          <cell r="AH48">
            <v>0</v>
          </cell>
          <cell r="AI48" t="str">
            <v>-</v>
          </cell>
          <cell r="AJ48" t="str">
            <v/>
          </cell>
          <cell r="AK48" t="str">
            <v/>
          </cell>
          <cell r="AL48" t="str">
            <v/>
          </cell>
          <cell r="AM48">
            <v>0</v>
          </cell>
          <cell r="AN48">
            <v>0</v>
          </cell>
          <cell r="AO48" t="str">
            <v>-</v>
          </cell>
          <cell r="AP48" t="str">
            <v/>
          </cell>
          <cell r="AQ48" t="str">
            <v/>
          </cell>
          <cell r="AR48" t="str">
            <v/>
          </cell>
          <cell r="AS48">
            <v>0</v>
          </cell>
          <cell r="AT48">
            <v>0</v>
          </cell>
          <cell r="AU48" t="str">
            <v>-</v>
          </cell>
          <cell r="AV48" t="str">
            <v/>
          </cell>
          <cell r="AW48" t="str">
            <v/>
          </cell>
          <cell r="AX48" t="str">
            <v/>
          </cell>
          <cell r="AY48">
            <v>0</v>
          </cell>
          <cell r="AZ48">
            <v>0</v>
          </cell>
          <cell r="BA48" t="str">
            <v>-</v>
          </cell>
          <cell r="BB48" t="str">
            <v/>
          </cell>
          <cell r="BC48" t="str">
            <v/>
          </cell>
          <cell r="BD48" t="str">
            <v/>
          </cell>
          <cell r="BE48">
            <v>0</v>
          </cell>
          <cell r="BF48">
            <v>0</v>
          </cell>
          <cell r="BG48" t="str">
            <v>-</v>
          </cell>
          <cell r="BH48" t="str">
            <v/>
          </cell>
          <cell r="BI48" t="str">
            <v/>
          </cell>
          <cell r="BJ48" t="str">
            <v/>
          </cell>
          <cell r="BK48">
            <v>0</v>
          </cell>
          <cell r="BL48">
            <v>0</v>
          </cell>
          <cell r="BM48" t="str">
            <v>-</v>
          </cell>
          <cell r="BN48" t="str">
            <v/>
          </cell>
          <cell r="BO48" t="str">
            <v/>
          </cell>
          <cell r="BP48" t="str">
            <v/>
          </cell>
          <cell r="BQ48">
            <v>0</v>
          </cell>
          <cell r="BR48">
            <v>0</v>
          </cell>
          <cell r="BS48" t="str">
            <v>-</v>
          </cell>
          <cell r="BT48" t="str">
            <v/>
          </cell>
          <cell r="BU48" t="str">
            <v/>
          </cell>
          <cell r="BV48" t="str">
            <v/>
          </cell>
          <cell r="BW48">
            <v>0</v>
          </cell>
          <cell r="BX48">
            <v>0</v>
          </cell>
          <cell r="BY48" t="str">
            <v>-</v>
          </cell>
          <cell r="BZ48" t="str">
            <v/>
          </cell>
          <cell r="CA48" t="str">
            <v/>
          </cell>
          <cell r="CB48" t="str">
            <v/>
          </cell>
          <cell r="CC48">
            <v>0</v>
          </cell>
          <cell r="CD48">
            <v>0</v>
          </cell>
          <cell r="CE48" t="str">
            <v>-</v>
          </cell>
          <cell r="CF48" t="str">
            <v/>
          </cell>
          <cell r="CG48" t="str">
            <v/>
          </cell>
          <cell r="CH48" t="str">
            <v/>
          </cell>
          <cell r="CI48">
            <v>0</v>
          </cell>
          <cell r="CJ48">
            <v>0</v>
          </cell>
          <cell r="CK48" t="str">
            <v>-</v>
          </cell>
          <cell r="CL48">
            <v>0</v>
          </cell>
          <cell r="CM48">
            <v>0</v>
          </cell>
          <cell r="CN48" t="str">
            <v>F9</v>
          </cell>
          <cell r="CO48" t="str">
            <v>N.R</v>
          </cell>
          <cell r="CP48">
            <v>0</v>
          </cell>
          <cell r="CQ48">
            <v>0</v>
          </cell>
          <cell r="CR48">
            <v>88</v>
          </cell>
          <cell r="CS48" t="str">
            <v>N.R</v>
          </cell>
          <cell r="CT48">
            <v>0</v>
          </cell>
          <cell r="CU48">
            <v>0</v>
          </cell>
          <cell r="CV48">
            <v>65</v>
          </cell>
          <cell r="CW48" t="str">
            <v>N.R</v>
          </cell>
          <cell r="CX48">
            <v>0</v>
          </cell>
          <cell r="CY48">
            <v>0</v>
          </cell>
          <cell r="CZ48">
            <v>90</v>
          </cell>
          <cell r="DA48" t="str">
            <v>N.R</v>
          </cell>
          <cell r="DB48">
            <v>0</v>
          </cell>
          <cell r="DC48">
            <v>0</v>
          </cell>
          <cell r="DD48">
            <v>95</v>
          </cell>
          <cell r="DE48" t="str">
            <v>N.R</v>
          </cell>
          <cell r="DF48">
            <v>0</v>
          </cell>
          <cell r="DG48">
            <v>0</v>
          </cell>
          <cell r="DH48">
            <v>81</v>
          </cell>
          <cell r="DI48" t="str">
            <v>N.R</v>
          </cell>
          <cell r="DJ48">
            <v>0</v>
          </cell>
          <cell r="DK48">
            <v>0</v>
          </cell>
          <cell r="DL48">
            <v>95</v>
          </cell>
          <cell r="DM48" t="str">
            <v>N.R</v>
          </cell>
          <cell r="DN48">
            <v>0</v>
          </cell>
          <cell r="DO48">
            <v>0</v>
          </cell>
          <cell r="DP48">
            <v>82</v>
          </cell>
          <cell r="DQ48" t="str">
            <v>N.R</v>
          </cell>
          <cell r="DR48">
            <v>0</v>
          </cell>
          <cell r="DS48">
            <v>0</v>
          </cell>
          <cell r="DT48">
            <v>37</v>
          </cell>
          <cell r="DU48" t="str">
            <v>N.R</v>
          </cell>
          <cell r="DV48">
            <v>0</v>
          </cell>
          <cell r="DW48">
            <v>0</v>
          </cell>
          <cell r="DX48">
            <v>56</v>
          </cell>
          <cell r="DY48" t="str">
            <v>N.R</v>
          </cell>
          <cell r="DZ48">
            <v>0</v>
          </cell>
          <cell r="EA48">
            <v>0</v>
          </cell>
          <cell r="EB48">
            <v>37</v>
          </cell>
          <cell r="EC48" t="str">
            <v>N.R</v>
          </cell>
          <cell r="ED48">
            <v>0</v>
          </cell>
          <cell r="EE48">
            <v>0</v>
          </cell>
          <cell r="EF48">
            <v>81</v>
          </cell>
          <cell r="EG48" t="str">
            <v>N.R</v>
          </cell>
          <cell r="EH48">
            <v>0</v>
          </cell>
          <cell r="EI48">
            <v>0</v>
          </cell>
          <cell r="EJ48">
            <v>37</v>
          </cell>
          <cell r="EK48" t="str">
            <v>N.R</v>
          </cell>
          <cell r="EL48">
            <v>0</v>
          </cell>
          <cell r="EM48">
            <v>0</v>
          </cell>
          <cell r="EN48">
            <v>67</v>
          </cell>
          <cell r="EO48" t="str">
            <v>N.R</v>
          </cell>
          <cell r="EP48">
            <v>0</v>
          </cell>
          <cell r="EQ48">
            <v>0</v>
          </cell>
          <cell r="ER48">
            <v>76</v>
          </cell>
          <cell r="ES48" t="str">
            <v>N.R</v>
          </cell>
        </row>
        <row r="49">
          <cell r="A49">
            <v>0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 t="str">
            <v/>
          </cell>
          <cell r="G49" t="str">
            <v/>
          </cell>
          <cell r="H49" t="str">
            <v/>
          </cell>
          <cell r="I49">
            <v>0</v>
          </cell>
          <cell r="J49">
            <v>0</v>
          </cell>
          <cell r="K49" t="str">
            <v>-</v>
          </cell>
          <cell r="L49" t="str">
            <v/>
          </cell>
          <cell r="M49" t="str">
            <v/>
          </cell>
          <cell r="N49" t="str">
            <v/>
          </cell>
          <cell r="O49">
            <v>0</v>
          </cell>
          <cell r="P49">
            <v>0</v>
          </cell>
          <cell r="Q49" t="str">
            <v>-</v>
          </cell>
          <cell r="R49" t="str">
            <v/>
          </cell>
          <cell r="S49" t="str">
            <v/>
          </cell>
          <cell r="T49" t="str">
            <v/>
          </cell>
          <cell r="U49">
            <v>0</v>
          </cell>
          <cell r="V49">
            <v>0</v>
          </cell>
          <cell r="W49" t="str">
            <v>-</v>
          </cell>
          <cell r="X49" t="str">
            <v/>
          </cell>
          <cell r="Y49" t="str">
            <v/>
          </cell>
          <cell r="Z49" t="str">
            <v/>
          </cell>
          <cell r="AA49">
            <v>0</v>
          </cell>
          <cell r="AB49">
            <v>0</v>
          </cell>
          <cell r="AC49" t="str">
            <v>-</v>
          </cell>
          <cell r="AD49" t="str">
            <v/>
          </cell>
          <cell r="AE49" t="str">
            <v/>
          </cell>
          <cell r="AF49" t="str">
            <v/>
          </cell>
          <cell r="AG49">
            <v>0</v>
          </cell>
          <cell r="AH49">
            <v>0</v>
          </cell>
          <cell r="AI49" t="str">
            <v>-</v>
          </cell>
          <cell r="AJ49" t="str">
            <v/>
          </cell>
          <cell r="AK49" t="str">
            <v/>
          </cell>
          <cell r="AL49" t="str">
            <v/>
          </cell>
          <cell r="AM49">
            <v>0</v>
          </cell>
          <cell r="AN49">
            <v>0</v>
          </cell>
          <cell r="AO49" t="str">
            <v>-</v>
          </cell>
          <cell r="AP49" t="str">
            <v/>
          </cell>
          <cell r="AQ49" t="str">
            <v/>
          </cell>
          <cell r="AR49" t="str">
            <v/>
          </cell>
          <cell r="AS49">
            <v>0</v>
          </cell>
          <cell r="AT49">
            <v>0</v>
          </cell>
          <cell r="AU49" t="str">
            <v>-</v>
          </cell>
          <cell r="AV49" t="str">
            <v/>
          </cell>
          <cell r="AW49" t="str">
            <v/>
          </cell>
          <cell r="AX49" t="str">
            <v/>
          </cell>
          <cell r="AY49">
            <v>0</v>
          </cell>
          <cell r="AZ49">
            <v>0</v>
          </cell>
          <cell r="BA49" t="str">
            <v>-</v>
          </cell>
          <cell r="BB49" t="str">
            <v/>
          </cell>
          <cell r="BC49" t="str">
            <v/>
          </cell>
          <cell r="BD49" t="str">
            <v/>
          </cell>
          <cell r="BE49">
            <v>0</v>
          </cell>
          <cell r="BF49">
            <v>0</v>
          </cell>
          <cell r="BG49" t="str">
            <v>-</v>
          </cell>
          <cell r="BH49" t="str">
            <v/>
          </cell>
          <cell r="BI49" t="str">
            <v/>
          </cell>
          <cell r="BJ49" t="str">
            <v/>
          </cell>
          <cell r="BK49">
            <v>0</v>
          </cell>
          <cell r="BL49">
            <v>0</v>
          </cell>
          <cell r="BM49" t="str">
            <v>-</v>
          </cell>
          <cell r="BN49" t="str">
            <v/>
          </cell>
          <cell r="BO49" t="str">
            <v/>
          </cell>
          <cell r="BP49" t="str">
            <v/>
          </cell>
          <cell r="BQ49">
            <v>0</v>
          </cell>
          <cell r="BR49">
            <v>0</v>
          </cell>
          <cell r="BS49" t="str">
            <v>-</v>
          </cell>
          <cell r="BT49" t="str">
            <v/>
          </cell>
          <cell r="BU49" t="str">
            <v/>
          </cell>
          <cell r="BV49" t="str">
            <v/>
          </cell>
          <cell r="BW49">
            <v>0</v>
          </cell>
          <cell r="BX49">
            <v>0</v>
          </cell>
          <cell r="BY49" t="str">
            <v>-</v>
          </cell>
          <cell r="BZ49" t="str">
            <v/>
          </cell>
          <cell r="CA49" t="str">
            <v/>
          </cell>
          <cell r="CB49" t="str">
            <v/>
          </cell>
          <cell r="CC49">
            <v>0</v>
          </cell>
          <cell r="CD49">
            <v>0</v>
          </cell>
          <cell r="CE49" t="str">
            <v>-</v>
          </cell>
          <cell r="CF49" t="str">
            <v/>
          </cell>
          <cell r="CG49" t="str">
            <v/>
          </cell>
          <cell r="CH49" t="str">
            <v/>
          </cell>
          <cell r="CI49">
            <v>0</v>
          </cell>
          <cell r="CJ49">
            <v>0</v>
          </cell>
          <cell r="CK49" t="str">
            <v>-</v>
          </cell>
          <cell r="CL49">
            <v>0</v>
          </cell>
          <cell r="CM49">
            <v>0</v>
          </cell>
          <cell r="CN49" t="str">
            <v>F9</v>
          </cell>
          <cell r="CO49" t="str">
            <v>N.R</v>
          </cell>
          <cell r="CP49">
            <v>0</v>
          </cell>
          <cell r="CQ49">
            <v>0</v>
          </cell>
          <cell r="CR49">
            <v>88</v>
          </cell>
          <cell r="CS49" t="str">
            <v>N.R</v>
          </cell>
          <cell r="CT49">
            <v>0</v>
          </cell>
          <cell r="CU49">
            <v>0</v>
          </cell>
          <cell r="CV49">
            <v>65</v>
          </cell>
          <cell r="CW49" t="str">
            <v>N.R</v>
          </cell>
          <cell r="CX49">
            <v>0</v>
          </cell>
          <cell r="CY49">
            <v>0</v>
          </cell>
          <cell r="CZ49">
            <v>90</v>
          </cell>
          <cell r="DA49" t="str">
            <v>N.R</v>
          </cell>
          <cell r="DB49">
            <v>0</v>
          </cell>
          <cell r="DC49">
            <v>0</v>
          </cell>
          <cell r="DD49">
            <v>95</v>
          </cell>
          <cell r="DE49" t="str">
            <v>N.R</v>
          </cell>
          <cell r="DF49">
            <v>0</v>
          </cell>
          <cell r="DG49">
            <v>0</v>
          </cell>
          <cell r="DH49">
            <v>81</v>
          </cell>
          <cell r="DI49" t="str">
            <v>N.R</v>
          </cell>
          <cell r="DJ49">
            <v>0</v>
          </cell>
          <cell r="DK49">
            <v>0</v>
          </cell>
          <cell r="DL49">
            <v>95</v>
          </cell>
          <cell r="DM49" t="str">
            <v>N.R</v>
          </cell>
          <cell r="DN49">
            <v>0</v>
          </cell>
          <cell r="DO49">
            <v>0</v>
          </cell>
          <cell r="DP49">
            <v>82</v>
          </cell>
          <cell r="DQ49" t="str">
            <v>N.R</v>
          </cell>
          <cell r="DR49">
            <v>0</v>
          </cell>
          <cell r="DS49">
            <v>0</v>
          </cell>
          <cell r="DT49">
            <v>38</v>
          </cell>
          <cell r="DU49" t="str">
            <v>N.R</v>
          </cell>
          <cell r="DV49">
            <v>0</v>
          </cell>
          <cell r="DW49">
            <v>0</v>
          </cell>
          <cell r="DX49">
            <v>56</v>
          </cell>
          <cell r="DY49" t="str">
            <v>N.R</v>
          </cell>
          <cell r="DZ49">
            <v>0</v>
          </cell>
          <cell r="EA49">
            <v>0</v>
          </cell>
          <cell r="EB49">
            <v>38</v>
          </cell>
          <cell r="EC49" t="str">
            <v>N.R</v>
          </cell>
          <cell r="ED49">
            <v>0</v>
          </cell>
          <cell r="EE49">
            <v>0</v>
          </cell>
          <cell r="EF49">
            <v>81</v>
          </cell>
          <cell r="EG49" t="str">
            <v>N.R</v>
          </cell>
          <cell r="EH49">
            <v>0</v>
          </cell>
          <cell r="EI49">
            <v>0</v>
          </cell>
          <cell r="EJ49">
            <v>38</v>
          </cell>
          <cell r="EK49" t="str">
            <v>N.R</v>
          </cell>
          <cell r="EL49">
            <v>0</v>
          </cell>
          <cell r="EM49">
            <v>0</v>
          </cell>
          <cell r="EN49">
            <v>67</v>
          </cell>
          <cell r="EO49" t="str">
            <v>N.R</v>
          </cell>
          <cell r="EP49">
            <v>0</v>
          </cell>
          <cell r="EQ49">
            <v>0</v>
          </cell>
          <cell r="ER49">
            <v>76</v>
          </cell>
          <cell r="ES49" t="str">
            <v>N.R</v>
          </cell>
        </row>
        <row r="50">
          <cell r="A50">
            <v>0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 t="str">
            <v/>
          </cell>
          <cell r="G50" t="str">
            <v/>
          </cell>
          <cell r="H50" t="str">
            <v/>
          </cell>
          <cell r="I50">
            <v>0</v>
          </cell>
          <cell r="J50">
            <v>0</v>
          </cell>
          <cell r="K50" t="str">
            <v>-</v>
          </cell>
          <cell r="L50" t="str">
            <v/>
          </cell>
          <cell r="M50" t="str">
            <v/>
          </cell>
          <cell r="N50" t="str">
            <v/>
          </cell>
          <cell r="O50">
            <v>0</v>
          </cell>
          <cell r="P50">
            <v>0</v>
          </cell>
          <cell r="Q50" t="str">
            <v>-</v>
          </cell>
          <cell r="R50" t="str">
            <v/>
          </cell>
          <cell r="S50" t="str">
            <v/>
          </cell>
          <cell r="T50" t="str">
            <v/>
          </cell>
          <cell r="U50">
            <v>0</v>
          </cell>
          <cell r="V50">
            <v>0</v>
          </cell>
          <cell r="W50" t="str">
            <v>-</v>
          </cell>
          <cell r="X50" t="str">
            <v/>
          </cell>
          <cell r="Y50" t="str">
            <v/>
          </cell>
          <cell r="Z50" t="str">
            <v/>
          </cell>
          <cell r="AA50">
            <v>0</v>
          </cell>
          <cell r="AB50">
            <v>0</v>
          </cell>
          <cell r="AC50" t="str">
            <v>-</v>
          </cell>
          <cell r="AD50" t="str">
            <v/>
          </cell>
          <cell r="AE50" t="str">
            <v/>
          </cell>
          <cell r="AF50" t="str">
            <v/>
          </cell>
          <cell r="AG50">
            <v>0</v>
          </cell>
          <cell r="AH50">
            <v>0</v>
          </cell>
          <cell r="AI50" t="str">
            <v>-</v>
          </cell>
          <cell r="AJ50" t="str">
            <v/>
          </cell>
          <cell r="AK50" t="str">
            <v/>
          </cell>
          <cell r="AL50" t="str">
            <v/>
          </cell>
          <cell r="AM50">
            <v>0</v>
          </cell>
          <cell r="AN50">
            <v>0</v>
          </cell>
          <cell r="AO50" t="str">
            <v>-</v>
          </cell>
          <cell r="AP50" t="str">
            <v/>
          </cell>
          <cell r="AQ50" t="str">
            <v/>
          </cell>
          <cell r="AR50" t="str">
            <v/>
          </cell>
          <cell r="AS50">
            <v>0</v>
          </cell>
          <cell r="AT50">
            <v>0</v>
          </cell>
          <cell r="AU50" t="str">
            <v>-</v>
          </cell>
          <cell r="AV50" t="str">
            <v/>
          </cell>
          <cell r="AW50" t="str">
            <v/>
          </cell>
          <cell r="AX50" t="str">
            <v/>
          </cell>
          <cell r="AY50">
            <v>0</v>
          </cell>
          <cell r="AZ50">
            <v>0</v>
          </cell>
          <cell r="BA50" t="str">
            <v>-</v>
          </cell>
          <cell r="BB50" t="str">
            <v/>
          </cell>
          <cell r="BC50" t="str">
            <v/>
          </cell>
          <cell r="BD50" t="str">
            <v/>
          </cell>
          <cell r="BE50">
            <v>0</v>
          </cell>
          <cell r="BF50">
            <v>0</v>
          </cell>
          <cell r="BG50" t="str">
            <v>-</v>
          </cell>
          <cell r="BH50" t="str">
            <v/>
          </cell>
          <cell r="BI50" t="str">
            <v/>
          </cell>
          <cell r="BJ50" t="str">
            <v/>
          </cell>
          <cell r="BK50">
            <v>0</v>
          </cell>
          <cell r="BL50">
            <v>0</v>
          </cell>
          <cell r="BM50" t="str">
            <v>-</v>
          </cell>
          <cell r="BN50" t="str">
            <v/>
          </cell>
          <cell r="BO50" t="str">
            <v/>
          </cell>
          <cell r="BP50" t="str">
            <v/>
          </cell>
          <cell r="BQ50">
            <v>0</v>
          </cell>
          <cell r="BR50">
            <v>0</v>
          </cell>
          <cell r="BS50" t="str">
            <v>-</v>
          </cell>
          <cell r="BT50" t="str">
            <v/>
          </cell>
          <cell r="BU50" t="str">
            <v/>
          </cell>
          <cell r="BV50" t="str">
            <v/>
          </cell>
          <cell r="BW50">
            <v>0</v>
          </cell>
          <cell r="BX50">
            <v>0</v>
          </cell>
          <cell r="BY50" t="str">
            <v>-</v>
          </cell>
          <cell r="BZ50" t="str">
            <v/>
          </cell>
          <cell r="CA50" t="str">
            <v/>
          </cell>
          <cell r="CB50" t="str">
            <v/>
          </cell>
          <cell r="CC50">
            <v>0</v>
          </cell>
          <cell r="CD50">
            <v>0</v>
          </cell>
          <cell r="CE50" t="str">
            <v>-</v>
          </cell>
          <cell r="CF50" t="str">
            <v/>
          </cell>
          <cell r="CG50" t="str">
            <v/>
          </cell>
          <cell r="CH50" t="str">
            <v/>
          </cell>
          <cell r="CI50">
            <v>0</v>
          </cell>
          <cell r="CJ50">
            <v>0</v>
          </cell>
          <cell r="CK50" t="str">
            <v>-</v>
          </cell>
          <cell r="CL50">
            <v>0</v>
          </cell>
          <cell r="CM50">
            <v>0</v>
          </cell>
          <cell r="CN50" t="str">
            <v>F9</v>
          </cell>
          <cell r="CO50" t="str">
            <v>N.R</v>
          </cell>
          <cell r="CP50">
            <v>0</v>
          </cell>
          <cell r="CQ50">
            <v>0</v>
          </cell>
          <cell r="CR50">
            <v>88</v>
          </cell>
          <cell r="CS50" t="str">
            <v>N.R</v>
          </cell>
          <cell r="CT50">
            <v>0</v>
          </cell>
          <cell r="CU50">
            <v>0</v>
          </cell>
          <cell r="CV50">
            <v>65</v>
          </cell>
          <cell r="CW50" t="str">
            <v>N.R</v>
          </cell>
          <cell r="CX50">
            <v>0</v>
          </cell>
          <cell r="CY50">
            <v>0</v>
          </cell>
          <cell r="CZ50">
            <v>90</v>
          </cell>
          <cell r="DA50" t="str">
            <v>N.R</v>
          </cell>
          <cell r="DB50">
            <v>0</v>
          </cell>
          <cell r="DC50">
            <v>0</v>
          </cell>
          <cell r="DD50">
            <v>95</v>
          </cell>
          <cell r="DE50" t="str">
            <v>N.R</v>
          </cell>
          <cell r="DF50">
            <v>0</v>
          </cell>
          <cell r="DG50">
            <v>0</v>
          </cell>
          <cell r="DH50">
            <v>81</v>
          </cell>
          <cell r="DI50" t="str">
            <v>N.R</v>
          </cell>
          <cell r="DJ50">
            <v>0</v>
          </cell>
          <cell r="DK50">
            <v>0</v>
          </cell>
          <cell r="DL50">
            <v>95</v>
          </cell>
          <cell r="DM50" t="str">
            <v>N.R</v>
          </cell>
          <cell r="DN50">
            <v>0</v>
          </cell>
          <cell r="DO50">
            <v>0</v>
          </cell>
          <cell r="DP50">
            <v>82</v>
          </cell>
          <cell r="DQ50" t="str">
            <v>N.R</v>
          </cell>
          <cell r="DR50">
            <v>0</v>
          </cell>
          <cell r="DS50">
            <v>0</v>
          </cell>
          <cell r="DT50">
            <v>39</v>
          </cell>
          <cell r="DU50" t="str">
            <v>N.R</v>
          </cell>
          <cell r="DV50">
            <v>0</v>
          </cell>
          <cell r="DW50">
            <v>0</v>
          </cell>
          <cell r="DX50">
            <v>56</v>
          </cell>
          <cell r="DY50" t="str">
            <v>N.R</v>
          </cell>
          <cell r="DZ50">
            <v>0</v>
          </cell>
          <cell r="EA50">
            <v>0</v>
          </cell>
          <cell r="EB50">
            <v>39</v>
          </cell>
          <cell r="EC50" t="str">
            <v>N.R</v>
          </cell>
          <cell r="ED50">
            <v>0</v>
          </cell>
          <cell r="EE50">
            <v>0</v>
          </cell>
          <cell r="EF50">
            <v>81</v>
          </cell>
          <cell r="EG50" t="str">
            <v>N.R</v>
          </cell>
          <cell r="EH50">
            <v>0</v>
          </cell>
          <cell r="EI50">
            <v>0</v>
          </cell>
          <cell r="EJ50">
            <v>39</v>
          </cell>
          <cell r="EK50" t="str">
            <v>N.R</v>
          </cell>
          <cell r="EL50">
            <v>0</v>
          </cell>
          <cell r="EM50">
            <v>0</v>
          </cell>
          <cell r="EN50">
            <v>67</v>
          </cell>
          <cell r="EO50" t="str">
            <v>N.R</v>
          </cell>
          <cell r="EP50">
            <v>0</v>
          </cell>
          <cell r="EQ50">
            <v>0</v>
          </cell>
          <cell r="ER50">
            <v>76</v>
          </cell>
          <cell r="ES50" t="str">
            <v>N.R</v>
          </cell>
        </row>
        <row r="51">
          <cell r="A51">
            <v>0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 t="str">
            <v/>
          </cell>
          <cell r="G51" t="str">
            <v/>
          </cell>
          <cell r="H51" t="str">
            <v/>
          </cell>
          <cell r="I51">
            <v>0</v>
          </cell>
          <cell r="J51">
            <v>0</v>
          </cell>
          <cell r="K51" t="str">
            <v>-</v>
          </cell>
          <cell r="L51" t="str">
            <v/>
          </cell>
          <cell r="M51" t="str">
            <v/>
          </cell>
          <cell r="N51" t="str">
            <v/>
          </cell>
          <cell r="O51">
            <v>0</v>
          </cell>
          <cell r="P51">
            <v>0</v>
          </cell>
          <cell r="Q51" t="str">
            <v>-</v>
          </cell>
          <cell r="R51" t="str">
            <v/>
          </cell>
          <cell r="S51" t="str">
            <v/>
          </cell>
          <cell r="T51" t="str">
            <v/>
          </cell>
          <cell r="U51">
            <v>0</v>
          </cell>
          <cell r="V51">
            <v>0</v>
          </cell>
          <cell r="W51" t="str">
            <v>-</v>
          </cell>
          <cell r="X51" t="str">
            <v/>
          </cell>
          <cell r="Y51" t="str">
            <v/>
          </cell>
          <cell r="Z51" t="str">
            <v/>
          </cell>
          <cell r="AA51">
            <v>0</v>
          </cell>
          <cell r="AB51">
            <v>0</v>
          </cell>
          <cell r="AC51" t="str">
            <v>-</v>
          </cell>
          <cell r="AD51" t="str">
            <v/>
          </cell>
          <cell r="AE51" t="str">
            <v/>
          </cell>
          <cell r="AF51" t="str">
            <v/>
          </cell>
          <cell r="AG51">
            <v>0</v>
          </cell>
          <cell r="AH51">
            <v>0</v>
          </cell>
          <cell r="AI51" t="str">
            <v>-</v>
          </cell>
          <cell r="AJ51" t="str">
            <v/>
          </cell>
          <cell r="AK51" t="str">
            <v/>
          </cell>
          <cell r="AL51" t="str">
            <v/>
          </cell>
          <cell r="AM51">
            <v>0</v>
          </cell>
          <cell r="AN51">
            <v>0</v>
          </cell>
          <cell r="AO51" t="str">
            <v>-</v>
          </cell>
          <cell r="AP51" t="str">
            <v/>
          </cell>
          <cell r="AQ51" t="str">
            <v/>
          </cell>
          <cell r="AR51" t="str">
            <v/>
          </cell>
          <cell r="AS51">
            <v>0</v>
          </cell>
          <cell r="AT51">
            <v>0</v>
          </cell>
          <cell r="AU51" t="str">
            <v>-</v>
          </cell>
          <cell r="AV51" t="str">
            <v/>
          </cell>
          <cell r="AW51" t="str">
            <v/>
          </cell>
          <cell r="AX51" t="str">
            <v/>
          </cell>
          <cell r="AY51">
            <v>0</v>
          </cell>
          <cell r="AZ51">
            <v>0</v>
          </cell>
          <cell r="BA51" t="str">
            <v>-</v>
          </cell>
          <cell r="BB51" t="str">
            <v/>
          </cell>
          <cell r="BC51" t="str">
            <v/>
          </cell>
          <cell r="BD51" t="str">
            <v/>
          </cell>
          <cell r="BE51">
            <v>0</v>
          </cell>
          <cell r="BF51">
            <v>0</v>
          </cell>
          <cell r="BG51" t="str">
            <v>-</v>
          </cell>
          <cell r="BH51" t="str">
            <v/>
          </cell>
          <cell r="BI51" t="str">
            <v/>
          </cell>
          <cell r="BJ51" t="str">
            <v/>
          </cell>
          <cell r="BK51">
            <v>0</v>
          </cell>
          <cell r="BL51">
            <v>0</v>
          </cell>
          <cell r="BM51" t="str">
            <v>-</v>
          </cell>
          <cell r="BN51" t="str">
            <v/>
          </cell>
          <cell r="BO51" t="str">
            <v/>
          </cell>
          <cell r="BP51" t="str">
            <v/>
          </cell>
          <cell r="BQ51">
            <v>0</v>
          </cell>
          <cell r="BR51">
            <v>0</v>
          </cell>
          <cell r="BS51" t="str">
            <v>-</v>
          </cell>
          <cell r="BT51" t="str">
            <v/>
          </cell>
          <cell r="BU51" t="str">
            <v/>
          </cell>
          <cell r="BV51" t="str">
            <v/>
          </cell>
          <cell r="BW51">
            <v>0</v>
          </cell>
          <cell r="BX51">
            <v>0</v>
          </cell>
          <cell r="BY51" t="str">
            <v>-</v>
          </cell>
          <cell r="BZ51" t="str">
            <v/>
          </cell>
          <cell r="CA51" t="str">
            <v/>
          </cell>
          <cell r="CB51" t="str">
            <v/>
          </cell>
          <cell r="CC51">
            <v>0</v>
          </cell>
          <cell r="CD51">
            <v>0</v>
          </cell>
          <cell r="CE51" t="str">
            <v>-</v>
          </cell>
          <cell r="CF51" t="str">
            <v/>
          </cell>
          <cell r="CG51" t="str">
            <v/>
          </cell>
          <cell r="CH51" t="str">
            <v/>
          </cell>
          <cell r="CI51">
            <v>0</v>
          </cell>
          <cell r="CJ51">
            <v>0</v>
          </cell>
          <cell r="CK51" t="str">
            <v>-</v>
          </cell>
          <cell r="CL51">
            <v>0</v>
          </cell>
          <cell r="CM51">
            <v>0</v>
          </cell>
          <cell r="CN51" t="str">
            <v>F9</v>
          </cell>
          <cell r="CO51" t="str">
            <v>N.R</v>
          </cell>
          <cell r="CP51">
            <v>0</v>
          </cell>
          <cell r="CQ51">
            <v>0</v>
          </cell>
          <cell r="CR51">
            <v>88</v>
          </cell>
          <cell r="CS51" t="str">
            <v>N.R</v>
          </cell>
          <cell r="CT51">
            <v>0</v>
          </cell>
          <cell r="CU51">
            <v>0</v>
          </cell>
          <cell r="CV51">
            <v>65</v>
          </cell>
          <cell r="CW51" t="str">
            <v>N.R</v>
          </cell>
          <cell r="CX51">
            <v>0</v>
          </cell>
          <cell r="CY51">
            <v>0</v>
          </cell>
          <cell r="CZ51">
            <v>90</v>
          </cell>
          <cell r="DA51" t="str">
            <v>N.R</v>
          </cell>
          <cell r="DB51">
            <v>0</v>
          </cell>
          <cell r="DC51">
            <v>0</v>
          </cell>
          <cell r="DD51">
            <v>95</v>
          </cell>
          <cell r="DE51" t="str">
            <v>N.R</v>
          </cell>
          <cell r="DF51">
            <v>0</v>
          </cell>
          <cell r="DG51">
            <v>0</v>
          </cell>
          <cell r="DH51">
            <v>81</v>
          </cell>
          <cell r="DI51" t="str">
            <v>N.R</v>
          </cell>
          <cell r="DJ51">
            <v>0</v>
          </cell>
          <cell r="DK51">
            <v>0</v>
          </cell>
          <cell r="DL51">
            <v>95</v>
          </cell>
          <cell r="DM51" t="str">
            <v>N.R</v>
          </cell>
          <cell r="DN51">
            <v>0</v>
          </cell>
          <cell r="DO51">
            <v>0</v>
          </cell>
          <cell r="DP51">
            <v>82</v>
          </cell>
          <cell r="DQ51" t="str">
            <v>N.R</v>
          </cell>
          <cell r="DR51">
            <v>0</v>
          </cell>
          <cell r="DS51">
            <v>0</v>
          </cell>
          <cell r="DT51">
            <v>40</v>
          </cell>
          <cell r="DU51" t="str">
            <v>N.R</v>
          </cell>
          <cell r="DV51">
            <v>0</v>
          </cell>
          <cell r="DW51">
            <v>0</v>
          </cell>
          <cell r="DX51">
            <v>56</v>
          </cell>
          <cell r="DY51" t="str">
            <v>N.R</v>
          </cell>
          <cell r="DZ51">
            <v>0</v>
          </cell>
          <cell r="EA51">
            <v>0</v>
          </cell>
          <cell r="EB51">
            <v>40</v>
          </cell>
          <cell r="EC51" t="str">
            <v>N.R</v>
          </cell>
          <cell r="ED51">
            <v>0</v>
          </cell>
          <cell r="EE51">
            <v>0</v>
          </cell>
          <cell r="EF51">
            <v>81</v>
          </cell>
          <cell r="EG51" t="str">
            <v>N.R</v>
          </cell>
          <cell r="EH51">
            <v>0</v>
          </cell>
          <cell r="EI51">
            <v>0</v>
          </cell>
          <cell r="EJ51">
            <v>40</v>
          </cell>
          <cell r="EK51" t="str">
            <v>N.R</v>
          </cell>
          <cell r="EL51">
            <v>0</v>
          </cell>
          <cell r="EM51">
            <v>0</v>
          </cell>
          <cell r="EN51">
            <v>67</v>
          </cell>
          <cell r="EO51" t="str">
            <v>N.R</v>
          </cell>
          <cell r="EP51">
            <v>0</v>
          </cell>
          <cell r="EQ51">
            <v>0</v>
          </cell>
          <cell r="ER51">
            <v>76</v>
          </cell>
          <cell r="ES51" t="str">
            <v>N.R</v>
          </cell>
        </row>
        <row r="52">
          <cell r="A52">
            <v>0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 t="str">
            <v/>
          </cell>
          <cell r="G52" t="str">
            <v/>
          </cell>
          <cell r="H52" t="str">
            <v/>
          </cell>
          <cell r="I52">
            <v>0</v>
          </cell>
          <cell r="J52">
            <v>0</v>
          </cell>
          <cell r="K52" t="str">
            <v>-</v>
          </cell>
          <cell r="L52" t="str">
            <v/>
          </cell>
          <cell r="M52" t="str">
            <v/>
          </cell>
          <cell r="N52" t="str">
            <v/>
          </cell>
          <cell r="O52">
            <v>0</v>
          </cell>
          <cell r="P52">
            <v>0</v>
          </cell>
          <cell r="Q52" t="str">
            <v>-</v>
          </cell>
          <cell r="R52" t="str">
            <v/>
          </cell>
          <cell r="S52" t="str">
            <v/>
          </cell>
          <cell r="T52" t="str">
            <v/>
          </cell>
          <cell r="U52">
            <v>0</v>
          </cell>
          <cell r="V52">
            <v>0</v>
          </cell>
          <cell r="W52" t="str">
            <v>-</v>
          </cell>
          <cell r="X52" t="str">
            <v/>
          </cell>
          <cell r="Y52" t="str">
            <v/>
          </cell>
          <cell r="Z52" t="str">
            <v/>
          </cell>
          <cell r="AA52">
            <v>0</v>
          </cell>
          <cell r="AB52">
            <v>0</v>
          </cell>
          <cell r="AC52" t="str">
            <v>-</v>
          </cell>
          <cell r="AD52" t="str">
            <v/>
          </cell>
          <cell r="AE52" t="str">
            <v/>
          </cell>
          <cell r="AF52" t="str">
            <v/>
          </cell>
          <cell r="AG52">
            <v>0</v>
          </cell>
          <cell r="AH52">
            <v>0</v>
          </cell>
          <cell r="AI52" t="str">
            <v>-</v>
          </cell>
          <cell r="AJ52" t="str">
            <v/>
          </cell>
          <cell r="AK52" t="str">
            <v/>
          </cell>
          <cell r="AL52" t="str">
            <v/>
          </cell>
          <cell r="AM52">
            <v>0</v>
          </cell>
          <cell r="AN52">
            <v>0</v>
          </cell>
          <cell r="AO52" t="str">
            <v>-</v>
          </cell>
          <cell r="AP52" t="str">
            <v/>
          </cell>
          <cell r="AQ52" t="str">
            <v/>
          </cell>
          <cell r="AR52" t="str">
            <v/>
          </cell>
          <cell r="AS52">
            <v>0</v>
          </cell>
          <cell r="AT52">
            <v>0</v>
          </cell>
          <cell r="AU52" t="str">
            <v>-</v>
          </cell>
          <cell r="AV52" t="str">
            <v/>
          </cell>
          <cell r="AW52" t="str">
            <v/>
          </cell>
          <cell r="AX52" t="str">
            <v/>
          </cell>
          <cell r="AY52">
            <v>0</v>
          </cell>
          <cell r="AZ52">
            <v>0</v>
          </cell>
          <cell r="BA52" t="str">
            <v>-</v>
          </cell>
          <cell r="BB52" t="str">
            <v/>
          </cell>
          <cell r="BC52" t="str">
            <v/>
          </cell>
          <cell r="BD52" t="str">
            <v/>
          </cell>
          <cell r="BE52">
            <v>0</v>
          </cell>
          <cell r="BF52">
            <v>0</v>
          </cell>
          <cell r="BG52" t="str">
            <v>-</v>
          </cell>
          <cell r="BH52" t="str">
            <v/>
          </cell>
          <cell r="BI52" t="str">
            <v/>
          </cell>
          <cell r="BJ52" t="str">
            <v/>
          </cell>
          <cell r="BK52">
            <v>0</v>
          </cell>
          <cell r="BL52">
            <v>0</v>
          </cell>
          <cell r="BM52" t="str">
            <v>-</v>
          </cell>
          <cell r="BN52" t="str">
            <v/>
          </cell>
          <cell r="BO52" t="str">
            <v/>
          </cell>
          <cell r="BP52" t="str">
            <v/>
          </cell>
          <cell r="BQ52">
            <v>0</v>
          </cell>
          <cell r="BR52">
            <v>0</v>
          </cell>
          <cell r="BS52" t="str">
            <v>-</v>
          </cell>
          <cell r="BT52" t="str">
            <v/>
          </cell>
          <cell r="BU52" t="str">
            <v/>
          </cell>
          <cell r="BV52" t="str">
            <v/>
          </cell>
          <cell r="BW52">
            <v>0</v>
          </cell>
          <cell r="BX52">
            <v>0</v>
          </cell>
          <cell r="BY52" t="str">
            <v>-</v>
          </cell>
          <cell r="BZ52" t="str">
            <v/>
          </cell>
          <cell r="CA52" t="str">
            <v/>
          </cell>
          <cell r="CB52" t="str">
            <v/>
          </cell>
          <cell r="CC52">
            <v>0</v>
          </cell>
          <cell r="CD52">
            <v>0</v>
          </cell>
          <cell r="CE52" t="str">
            <v>-</v>
          </cell>
          <cell r="CF52" t="str">
            <v/>
          </cell>
          <cell r="CG52" t="str">
            <v/>
          </cell>
          <cell r="CH52" t="str">
            <v/>
          </cell>
          <cell r="CI52">
            <v>0</v>
          </cell>
          <cell r="CJ52">
            <v>0</v>
          </cell>
          <cell r="CK52" t="str">
            <v>-</v>
          </cell>
          <cell r="CL52">
            <v>0</v>
          </cell>
          <cell r="CM52">
            <v>0</v>
          </cell>
          <cell r="CN52" t="str">
            <v>F9</v>
          </cell>
          <cell r="CO52" t="str">
            <v>N.R</v>
          </cell>
          <cell r="CP52">
            <v>0</v>
          </cell>
          <cell r="CQ52">
            <v>0</v>
          </cell>
          <cell r="CR52">
            <v>88</v>
          </cell>
          <cell r="CS52" t="str">
            <v>N.R</v>
          </cell>
          <cell r="CT52">
            <v>0</v>
          </cell>
          <cell r="CU52">
            <v>0</v>
          </cell>
          <cell r="CV52">
            <v>65</v>
          </cell>
          <cell r="CW52" t="str">
            <v>N.R</v>
          </cell>
          <cell r="CX52">
            <v>0</v>
          </cell>
          <cell r="CY52">
            <v>0</v>
          </cell>
          <cell r="CZ52">
            <v>90</v>
          </cell>
          <cell r="DA52" t="str">
            <v>N.R</v>
          </cell>
          <cell r="DB52">
            <v>0</v>
          </cell>
          <cell r="DC52">
            <v>0</v>
          </cell>
          <cell r="DD52">
            <v>95</v>
          </cell>
          <cell r="DE52" t="str">
            <v>N.R</v>
          </cell>
          <cell r="DF52">
            <v>0</v>
          </cell>
          <cell r="DG52">
            <v>0</v>
          </cell>
          <cell r="DH52">
            <v>81</v>
          </cell>
          <cell r="DI52" t="str">
            <v>N.R</v>
          </cell>
          <cell r="DJ52">
            <v>0</v>
          </cell>
          <cell r="DK52">
            <v>0</v>
          </cell>
          <cell r="DL52">
            <v>95</v>
          </cell>
          <cell r="DM52" t="str">
            <v>N.R</v>
          </cell>
          <cell r="DN52">
            <v>0</v>
          </cell>
          <cell r="DO52">
            <v>0</v>
          </cell>
          <cell r="DP52">
            <v>82</v>
          </cell>
          <cell r="DQ52" t="str">
            <v>N.R</v>
          </cell>
          <cell r="DR52">
            <v>0</v>
          </cell>
          <cell r="DS52">
            <v>0</v>
          </cell>
          <cell r="DT52">
            <v>41</v>
          </cell>
          <cell r="DU52" t="str">
            <v>N.R</v>
          </cell>
          <cell r="DV52">
            <v>0</v>
          </cell>
          <cell r="DW52">
            <v>0</v>
          </cell>
          <cell r="DX52">
            <v>56</v>
          </cell>
          <cell r="DY52" t="str">
            <v>N.R</v>
          </cell>
          <cell r="DZ52">
            <v>0</v>
          </cell>
          <cell r="EA52">
            <v>0</v>
          </cell>
          <cell r="EB52">
            <v>41</v>
          </cell>
          <cell r="EC52" t="str">
            <v>N.R</v>
          </cell>
          <cell r="ED52">
            <v>0</v>
          </cell>
          <cell r="EE52">
            <v>0</v>
          </cell>
          <cell r="EF52">
            <v>81</v>
          </cell>
          <cell r="EG52" t="str">
            <v>N.R</v>
          </cell>
          <cell r="EH52">
            <v>0</v>
          </cell>
          <cell r="EI52">
            <v>0</v>
          </cell>
          <cell r="EJ52">
            <v>41</v>
          </cell>
          <cell r="EK52" t="str">
            <v>N.R</v>
          </cell>
          <cell r="EL52">
            <v>0</v>
          </cell>
          <cell r="EM52">
            <v>0</v>
          </cell>
          <cell r="EN52">
            <v>67</v>
          </cell>
          <cell r="EO52" t="str">
            <v>N.R</v>
          </cell>
          <cell r="EP52">
            <v>0</v>
          </cell>
          <cell r="EQ52">
            <v>0</v>
          </cell>
          <cell r="ER52">
            <v>76</v>
          </cell>
          <cell r="ES52" t="str">
            <v>N.R</v>
          </cell>
        </row>
        <row r="53">
          <cell r="A53">
            <v>0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 t="str">
            <v/>
          </cell>
          <cell r="G53" t="str">
            <v/>
          </cell>
          <cell r="H53" t="str">
            <v/>
          </cell>
          <cell r="I53">
            <v>0</v>
          </cell>
          <cell r="J53">
            <v>0</v>
          </cell>
          <cell r="K53" t="str">
            <v>-</v>
          </cell>
          <cell r="L53" t="str">
            <v/>
          </cell>
          <cell r="M53" t="str">
            <v/>
          </cell>
          <cell r="N53" t="str">
            <v/>
          </cell>
          <cell r="O53">
            <v>0</v>
          </cell>
          <cell r="P53">
            <v>0</v>
          </cell>
          <cell r="Q53" t="str">
            <v>-</v>
          </cell>
          <cell r="R53" t="str">
            <v/>
          </cell>
          <cell r="S53" t="str">
            <v/>
          </cell>
          <cell r="T53" t="str">
            <v/>
          </cell>
          <cell r="U53">
            <v>0</v>
          </cell>
          <cell r="V53">
            <v>0</v>
          </cell>
          <cell r="W53" t="str">
            <v>-</v>
          </cell>
          <cell r="X53" t="str">
            <v/>
          </cell>
          <cell r="Y53" t="str">
            <v/>
          </cell>
          <cell r="Z53" t="str">
            <v/>
          </cell>
          <cell r="AA53">
            <v>0</v>
          </cell>
          <cell r="AB53">
            <v>0</v>
          </cell>
          <cell r="AC53" t="str">
            <v>-</v>
          </cell>
          <cell r="AD53" t="str">
            <v/>
          </cell>
          <cell r="AE53" t="str">
            <v/>
          </cell>
          <cell r="AF53" t="str">
            <v/>
          </cell>
          <cell r="AG53">
            <v>0</v>
          </cell>
          <cell r="AH53">
            <v>0</v>
          </cell>
          <cell r="AI53" t="str">
            <v>-</v>
          </cell>
          <cell r="AJ53" t="str">
            <v/>
          </cell>
          <cell r="AK53" t="str">
            <v/>
          </cell>
          <cell r="AL53" t="str">
            <v/>
          </cell>
          <cell r="AM53">
            <v>0</v>
          </cell>
          <cell r="AN53">
            <v>0</v>
          </cell>
          <cell r="AO53" t="str">
            <v>-</v>
          </cell>
          <cell r="AP53" t="str">
            <v/>
          </cell>
          <cell r="AQ53" t="str">
            <v/>
          </cell>
          <cell r="AR53" t="str">
            <v/>
          </cell>
          <cell r="AS53">
            <v>0</v>
          </cell>
          <cell r="AT53">
            <v>0</v>
          </cell>
          <cell r="AU53" t="str">
            <v>-</v>
          </cell>
          <cell r="AV53" t="str">
            <v/>
          </cell>
          <cell r="AW53" t="str">
            <v/>
          </cell>
          <cell r="AX53" t="str">
            <v/>
          </cell>
          <cell r="AY53">
            <v>0</v>
          </cell>
          <cell r="AZ53">
            <v>0</v>
          </cell>
          <cell r="BA53" t="str">
            <v>-</v>
          </cell>
          <cell r="BB53" t="str">
            <v/>
          </cell>
          <cell r="BC53" t="str">
            <v/>
          </cell>
          <cell r="BD53" t="str">
            <v/>
          </cell>
          <cell r="BE53">
            <v>0</v>
          </cell>
          <cell r="BF53">
            <v>0</v>
          </cell>
          <cell r="BG53" t="str">
            <v>-</v>
          </cell>
          <cell r="BH53" t="str">
            <v/>
          </cell>
          <cell r="BI53" t="str">
            <v/>
          </cell>
          <cell r="BJ53" t="str">
            <v/>
          </cell>
          <cell r="BK53">
            <v>0</v>
          </cell>
          <cell r="BL53">
            <v>0</v>
          </cell>
          <cell r="BM53" t="str">
            <v>-</v>
          </cell>
          <cell r="BN53" t="str">
            <v/>
          </cell>
          <cell r="BO53" t="str">
            <v/>
          </cell>
          <cell r="BP53" t="str">
            <v/>
          </cell>
          <cell r="BQ53">
            <v>0</v>
          </cell>
          <cell r="BR53">
            <v>0</v>
          </cell>
          <cell r="BS53" t="str">
            <v>-</v>
          </cell>
          <cell r="BT53" t="str">
            <v/>
          </cell>
          <cell r="BU53" t="str">
            <v/>
          </cell>
          <cell r="BV53" t="str">
            <v/>
          </cell>
          <cell r="BW53">
            <v>0</v>
          </cell>
          <cell r="BX53">
            <v>0</v>
          </cell>
          <cell r="BY53" t="str">
            <v>-</v>
          </cell>
          <cell r="BZ53" t="str">
            <v/>
          </cell>
          <cell r="CA53" t="str">
            <v/>
          </cell>
          <cell r="CB53" t="str">
            <v/>
          </cell>
          <cell r="CC53">
            <v>0</v>
          </cell>
          <cell r="CD53">
            <v>0</v>
          </cell>
          <cell r="CE53" t="str">
            <v>-</v>
          </cell>
          <cell r="CF53" t="str">
            <v/>
          </cell>
          <cell r="CG53" t="str">
            <v/>
          </cell>
          <cell r="CH53" t="str">
            <v/>
          </cell>
          <cell r="CI53">
            <v>0</v>
          </cell>
          <cell r="CJ53">
            <v>0</v>
          </cell>
          <cell r="CK53" t="str">
            <v>-</v>
          </cell>
          <cell r="CL53">
            <v>0</v>
          </cell>
          <cell r="CM53">
            <v>0</v>
          </cell>
          <cell r="CN53" t="str">
            <v>F9</v>
          </cell>
          <cell r="CO53" t="str">
            <v>N.R</v>
          </cell>
          <cell r="CP53">
            <v>0</v>
          </cell>
          <cell r="CQ53">
            <v>0</v>
          </cell>
          <cell r="CR53">
            <v>88</v>
          </cell>
          <cell r="CS53" t="str">
            <v>N.R</v>
          </cell>
          <cell r="CT53">
            <v>0</v>
          </cell>
          <cell r="CU53">
            <v>0</v>
          </cell>
          <cell r="CV53">
            <v>65</v>
          </cell>
          <cell r="CW53" t="str">
            <v>N.R</v>
          </cell>
          <cell r="CX53">
            <v>0</v>
          </cell>
          <cell r="CY53">
            <v>0</v>
          </cell>
          <cell r="CZ53">
            <v>90</v>
          </cell>
          <cell r="DA53" t="str">
            <v>N.R</v>
          </cell>
          <cell r="DB53">
            <v>0</v>
          </cell>
          <cell r="DC53">
            <v>0</v>
          </cell>
          <cell r="DD53">
            <v>95</v>
          </cell>
          <cell r="DE53" t="str">
            <v>N.R</v>
          </cell>
          <cell r="DF53">
            <v>0</v>
          </cell>
          <cell r="DG53">
            <v>0</v>
          </cell>
          <cell r="DH53">
            <v>81</v>
          </cell>
          <cell r="DI53" t="str">
            <v>N.R</v>
          </cell>
          <cell r="DJ53">
            <v>0</v>
          </cell>
          <cell r="DK53">
            <v>0</v>
          </cell>
          <cell r="DL53">
            <v>95</v>
          </cell>
          <cell r="DM53" t="str">
            <v>N.R</v>
          </cell>
          <cell r="DN53">
            <v>0</v>
          </cell>
          <cell r="DO53">
            <v>0</v>
          </cell>
          <cell r="DP53">
            <v>82</v>
          </cell>
          <cell r="DQ53" t="str">
            <v>N.R</v>
          </cell>
          <cell r="DR53">
            <v>0</v>
          </cell>
          <cell r="DS53">
            <v>0</v>
          </cell>
          <cell r="DT53">
            <v>42</v>
          </cell>
          <cell r="DU53" t="str">
            <v>N.R</v>
          </cell>
          <cell r="DV53">
            <v>0</v>
          </cell>
          <cell r="DW53">
            <v>0</v>
          </cell>
          <cell r="DX53">
            <v>56</v>
          </cell>
          <cell r="DY53" t="str">
            <v>N.R</v>
          </cell>
          <cell r="DZ53">
            <v>0</v>
          </cell>
          <cell r="EA53">
            <v>0</v>
          </cell>
          <cell r="EB53">
            <v>42</v>
          </cell>
          <cell r="EC53" t="str">
            <v>N.R</v>
          </cell>
          <cell r="ED53">
            <v>0</v>
          </cell>
          <cell r="EE53">
            <v>0</v>
          </cell>
          <cell r="EF53">
            <v>81</v>
          </cell>
          <cell r="EG53" t="str">
            <v>N.R</v>
          </cell>
          <cell r="EH53">
            <v>0</v>
          </cell>
          <cell r="EI53">
            <v>0</v>
          </cell>
          <cell r="EJ53">
            <v>42</v>
          </cell>
          <cell r="EK53" t="str">
            <v>N.R</v>
          </cell>
          <cell r="EL53">
            <v>0</v>
          </cell>
          <cell r="EM53">
            <v>0</v>
          </cell>
          <cell r="EN53">
            <v>67</v>
          </cell>
          <cell r="EO53" t="str">
            <v>N.R</v>
          </cell>
          <cell r="EP53">
            <v>0</v>
          </cell>
          <cell r="EQ53">
            <v>0</v>
          </cell>
          <cell r="ER53">
            <v>76</v>
          </cell>
          <cell r="ES53" t="str">
            <v>N.R</v>
          </cell>
        </row>
        <row r="54">
          <cell r="A54">
            <v>0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 t="str">
            <v/>
          </cell>
          <cell r="G54" t="str">
            <v/>
          </cell>
          <cell r="H54" t="str">
            <v/>
          </cell>
          <cell r="I54">
            <v>0</v>
          </cell>
          <cell r="J54">
            <v>0</v>
          </cell>
          <cell r="K54" t="str">
            <v>-</v>
          </cell>
          <cell r="L54" t="str">
            <v/>
          </cell>
          <cell r="M54" t="str">
            <v/>
          </cell>
          <cell r="N54" t="str">
            <v/>
          </cell>
          <cell r="O54">
            <v>0</v>
          </cell>
          <cell r="P54">
            <v>0</v>
          </cell>
          <cell r="Q54" t="str">
            <v>-</v>
          </cell>
          <cell r="R54" t="str">
            <v/>
          </cell>
          <cell r="S54" t="str">
            <v/>
          </cell>
          <cell r="T54" t="str">
            <v/>
          </cell>
          <cell r="U54">
            <v>0</v>
          </cell>
          <cell r="V54">
            <v>0</v>
          </cell>
          <cell r="W54" t="str">
            <v>-</v>
          </cell>
          <cell r="X54" t="str">
            <v/>
          </cell>
          <cell r="Y54" t="str">
            <v/>
          </cell>
          <cell r="Z54" t="str">
            <v/>
          </cell>
          <cell r="AA54">
            <v>0</v>
          </cell>
          <cell r="AB54">
            <v>0</v>
          </cell>
          <cell r="AC54" t="str">
            <v>-</v>
          </cell>
          <cell r="AD54" t="str">
            <v/>
          </cell>
          <cell r="AE54" t="str">
            <v/>
          </cell>
          <cell r="AF54" t="str">
            <v/>
          </cell>
          <cell r="AG54">
            <v>0</v>
          </cell>
          <cell r="AH54">
            <v>0</v>
          </cell>
          <cell r="AI54" t="str">
            <v>-</v>
          </cell>
          <cell r="AJ54" t="str">
            <v/>
          </cell>
          <cell r="AK54" t="str">
            <v/>
          </cell>
          <cell r="AL54" t="str">
            <v/>
          </cell>
          <cell r="AM54">
            <v>0</v>
          </cell>
          <cell r="AN54">
            <v>0</v>
          </cell>
          <cell r="AO54" t="str">
            <v>-</v>
          </cell>
          <cell r="AP54" t="str">
            <v/>
          </cell>
          <cell r="AQ54" t="str">
            <v/>
          </cell>
          <cell r="AR54" t="str">
            <v/>
          </cell>
          <cell r="AS54">
            <v>0</v>
          </cell>
          <cell r="AT54">
            <v>0</v>
          </cell>
          <cell r="AU54" t="str">
            <v>-</v>
          </cell>
          <cell r="AV54" t="str">
            <v/>
          </cell>
          <cell r="AW54" t="str">
            <v/>
          </cell>
          <cell r="AX54" t="str">
            <v/>
          </cell>
          <cell r="AY54">
            <v>0</v>
          </cell>
          <cell r="AZ54">
            <v>0</v>
          </cell>
          <cell r="BA54" t="str">
            <v>-</v>
          </cell>
          <cell r="BB54" t="str">
            <v/>
          </cell>
          <cell r="BC54" t="str">
            <v/>
          </cell>
          <cell r="BD54" t="str">
            <v/>
          </cell>
          <cell r="BE54">
            <v>0</v>
          </cell>
          <cell r="BF54">
            <v>0</v>
          </cell>
          <cell r="BG54" t="str">
            <v>-</v>
          </cell>
          <cell r="BH54" t="str">
            <v/>
          </cell>
          <cell r="BI54" t="str">
            <v/>
          </cell>
          <cell r="BJ54" t="str">
            <v/>
          </cell>
          <cell r="BK54">
            <v>0</v>
          </cell>
          <cell r="BL54">
            <v>0</v>
          </cell>
          <cell r="BM54" t="str">
            <v>-</v>
          </cell>
          <cell r="BN54" t="str">
            <v/>
          </cell>
          <cell r="BO54" t="str">
            <v/>
          </cell>
          <cell r="BP54" t="str">
            <v/>
          </cell>
          <cell r="BQ54">
            <v>0</v>
          </cell>
          <cell r="BR54">
            <v>0</v>
          </cell>
          <cell r="BS54" t="str">
            <v>-</v>
          </cell>
          <cell r="BT54" t="str">
            <v/>
          </cell>
          <cell r="BU54" t="str">
            <v/>
          </cell>
          <cell r="BV54" t="str">
            <v/>
          </cell>
          <cell r="BW54">
            <v>0</v>
          </cell>
          <cell r="BX54">
            <v>0</v>
          </cell>
          <cell r="BY54" t="str">
            <v>-</v>
          </cell>
          <cell r="BZ54" t="str">
            <v/>
          </cell>
          <cell r="CA54" t="str">
            <v/>
          </cell>
          <cell r="CB54" t="str">
            <v/>
          </cell>
          <cell r="CC54">
            <v>0</v>
          </cell>
          <cell r="CD54">
            <v>0</v>
          </cell>
          <cell r="CE54" t="str">
            <v>-</v>
          </cell>
          <cell r="CF54" t="str">
            <v/>
          </cell>
          <cell r="CG54" t="str">
            <v/>
          </cell>
          <cell r="CH54" t="str">
            <v/>
          </cell>
          <cell r="CI54">
            <v>0</v>
          </cell>
          <cell r="CJ54">
            <v>0</v>
          </cell>
          <cell r="CK54" t="str">
            <v>-</v>
          </cell>
          <cell r="CL54">
            <v>0</v>
          </cell>
          <cell r="CM54">
            <v>0</v>
          </cell>
          <cell r="CN54" t="str">
            <v>F9</v>
          </cell>
          <cell r="CO54" t="str">
            <v>N.R</v>
          </cell>
          <cell r="CP54">
            <v>0</v>
          </cell>
          <cell r="CQ54">
            <v>0</v>
          </cell>
          <cell r="CR54">
            <v>88</v>
          </cell>
          <cell r="CS54" t="str">
            <v>N.R</v>
          </cell>
          <cell r="CT54">
            <v>0</v>
          </cell>
          <cell r="CU54">
            <v>0</v>
          </cell>
          <cell r="CV54">
            <v>65</v>
          </cell>
          <cell r="CW54" t="str">
            <v>N.R</v>
          </cell>
          <cell r="CX54">
            <v>0</v>
          </cell>
          <cell r="CY54">
            <v>0</v>
          </cell>
          <cell r="CZ54">
            <v>90</v>
          </cell>
          <cell r="DA54" t="str">
            <v>N.R</v>
          </cell>
          <cell r="DB54">
            <v>0</v>
          </cell>
          <cell r="DC54">
            <v>0</v>
          </cell>
          <cell r="DD54">
            <v>95</v>
          </cell>
          <cell r="DE54" t="str">
            <v>N.R</v>
          </cell>
          <cell r="DF54">
            <v>0</v>
          </cell>
          <cell r="DG54">
            <v>0</v>
          </cell>
          <cell r="DH54">
            <v>81</v>
          </cell>
          <cell r="DI54" t="str">
            <v>N.R</v>
          </cell>
          <cell r="DJ54">
            <v>0</v>
          </cell>
          <cell r="DK54">
            <v>0</v>
          </cell>
          <cell r="DL54">
            <v>95</v>
          </cell>
          <cell r="DM54" t="str">
            <v>N.R</v>
          </cell>
          <cell r="DN54">
            <v>0</v>
          </cell>
          <cell r="DO54">
            <v>0</v>
          </cell>
          <cell r="DP54">
            <v>82</v>
          </cell>
          <cell r="DQ54" t="str">
            <v>N.R</v>
          </cell>
          <cell r="DR54">
            <v>0</v>
          </cell>
          <cell r="DS54">
            <v>0</v>
          </cell>
          <cell r="DT54">
            <v>43</v>
          </cell>
          <cell r="DU54" t="str">
            <v>N.R</v>
          </cell>
          <cell r="DV54">
            <v>0</v>
          </cell>
          <cell r="DW54">
            <v>0</v>
          </cell>
          <cell r="DX54">
            <v>56</v>
          </cell>
          <cell r="DY54" t="str">
            <v>N.R</v>
          </cell>
          <cell r="DZ54">
            <v>0</v>
          </cell>
          <cell r="EA54">
            <v>0</v>
          </cell>
          <cell r="EB54">
            <v>43</v>
          </cell>
          <cell r="EC54" t="str">
            <v>N.R</v>
          </cell>
          <cell r="ED54">
            <v>0</v>
          </cell>
          <cell r="EE54">
            <v>0</v>
          </cell>
          <cell r="EF54">
            <v>81</v>
          </cell>
          <cell r="EG54" t="str">
            <v>N.R</v>
          </cell>
          <cell r="EH54">
            <v>0</v>
          </cell>
          <cell r="EI54">
            <v>0</v>
          </cell>
          <cell r="EJ54">
            <v>43</v>
          </cell>
          <cell r="EK54" t="str">
            <v>N.R</v>
          </cell>
          <cell r="EL54">
            <v>0</v>
          </cell>
          <cell r="EM54">
            <v>0</v>
          </cell>
          <cell r="EN54">
            <v>67</v>
          </cell>
          <cell r="EO54" t="str">
            <v>N.R</v>
          </cell>
          <cell r="EP54">
            <v>0</v>
          </cell>
          <cell r="EQ54">
            <v>0</v>
          </cell>
          <cell r="ER54">
            <v>76</v>
          </cell>
          <cell r="ES54" t="str">
            <v>N.R</v>
          </cell>
        </row>
        <row r="55">
          <cell r="A55">
            <v>0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 t="str">
            <v/>
          </cell>
          <cell r="G55" t="str">
            <v/>
          </cell>
          <cell r="H55" t="str">
            <v/>
          </cell>
          <cell r="I55">
            <v>0</v>
          </cell>
          <cell r="J55">
            <v>0</v>
          </cell>
          <cell r="K55" t="str">
            <v>-</v>
          </cell>
          <cell r="L55" t="str">
            <v/>
          </cell>
          <cell r="M55" t="str">
            <v/>
          </cell>
          <cell r="N55" t="str">
            <v/>
          </cell>
          <cell r="O55">
            <v>0</v>
          </cell>
          <cell r="P55">
            <v>0</v>
          </cell>
          <cell r="Q55" t="str">
            <v>-</v>
          </cell>
          <cell r="R55" t="str">
            <v/>
          </cell>
          <cell r="S55" t="str">
            <v/>
          </cell>
          <cell r="T55" t="str">
            <v/>
          </cell>
          <cell r="U55">
            <v>0</v>
          </cell>
          <cell r="V55">
            <v>0</v>
          </cell>
          <cell r="W55" t="str">
            <v>-</v>
          </cell>
          <cell r="X55" t="str">
            <v/>
          </cell>
          <cell r="Y55" t="str">
            <v/>
          </cell>
          <cell r="Z55" t="str">
            <v/>
          </cell>
          <cell r="AA55">
            <v>0</v>
          </cell>
          <cell r="AB55">
            <v>0</v>
          </cell>
          <cell r="AC55" t="str">
            <v>-</v>
          </cell>
          <cell r="AD55" t="str">
            <v/>
          </cell>
          <cell r="AE55" t="str">
            <v/>
          </cell>
          <cell r="AF55" t="str">
            <v/>
          </cell>
          <cell r="AG55">
            <v>0</v>
          </cell>
          <cell r="AH55">
            <v>0</v>
          </cell>
          <cell r="AI55" t="str">
            <v>-</v>
          </cell>
          <cell r="AJ55" t="str">
            <v/>
          </cell>
          <cell r="AK55" t="str">
            <v/>
          </cell>
          <cell r="AL55" t="str">
            <v/>
          </cell>
          <cell r="AM55">
            <v>0</v>
          </cell>
          <cell r="AN55">
            <v>0</v>
          </cell>
          <cell r="AO55" t="str">
            <v>-</v>
          </cell>
          <cell r="AP55" t="str">
            <v/>
          </cell>
          <cell r="AQ55" t="str">
            <v/>
          </cell>
          <cell r="AR55" t="str">
            <v/>
          </cell>
          <cell r="AS55">
            <v>0</v>
          </cell>
          <cell r="AT55">
            <v>0</v>
          </cell>
          <cell r="AU55" t="str">
            <v>-</v>
          </cell>
          <cell r="AV55" t="str">
            <v/>
          </cell>
          <cell r="AW55" t="str">
            <v/>
          </cell>
          <cell r="AX55" t="str">
            <v/>
          </cell>
          <cell r="AY55">
            <v>0</v>
          </cell>
          <cell r="AZ55">
            <v>0</v>
          </cell>
          <cell r="BA55" t="str">
            <v>-</v>
          </cell>
          <cell r="BB55" t="str">
            <v/>
          </cell>
          <cell r="BC55" t="str">
            <v/>
          </cell>
          <cell r="BD55" t="str">
            <v/>
          </cell>
          <cell r="BE55">
            <v>0</v>
          </cell>
          <cell r="BF55">
            <v>0</v>
          </cell>
          <cell r="BG55" t="str">
            <v>-</v>
          </cell>
          <cell r="BH55" t="str">
            <v/>
          </cell>
          <cell r="BI55" t="str">
            <v/>
          </cell>
          <cell r="BJ55" t="str">
            <v/>
          </cell>
          <cell r="BK55">
            <v>0</v>
          </cell>
          <cell r="BL55">
            <v>0</v>
          </cell>
          <cell r="BM55" t="str">
            <v>-</v>
          </cell>
          <cell r="BN55" t="str">
            <v/>
          </cell>
          <cell r="BO55" t="str">
            <v/>
          </cell>
          <cell r="BP55" t="str">
            <v/>
          </cell>
          <cell r="BQ55">
            <v>0</v>
          </cell>
          <cell r="BR55">
            <v>0</v>
          </cell>
          <cell r="BS55" t="str">
            <v>-</v>
          </cell>
          <cell r="BT55" t="str">
            <v/>
          </cell>
          <cell r="BU55" t="str">
            <v/>
          </cell>
          <cell r="BV55" t="str">
            <v/>
          </cell>
          <cell r="BW55">
            <v>0</v>
          </cell>
          <cell r="BX55">
            <v>0</v>
          </cell>
          <cell r="BY55" t="str">
            <v>-</v>
          </cell>
          <cell r="BZ55" t="str">
            <v/>
          </cell>
          <cell r="CA55" t="str">
            <v/>
          </cell>
          <cell r="CB55" t="str">
            <v/>
          </cell>
          <cell r="CC55">
            <v>0</v>
          </cell>
          <cell r="CD55">
            <v>0</v>
          </cell>
          <cell r="CE55" t="str">
            <v>-</v>
          </cell>
          <cell r="CF55" t="str">
            <v/>
          </cell>
          <cell r="CG55" t="str">
            <v/>
          </cell>
          <cell r="CH55" t="str">
            <v/>
          </cell>
          <cell r="CI55">
            <v>0</v>
          </cell>
          <cell r="CJ55">
            <v>0</v>
          </cell>
          <cell r="CK55" t="str">
            <v>-</v>
          </cell>
          <cell r="CL55">
            <v>0</v>
          </cell>
          <cell r="CM55">
            <v>0</v>
          </cell>
          <cell r="CN55" t="str">
            <v>F9</v>
          </cell>
          <cell r="CO55" t="str">
            <v>N.R</v>
          </cell>
          <cell r="CP55">
            <v>0</v>
          </cell>
          <cell r="CQ55">
            <v>0</v>
          </cell>
          <cell r="CR55">
            <v>88</v>
          </cell>
          <cell r="CS55" t="str">
            <v>N.R</v>
          </cell>
          <cell r="CT55">
            <v>0</v>
          </cell>
          <cell r="CU55">
            <v>0</v>
          </cell>
          <cell r="CV55">
            <v>65</v>
          </cell>
          <cell r="CW55" t="str">
            <v>N.R</v>
          </cell>
          <cell r="CX55">
            <v>0</v>
          </cell>
          <cell r="CY55">
            <v>0</v>
          </cell>
          <cell r="CZ55">
            <v>90</v>
          </cell>
          <cell r="DA55" t="str">
            <v>N.R</v>
          </cell>
          <cell r="DB55">
            <v>0</v>
          </cell>
          <cell r="DC55">
            <v>0</v>
          </cell>
          <cell r="DD55">
            <v>95</v>
          </cell>
          <cell r="DE55" t="str">
            <v>N.R</v>
          </cell>
          <cell r="DF55">
            <v>0</v>
          </cell>
          <cell r="DG55">
            <v>0</v>
          </cell>
          <cell r="DH55">
            <v>81</v>
          </cell>
          <cell r="DI55" t="str">
            <v>N.R</v>
          </cell>
          <cell r="DJ55">
            <v>0</v>
          </cell>
          <cell r="DK55">
            <v>0</v>
          </cell>
          <cell r="DL55">
            <v>95</v>
          </cell>
          <cell r="DM55" t="str">
            <v>N.R</v>
          </cell>
          <cell r="DN55">
            <v>0</v>
          </cell>
          <cell r="DO55">
            <v>0</v>
          </cell>
          <cell r="DP55">
            <v>82</v>
          </cell>
          <cell r="DQ55" t="str">
            <v>N.R</v>
          </cell>
          <cell r="DR55">
            <v>0</v>
          </cell>
          <cell r="DS55">
            <v>0</v>
          </cell>
          <cell r="DT55">
            <v>44</v>
          </cell>
          <cell r="DU55" t="str">
            <v>N.R</v>
          </cell>
          <cell r="DV55">
            <v>0</v>
          </cell>
          <cell r="DW55">
            <v>0</v>
          </cell>
          <cell r="DX55">
            <v>56</v>
          </cell>
          <cell r="DY55" t="str">
            <v>N.R</v>
          </cell>
          <cell r="DZ55">
            <v>0</v>
          </cell>
          <cell r="EA55">
            <v>0</v>
          </cell>
          <cell r="EB55">
            <v>44</v>
          </cell>
          <cell r="EC55" t="str">
            <v>N.R</v>
          </cell>
          <cell r="ED55">
            <v>0</v>
          </cell>
          <cell r="EE55">
            <v>0</v>
          </cell>
          <cell r="EF55">
            <v>81</v>
          </cell>
          <cell r="EG55" t="str">
            <v>N.R</v>
          </cell>
          <cell r="EH55">
            <v>0</v>
          </cell>
          <cell r="EI55">
            <v>0</v>
          </cell>
          <cell r="EJ55">
            <v>44</v>
          </cell>
          <cell r="EK55" t="str">
            <v>N.R</v>
          </cell>
          <cell r="EL55">
            <v>0</v>
          </cell>
          <cell r="EM55">
            <v>0</v>
          </cell>
          <cell r="EN55">
            <v>67</v>
          </cell>
          <cell r="EO55" t="str">
            <v>N.R</v>
          </cell>
          <cell r="EP55">
            <v>0</v>
          </cell>
          <cell r="EQ55">
            <v>0</v>
          </cell>
          <cell r="ER55">
            <v>76</v>
          </cell>
          <cell r="ES55" t="str">
            <v>N.R</v>
          </cell>
        </row>
        <row r="56">
          <cell r="A56">
            <v>0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 t="str">
            <v/>
          </cell>
          <cell r="G56" t="str">
            <v/>
          </cell>
          <cell r="H56" t="str">
            <v/>
          </cell>
          <cell r="I56">
            <v>0</v>
          </cell>
          <cell r="J56">
            <v>0</v>
          </cell>
          <cell r="K56" t="str">
            <v>-</v>
          </cell>
          <cell r="L56" t="str">
            <v/>
          </cell>
          <cell r="M56" t="str">
            <v/>
          </cell>
          <cell r="N56" t="str">
            <v/>
          </cell>
          <cell r="O56">
            <v>0</v>
          </cell>
          <cell r="P56">
            <v>0</v>
          </cell>
          <cell r="Q56" t="str">
            <v>-</v>
          </cell>
          <cell r="R56" t="str">
            <v/>
          </cell>
          <cell r="S56" t="str">
            <v/>
          </cell>
          <cell r="T56" t="str">
            <v/>
          </cell>
          <cell r="U56">
            <v>0</v>
          </cell>
          <cell r="V56">
            <v>0</v>
          </cell>
          <cell r="W56" t="str">
            <v>-</v>
          </cell>
          <cell r="X56" t="str">
            <v/>
          </cell>
          <cell r="Y56" t="str">
            <v/>
          </cell>
          <cell r="Z56" t="str">
            <v/>
          </cell>
          <cell r="AA56">
            <v>0</v>
          </cell>
          <cell r="AB56">
            <v>0</v>
          </cell>
          <cell r="AC56" t="str">
            <v>-</v>
          </cell>
          <cell r="AD56" t="str">
            <v/>
          </cell>
          <cell r="AE56" t="str">
            <v/>
          </cell>
          <cell r="AF56" t="str">
            <v/>
          </cell>
          <cell r="AG56">
            <v>0</v>
          </cell>
          <cell r="AH56">
            <v>0</v>
          </cell>
          <cell r="AI56" t="str">
            <v>-</v>
          </cell>
          <cell r="AJ56" t="str">
            <v/>
          </cell>
          <cell r="AK56" t="str">
            <v/>
          </cell>
          <cell r="AL56" t="str">
            <v/>
          </cell>
          <cell r="AM56">
            <v>0</v>
          </cell>
          <cell r="AN56">
            <v>0</v>
          </cell>
          <cell r="AO56" t="str">
            <v>-</v>
          </cell>
          <cell r="AP56" t="str">
            <v/>
          </cell>
          <cell r="AQ56" t="str">
            <v/>
          </cell>
          <cell r="AR56" t="str">
            <v/>
          </cell>
          <cell r="AS56">
            <v>0</v>
          </cell>
          <cell r="AT56">
            <v>0</v>
          </cell>
          <cell r="AU56" t="str">
            <v>-</v>
          </cell>
          <cell r="AV56" t="str">
            <v/>
          </cell>
          <cell r="AW56" t="str">
            <v/>
          </cell>
          <cell r="AX56" t="str">
            <v/>
          </cell>
          <cell r="AY56">
            <v>0</v>
          </cell>
          <cell r="AZ56">
            <v>0</v>
          </cell>
          <cell r="BA56" t="str">
            <v>-</v>
          </cell>
          <cell r="BB56" t="str">
            <v/>
          </cell>
          <cell r="BC56" t="str">
            <v/>
          </cell>
          <cell r="BD56" t="str">
            <v/>
          </cell>
          <cell r="BE56">
            <v>0</v>
          </cell>
          <cell r="BF56">
            <v>0</v>
          </cell>
          <cell r="BG56" t="str">
            <v>-</v>
          </cell>
          <cell r="BH56" t="str">
            <v/>
          </cell>
          <cell r="BI56" t="str">
            <v/>
          </cell>
          <cell r="BJ56" t="str">
            <v/>
          </cell>
          <cell r="BK56">
            <v>0</v>
          </cell>
          <cell r="BL56">
            <v>0</v>
          </cell>
          <cell r="BM56" t="str">
            <v>-</v>
          </cell>
          <cell r="BN56" t="str">
            <v/>
          </cell>
          <cell r="BO56" t="str">
            <v/>
          </cell>
          <cell r="BP56" t="str">
            <v/>
          </cell>
          <cell r="BQ56">
            <v>0</v>
          </cell>
          <cell r="BR56">
            <v>0</v>
          </cell>
          <cell r="BS56" t="str">
            <v>-</v>
          </cell>
          <cell r="BT56" t="str">
            <v/>
          </cell>
          <cell r="BU56" t="str">
            <v/>
          </cell>
          <cell r="BV56" t="str">
            <v/>
          </cell>
          <cell r="BW56">
            <v>0</v>
          </cell>
          <cell r="BX56">
            <v>0</v>
          </cell>
          <cell r="BY56" t="str">
            <v>-</v>
          </cell>
          <cell r="BZ56" t="str">
            <v/>
          </cell>
          <cell r="CA56" t="str">
            <v/>
          </cell>
          <cell r="CB56" t="str">
            <v/>
          </cell>
          <cell r="CC56">
            <v>0</v>
          </cell>
          <cell r="CD56">
            <v>0</v>
          </cell>
          <cell r="CE56" t="str">
            <v>-</v>
          </cell>
          <cell r="CF56" t="str">
            <v/>
          </cell>
          <cell r="CG56" t="str">
            <v/>
          </cell>
          <cell r="CH56" t="str">
            <v/>
          </cell>
          <cell r="CI56">
            <v>0</v>
          </cell>
          <cell r="CJ56">
            <v>0</v>
          </cell>
          <cell r="CK56" t="str">
            <v>-</v>
          </cell>
          <cell r="CL56">
            <v>0</v>
          </cell>
          <cell r="CM56">
            <v>0</v>
          </cell>
          <cell r="CN56" t="str">
            <v>F9</v>
          </cell>
          <cell r="CO56" t="str">
            <v>N.R</v>
          </cell>
          <cell r="CP56">
            <v>0</v>
          </cell>
          <cell r="CQ56">
            <v>0</v>
          </cell>
          <cell r="CR56">
            <v>88</v>
          </cell>
          <cell r="CS56" t="str">
            <v>N.R</v>
          </cell>
          <cell r="CT56">
            <v>0</v>
          </cell>
          <cell r="CU56">
            <v>0</v>
          </cell>
          <cell r="CV56">
            <v>65</v>
          </cell>
          <cell r="CW56" t="str">
            <v>N.R</v>
          </cell>
          <cell r="CX56">
            <v>0</v>
          </cell>
          <cell r="CY56">
            <v>0</v>
          </cell>
          <cell r="CZ56">
            <v>90</v>
          </cell>
          <cell r="DA56" t="str">
            <v>N.R</v>
          </cell>
          <cell r="DB56">
            <v>0</v>
          </cell>
          <cell r="DC56">
            <v>0</v>
          </cell>
          <cell r="DD56">
            <v>95</v>
          </cell>
          <cell r="DE56" t="str">
            <v>N.R</v>
          </cell>
          <cell r="DF56">
            <v>0</v>
          </cell>
          <cell r="DG56">
            <v>0</v>
          </cell>
          <cell r="DH56">
            <v>81</v>
          </cell>
          <cell r="DI56" t="str">
            <v>N.R</v>
          </cell>
          <cell r="DJ56">
            <v>0</v>
          </cell>
          <cell r="DK56">
            <v>0</v>
          </cell>
          <cell r="DL56">
            <v>95</v>
          </cell>
          <cell r="DM56" t="str">
            <v>N.R</v>
          </cell>
          <cell r="DN56">
            <v>0</v>
          </cell>
          <cell r="DO56">
            <v>0</v>
          </cell>
          <cell r="DP56">
            <v>82</v>
          </cell>
          <cell r="DQ56" t="str">
            <v>N.R</v>
          </cell>
          <cell r="DR56">
            <v>0</v>
          </cell>
          <cell r="DS56">
            <v>0</v>
          </cell>
          <cell r="DT56">
            <v>45</v>
          </cell>
          <cell r="DU56" t="str">
            <v>N.R</v>
          </cell>
          <cell r="DV56">
            <v>0</v>
          </cell>
          <cell r="DW56">
            <v>0</v>
          </cell>
          <cell r="DX56">
            <v>56</v>
          </cell>
          <cell r="DY56" t="str">
            <v>N.R</v>
          </cell>
          <cell r="DZ56">
            <v>0</v>
          </cell>
          <cell r="EA56">
            <v>0</v>
          </cell>
          <cell r="EB56">
            <v>45</v>
          </cell>
          <cell r="EC56" t="str">
            <v>N.R</v>
          </cell>
          <cell r="ED56">
            <v>0</v>
          </cell>
          <cell r="EE56">
            <v>0</v>
          </cell>
          <cell r="EF56">
            <v>81</v>
          </cell>
          <cell r="EG56" t="str">
            <v>N.R</v>
          </cell>
          <cell r="EH56">
            <v>0</v>
          </cell>
          <cell r="EI56">
            <v>0</v>
          </cell>
          <cell r="EJ56">
            <v>45</v>
          </cell>
          <cell r="EK56" t="str">
            <v>N.R</v>
          </cell>
          <cell r="EL56">
            <v>0</v>
          </cell>
          <cell r="EM56">
            <v>0</v>
          </cell>
          <cell r="EN56">
            <v>67</v>
          </cell>
          <cell r="EO56" t="str">
            <v>N.R</v>
          </cell>
          <cell r="EP56">
            <v>0</v>
          </cell>
          <cell r="EQ56">
            <v>0</v>
          </cell>
          <cell r="ER56">
            <v>76</v>
          </cell>
          <cell r="ES56" t="str">
            <v>N.R</v>
          </cell>
        </row>
        <row r="57">
          <cell r="A57">
            <v>0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 t="str">
            <v/>
          </cell>
          <cell r="G57" t="str">
            <v/>
          </cell>
          <cell r="H57" t="str">
            <v/>
          </cell>
          <cell r="I57">
            <v>0</v>
          </cell>
          <cell r="J57">
            <v>0</v>
          </cell>
          <cell r="K57" t="str">
            <v>-</v>
          </cell>
          <cell r="L57" t="str">
            <v/>
          </cell>
          <cell r="M57" t="str">
            <v/>
          </cell>
          <cell r="N57" t="str">
            <v/>
          </cell>
          <cell r="O57">
            <v>0</v>
          </cell>
          <cell r="P57">
            <v>0</v>
          </cell>
          <cell r="Q57" t="str">
            <v>-</v>
          </cell>
          <cell r="R57" t="str">
            <v/>
          </cell>
          <cell r="S57" t="str">
            <v/>
          </cell>
          <cell r="T57" t="str">
            <v/>
          </cell>
          <cell r="U57">
            <v>0</v>
          </cell>
          <cell r="V57">
            <v>0</v>
          </cell>
          <cell r="W57" t="str">
            <v>-</v>
          </cell>
          <cell r="X57" t="str">
            <v/>
          </cell>
          <cell r="Y57" t="str">
            <v/>
          </cell>
          <cell r="Z57" t="str">
            <v/>
          </cell>
          <cell r="AA57">
            <v>0</v>
          </cell>
          <cell r="AB57">
            <v>0</v>
          </cell>
          <cell r="AC57" t="str">
            <v>-</v>
          </cell>
          <cell r="AD57" t="str">
            <v/>
          </cell>
          <cell r="AE57" t="str">
            <v/>
          </cell>
          <cell r="AF57" t="str">
            <v/>
          </cell>
          <cell r="AG57">
            <v>0</v>
          </cell>
          <cell r="AH57">
            <v>0</v>
          </cell>
          <cell r="AI57" t="str">
            <v>-</v>
          </cell>
          <cell r="AJ57" t="str">
            <v/>
          </cell>
          <cell r="AK57" t="str">
            <v/>
          </cell>
          <cell r="AL57" t="str">
            <v/>
          </cell>
          <cell r="AM57">
            <v>0</v>
          </cell>
          <cell r="AN57">
            <v>0</v>
          </cell>
          <cell r="AO57" t="str">
            <v>-</v>
          </cell>
          <cell r="AP57" t="str">
            <v/>
          </cell>
          <cell r="AQ57" t="str">
            <v/>
          </cell>
          <cell r="AR57" t="str">
            <v/>
          </cell>
          <cell r="AS57">
            <v>0</v>
          </cell>
          <cell r="AT57">
            <v>0</v>
          </cell>
          <cell r="AU57" t="str">
            <v>-</v>
          </cell>
          <cell r="AV57" t="str">
            <v/>
          </cell>
          <cell r="AW57" t="str">
            <v/>
          </cell>
          <cell r="AX57" t="str">
            <v/>
          </cell>
          <cell r="AY57">
            <v>0</v>
          </cell>
          <cell r="AZ57">
            <v>0</v>
          </cell>
          <cell r="BA57" t="str">
            <v>-</v>
          </cell>
          <cell r="BB57" t="str">
            <v/>
          </cell>
          <cell r="BC57" t="str">
            <v/>
          </cell>
          <cell r="BD57" t="str">
            <v/>
          </cell>
          <cell r="BE57">
            <v>0</v>
          </cell>
          <cell r="BF57">
            <v>0</v>
          </cell>
          <cell r="BG57" t="str">
            <v>-</v>
          </cell>
          <cell r="BH57" t="str">
            <v/>
          </cell>
          <cell r="BI57" t="str">
            <v/>
          </cell>
          <cell r="BJ57" t="str">
            <v/>
          </cell>
          <cell r="BK57">
            <v>0</v>
          </cell>
          <cell r="BL57">
            <v>0</v>
          </cell>
          <cell r="BM57" t="str">
            <v>-</v>
          </cell>
          <cell r="BN57" t="str">
            <v/>
          </cell>
          <cell r="BO57" t="str">
            <v/>
          </cell>
          <cell r="BP57" t="str">
            <v/>
          </cell>
          <cell r="BQ57">
            <v>0</v>
          </cell>
          <cell r="BR57">
            <v>0</v>
          </cell>
          <cell r="BS57" t="str">
            <v>-</v>
          </cell>
          <cell r="BT57" t="str">
            <v/>
          </cell>
          <cell r="BU57" t="str">
            <v/>
          </cell>
          <cell r="BV57" t="str">
            <v/>
          </cell>
          <cell r="BW57">
            <v>0</v>
          </cell>
          <cell r="BX57">
            <v>0</v>
          </cell>
          <cell r="BY57" t="str">
            <v>-</v>
          </cell>
          <cell r="BZ57" t="str">
            <v/>
          </cell>
          <cell r="CA57" t="str">
            <v/>
          </cell>
          <cell r="CB57" t="str">
            <v/>
          </cell>
          <cell r="CC57">
            <v>0</v>
          </cell>
          <cell r="CD57">
            <v>0</v>
          </cell>
          <cell r="CE57" t="str">
            <v>-</v>
          </cell>
          <cell r="CF57" t="str">
            <v/>
          </cell>
          <cell r="CG57" t="str">
            <v/>
          </cell>
          <cell r="CH57" t="str">
            <v/>
          </cell>
          <cell r="CI57">
            <v>0</v>
          </cell>
          <cell r="CJ57">
            <v>0</v>
          </cell>
          <cell r="CK57" t="str">
            <v>-</v>
          </cell>
          <cell r="CL57">
            <v>0</v>
          </cell>
          <cell r="CM57">
            <v>0</v>
          </cell>
          <cell r="CN57" t="str">
            <v>F9</v>
          </cell>
          <cell r="CO57" t="str">
            <v>N.R</v>
          </cell>
          <cell r="CP57">
            <v>0</v>
          </cell>
          <cell r="CQ57">
            <v>0</v>
          </cell>
          <cell r="CR57">
            <v>88</v>
          </cell>
          <cell r="CS57" t="str">
            <v>N.R</v>
          </cell>
          <cell r="CT57">
            <v>0</v>
          </cell>
          <cell r="CU57">
            <v>0</v>
          </cell>
          <cell r="CV57">
            <v>65</v>
          </cell>
          <cell r="CW57" t="str">
            <v>N.R</v>
          </cell>
          <cell r="CX57">
            <v>0</v>
          </cell>
          <cell r="CY57">
            <v>0</v>
          </cell>
          <cell r="CZ57">
            <v>90</v>
          </cell>
          <cell r="DA57" t="str">
            <v>N.R</v>
          </cell>
          <cell r="DB57">
            <v>0</v>
          </cell>
          <cell r="DC57">
            <v>0</v>
          </cell>
          <cell r="DD57">
            <v>95</v>
          </cell>
          <cell r="DE57" t="str">
            <v>N.R</v>
          </cell>
          <cell r="DF57">
            <v>0</v>
          </cell>
          <cell r="DG57">
            <v>0</v>
          </cell>
          <cell r="DH57">
            <v>81</v>
          </cell>
          <cell r="DI57" t="str">
            <v>N.R</v>
          </cell>
          <cell r="DJ57">
            <v>0</v>
          </cell>
          <cell r="DK57">
            <v>0</v>
          </cell>
          <cell r="DL57">
            <v>95</v>
          </cell>
          <cell r="DM57" t="str">
            <v>N.R</v>
          </cell>
          <cell r="DN57">
            <v>0</v>
          </cell>
          <cell r="DO57">
            <v>0</v>
          </cell>
          <cell r="DP57">
            <v>82</v>
          </cell>
          <cell r="DQ57" t="str">
            <v>N.R</v>
          </cell>
          <cell r="DR57">
            <v>0</v>
          </cell>
          <cell r="DS57">
            <v>0</v>
          </cell>
          <cell r="DT57">
            <v>46</v>
          </cell>
          <cell r="DU57" t="str">
            <v>N.R</v>
          </cell>
          <cell r="DV57">
            <v>0</v>
          </cell>
          <cell r="DW57">
            <v>0</v>
          </cell>
          <cell r="DX57">
            <v>56</v>
          </cell>
          <cell r="DY57" t="str">
            <v>N.R</v>
          </cell>
          <cell r="DZ57">
            <v>0</v>
          </cell>
          <cell r="EA57">
            <v>0</v>
          </cell>
          <cell r="EB57">
            <v>46</v>
          </cell>
          <cell r="EC57" t="str">
            <v>N.R</v>
          </cell>
          <cell r="ED57">
            <v>0</v>
          </cell>
          <cell r="EE57">
            <v>0</v>
          </cell>
          <cell r="EF57">
            <v>81</v>
          </cell>
          <cell r="EG57" t="str">
            <v>N.R</v>
          </cell>
          <cell r="EH57">
            <v>0</v>
          </cell>
          <cell r="EI57">
            <v>0</v>
          </cell>
          <cell r="EJ57">
            <v>46</v>
          </cell>
          <cell r="EK57" t="str">
            <v>N.R</v>
          </cell>
          <cell r="EL57">
            <v>0</v>
          </cell>
          <cell r="EM57">
            <v>0</v>
          </cell>
          <cell r="EN57">
            <v>67</v>
          </cell>
          <cell r="EO57" t="str">
            <v>N.R</v>
          </cell>
          <cell r="EP57">
            <v>0</v>
          </cell>
          <cell r="EQ57">
            <v>0</v>
          </cell>
          <cell r="ER57">
            <v>76</v>
          </cell>
          <cell r="ES57" t="str">
            <v>N.R</v>
          </cell>
        </row>
        <row r="58">
          <cell r="A58" t="str">
            <v>Total</v>
          </cell>
          <cell r="B58"/>
          <cell r="C58"/>
          <cell r="D58"/>
          <cell r="E58"/>
          <cell r="F58"/>
          <cell r="G58"/>
          <cell r="H58"/>
          <cell r="I58"/>
          <cell r="J58"/>
          <cell r="K58"/>
          <cell r="L58"/>
          <cell r="M58"/>
          <cell r="N58"/>
          <cell r="O58"/>
          <cell r="P58"/>
          <cell r="Q58"/>
          <cell r="R58"/>
          <cell r="S58"/>
          <cell r="T58"/>
          <cell r="U58"/>
          <cell r="V58"/>
          <cell r="W58"/>
          <cell r="X58"/>
          <cell r="Y58"/>
          <cell r="Z58"/>
          <cell r="AA58"/>
          <cell r="AB58"/>
          <cell r="AC58"/>
          <cell r="AD58"/>
          <cell r="AE58"/>
          <cell r="AF58"/>
          <cell r="AG58"/>
          <cell r="AH58"/>
          <cell r="AI58"/>
          <cell r="AJ58"/>
          <cell r="AK58"/>
          <cell r="AL58"/>
          <cell r="AM58"/>
          <cell r="AN58"/>
          <cell r="AO58"/>
          <cell r="AP58"/>
          <cell r="AQ58"/>
          <cell r="AR58"/>
          <cell r="AS58"/>
          <cell r="AT58"/>
          <cell r="AU58"/>
          <cell r="AV58"/>
          <cell r="AW58"/>
          <cell r="AX58"/>
          <cell r="AY58"/>
          <cell r="AZ58"/>
          <cell r="BA58"/>
          <cell r="BB58"/>
          <cell r="BC58"/>
          <cell r="BD58"/>
          <cell r="BE58"/>
          <cell r="BF58"/>
          <cell r="BG58"/>
          <cell r="BH58"/>
          <cell r="BI58"/>
          <cell r="BJ58"/>
          <cell r="BK58"/>
          <cell r="BL58"/>
          <cell r="BM58"/>
          <cell r="BN58"/>
          <cell r="BO58"/>
          <cell r="BP58"/>
          <cell r="BQ58"/>
          <cell r="BR58"/>
          <cell r="BS58"/>
          <cell r="BT58"/>
          <cell r="BU58"/>
          <cell r="BV58"/>
          <cell r="BW58"/>
          <cell r="BX58"/>
          <cell r="BY58"/>
          <cell r="BZ58"/>
          <cell r="CA58"/>
          <cell r="CB58"/>
          <cell r="CC58"/>
          <cell r="CD58"/>
          <cell r="CE58"/>
          <cell r="CF58"/>
          <cell r="CG58"/>
          <cell r="CH58"/>
          <cell r="CI58"/>
          <cell r="CJ58"/>
          <cell r="CK58"/>
          <cell r="CL58"/>
          <cell r="CM58"/>
          <cell r="CN58"/>
          <cell r="CO58"/>
          <cell r="CP58"/>
          <cell r="CQ58"/>
          <cell r="CR58"/>
          <cell r="CS58"/>
          <cell r="CT58"/>
          <cell r="CU58"/>
          <cell r="CV58"/>
          <cell r="CW58"/>
          <cell r="CX58"/>
          <cell r="CY58"/>
          <cell r="CZ58"/>
          <cell r="DA58"/>
          <cell r="DB58"/>
          <cell r="DC58"/>
          <cell r="DD58"/>
          <cell r="DE58"/>
          <cell r="DF58"/>
          <cell r="DG58"/>
          <cell r="DH58"/>
          <cell r="DI58"/>
          <cell r="DJ58"/>
          <cell r="DK58"/>
          <cell r="DL58"/>
          <cell r="DM58"/>
          <cell r="DN58"/>
          <cell r="DO58"/>
          <cell r="DP58"/>
          <cell r="DQ58"/>
          <cell r="DR58"/>
          <cell r="DS58"/>
          <cell r="DT58"/>
          <cell r="DU58"/>
          <cell r="DV58"/>
          <cell r="DW58"/>
          <cell r="DX58"/>
          <cell r="DY58"/>
          <cell r="DZ58"/>
          <cell r="EA58"/>
          <cell r="EB58"/>
          <cell r="EC58"/>
          <cell r="ED58"/>
          <cell r="EE58"/>
          <cell r="EF58"/>
          <cell r="EG58"/>
          <cell r="EH58"/>
          <cell r="EI58"/>
          <cell r="EJ58"/>
          <cell r="EK58"/>
          <cell r="EL58"/>
          <cell r="EM58"/>
          <cell r="EN58"/>
          <cell r="EO58"/>
          <cell r="EP58"/>
          <cell r="EQ58"/>
          <cell r="ER58"/>
          <cell r="ES58">
            <v>47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c Data Entry Sheet"/>
      <sheetName val="Marksheet"/>
      <sheetName val="student sheet"/>
      <sheetName val="student detail"/>
      <sheetName val="Sheet1"/>
      <sheetName val="Basic Data EntrSheet"/>
    </sheetNames>
    <sheetDataSet>
      <sheetData sheetId="0"/>
      <sheetData sheetId="1"/>
      <sheetData sheetId="2">
        <row r="1">
          <cell r="C1" t="str">
            <v>ENGLISH LANG.</v>
          </cell>
          <cell r="G1" t="str">
            <v xml:space="preserve">MATHEMATICS </v>
          </cell>
          <cell r="K1" t="str">
            <v>CIVIC EDUCATION</v>
          </cell>
          <cell r="O1" t="str">
            <v>HISTORY</v>
          </cell>
          <cell r="S1" t="str">
            <v>LITERATURE</v>
          </cell>
          <cell r="W1" t="str">
            <v>GOVERNMENT</v>
          </cell>
          <cell r="AA1" t="str">
            <v>CRS</v>
          </cell>
          <cell r="AE1" t="str">
            <v>ECONOMICS</v>
          </cell>
          <cell r="AI1" t="str">
            <v>BIOLOGY</v>
          </cell>
          <cell r="AM1" t="str">
            <v>MARKETING</v>
          </cell>
          <cell r="AQ1" t="str">
            <v>ANIMAL HUS.</v>
          </cell>
          <cell r="AU1" t="str">
            <v>IGBO LANG.</v>
          </cell>
          <cell r="AY1" t="str">
            <v>COMPUTER SC</v>
          </cell>
          <cell r="BC1" t="str">
            <v>AGRICULTURAL SC</v>
          </cell>
        </row>
      </sheetData>
      <sheetData sheetId="3"/>
      <sheetData sheetId="4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c Data Entry Sheet (2)"/>
      <sheetName val="Basic Data Entry Sheet"/>
      <sheetName val="Marksheet"/>
      <sheetName val="student sheet"/>
      <sheetName val="student sheet T1"/>
      <sheetName val="Marksheet T1"/>
      <sheetName val="student sheet T2"/>
      <sheetName val="Basic Data Entry Sheet T2"/>
      <sheetName val="Marksheet T2"/>
      <sheetName val="POSITION"/>
      <sheetName val="Basic Data Entry Sheet T1"/>
      <sheetName val="student details"/>
      <sheetName val="Sheet1"/>
      <sheetName val="Sheet3"/>
    </sheetNames>
    <sheetDataSet>
      <sheetData sheetId="0"/>
      <sheetData sheetId="1">
        <row r="18">
          <cell r="G18">
            <v>80</v>
          </cell>
        </row>
        <row r="19">
          <cell r="G19">
            <v>70</v>
          </cell>
        </row>
        <row r="20">
          <cell r="G20">
            <v>60</v>
          </cell>
        </row>
        <row r="21">
          <cell r="G21">
            <v>50</v>
          </cell>
        </row>
        <row r="22">
          <cell r="G22">
            <v>45</v>
          </cell>
        </row>
        <row r="23">
          <cell r="G23">
            <v>40</v>
          </cell>
        </row>
        <row r="24">
          <cell r="G24">
            <v>35</v>
          </cell>
        </row>
        <row r="25">
          <cell r="G25"/>
        </row>
      </sheetData>
      <sheetData sheetId="2">
        <row r="8">
          <cell r="A8" t="str">
            <v>Roll No.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blipFill>
          <a:blip xmlns:r="http://schemas.openxmlformats.org/officeDocument/2006/relationships" r:embed="rId1" cstate="print"/>
          <a:stretch>
            <a:fillRect/>
          </a:stretch>
        </a:blipFill>
        <a:ln w="34925">
          <a:noFill/>
        </a:ln>
        <a:effectLst>
          <a:outerShdw blurRad="107950" dist="12700" dir="5400000" algn="ctr">
            <a:srgbClr val="000000"/>
          </a:outerShdw>
        </a:effectLst>
      </a:spPr>
      <a:bodyPr rot="0" spcFirstLastPara="0" vert="horz" wrap="square" lIns="91440" tIns="45720" rIns="91440" bIns="45720" numCol="1" spcCol="0" rtlCol="0" fromWordArt="0" anchor="ctr" anchorCtr="0" forceAA="0" compatLnSpc="1">
        <a:noAutofit/>
      </a:bodyPr>
      <a:lstStyle>
        <a:defPPr>
          <a:defRPr/>
        </a:defPPr>
      </a:lstStyle>
      <a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/>
    <pageSetUpPr fitToPage="1"/>
  </sheetPr>
  <dimension ref="A1:AT74"/>
  <sheetViews>
    <sheetView tabSelected="1" topLeftCell="A19" zoomScaleNormal="100" workbookViewId="0">
      <selection activeCell="X31" sqref="X31:AA31"/>
    </sheetView>
  </sheetViews>
  <sheetFormatPr defaultColWidth="2.7109375" defaultRowHeight="15"/>
  <cols>
    <col min="1" max="1" width="4" customWidth="1"/>
    <col min="3" max="3" width="2.85546875" customWidth="1"/>
    <col min="8" max="8" width="3.85546875" customWidth="1"/>
    <col min="9" max="9" width="4.5703125" customWidth="1"/>
    <col min="10" max="10" width="4" customWidth="1"/>
    <col min="11" max="11" width="4.140625" customWidth="1"/>
    <col min="13" max="13" width="3.5703125" customWidth="1"/>
    <col min="14" max="15" width="4.42578125" customWidth="1"/>
    <col min="17" max="17" width="5" customWidth="1"/>
    <col min="18" max="18" width="2.7109375" customWidth="1"/>
    <col min="19" max="19" width="4.140625" customWidth="1"/>
    <col min="20" max="20" width="3.5703125" customWidth="1"/>
    <col min="21" max="21" width="4.140625" customWidth="1"/>
    <col min="22" max="22" width="3.5703125" customWidth="1"/>
    <col min="23" max="23" width="5.28515625" customWidth="1"/>
    <col min="26" max="26" width="9.42578125" customWidth="1"/>
    <col min="28" max="28" width="3.85546875" customWidth="1"/>
    <col min="29" max="29" width="3.28515625" customWidth="1"/>
    <col min="30" max="30" width="4.28515625" bestFit="1" customWidth="1"/>
    <col min="34" max="37" width="2.85546875" customWidth="1"/>
    <col min="43" max="43" width="10.42578125" customWidth="1"/>
    <col min="44" max="44" width="3.42578125" customWidth="1"/>
    <col min="45" max="45" width="4.5703125" customWidth="1"/>
    <col min="46" max="46" width="6.7109375" hidden="1" customWidth="1"/>
    <col min="47" max="47" width="4.140625" customWidth="1"/>
  </cols>
  <sheetData>
    <row r="1" spans="1:42">
      <c r="E1" s="58" t="s">
        <v>75</v>
      </c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  <c r="AJ1" s="58"/>
      <c r="AK1" s="58"/>
      <c r="AL1" s="58"/>
      <c r="AM1" s="58"/>
      <c r="AN1" s="58"/>
      <c r="AO1" s="58"/>
      <c r="AP1" s="58"/>
    </row>
    <row r="2" spans="1:42"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  <c r="AB2" s="58"/>
      <c r="AC2" s="58"/>
      <c r="AD2" s="58"/>
      <c r="AE2" s="58"/>
      <c r="AF2" s="58"/>
      <c r="AG2" s="58"/>
      <c r="AH2" s="58"/>
      <c r="AI2" s="58"/>
      <c r="AJ2" s="58"/>
      <c r="AK2" s="58"/>
      <c r="AL2" s="58"/>
      <c r="AM2" s="58"/>
      <c r="AN2" s="58"/>
      <c r="AO2" s="58"/>
      <c r="AP2" s="58"/>
    </row>
    <row r="3" spans="1:42"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58"/>
      <c r="AC3" s="58"/>
      <c r="AD3" s="58"/>
      <c r="AE3" s="58"/>
      <c r="AF3" s="58"/>
      <c r="AG3" s="58"/>
      <c r="AH3" s="58"/>
      <c r="AI3" s="58"/>
      <c r="AJ3" s="58"/>
      <c r="AK3" s="58"/>
      <c r="AL3" s="58"/>
      <c r="AM3" s="58"/>
      <c r="AN3" s="58"/>
      <c r="AO3" s="58"/>
      <c r="AP3" s="58"/>
    </row>
    <row r="4" spans="1:42"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  <c r="AG4" s="58"/>
      <c r="AH4" s="58"/>
      <c r="AI4" s="58"/>
      <c r="AJ4" s="58"/>
      <c r="AK4" s="58"/>
      <c r="AL4" s="58"/>
      <c r="AM4" s="58"/>
      <c r="AN4" s="58"/>
      <c r="AO4" s="58"/>
      <c r="AP4" s="58"/>
    </row>
    <row r="5" spans="1:42"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  <c r="AG5" s="58"/>
      <c r="AH5" s="58"/>
      <c r="AI5" s="58"/>
      <c r="AJ5" s="58"/>
      <c r="AK5" s="58"/>
      <c r="AL5" s="58"/>
      <c r="AM5" s="58"/>
      <c r="AN5" s="58"/>
      <c r="AO5" s="58"/>
      <c r="AP5" s="58"/>
    </row>
    <row r="6" spans="1:42" ht="17.25" customHeight="1" thickBot="1">
      <c r="C6" s="13"/>
      <c r="D6" s="13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  <c r="AG6" s="58"/>
      <c r="AH6" s="58"/>
      <c r="AI6" s="58"/>
      <c r="AJ6" s="58"/>
      <c r="AK6" s="58"/>
      <c r="AL6" s="58"/>
      <c r="AM6" s="58"/>
      <c r="AN6" s="58"/>
      <c r="AO6" s="58"/>
      <c r="AP6" s="58"/>
    </row>
    <row r="7" spans="1:42" ht="4.5" customHeight="1">
      <c r="A7" s="2"/>
      <c r="B7" s="2"/>
      <c r="C7" s="2"/>
      <c r="D7" s="2"/>
      <c r="E7" s="2"/>
      <c r="F7" s="2"/>
      <c r="G7" s="2"/>
      <c r="H7" s="2"/>
      <c r="I7" s="2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96"/>
      <c r="AM7" s="96"/>
      <c r="AN7" s="96"/>
      <c r="AO7" s="96"/>
      <c r="AP7" s="96"/>
    </row>
    <row r="8" spans="1:42" ht="12" customHeight="1">
      <c r="AL8" s="20"/>
      <c r="AM8" s="201" t="s">
        <v>53</v>
      </c>
      <c r="AN8" s="201"/>
      <c r="AO8" s="201"/>
      <c r="AP8" s="181"/>
    </row>
    <row r="9" spans="1:42" ht="18.75">
      <c r="A9" s="1"/>
      <c r="B9" s="63" t="s">
        <v>0</v>
      </c>
      <c r="C9" s="63"/>
      <c r="D9" s="63"/>
      <c r="E9" s="25"/>
      <c r="F9" s="194" t="str">
        <f>VLOOKUP(AB9, '[1]Marksheet T1'!$A$11:$ES$94,2)</f>
        <v>MAJESTY EMMANUEL</v>
      </c>
      <c r="G9" s="194"/>
      <c r="H9" s="194"/>
      <c r="I9" s="194"/>
      <c r="J9" s="194"/>
      <c r="K9" s="194"/>
      <c r="L9" s="194"/>
      <c r="M9" s="194"/>
      <c r="N9" s="194"/>
      <c r="O9" s="194"/>
      <c r="P9" s="194"/>
      <c r="Q9" s="194"/>
      <c r="R9" s="194"/>
      <c r="S9" s="194"/>
      <c r="T9" s="194"/>
      <c r="U9" s="194"/>
      <c r="V9" s="194"/>
      <c r="W9" s="194"/>
      <c r="X9" s="26"/>
      <c r="Y9" s="29"/>
      <c r="Z9" s="63" t="s">
        <v>1</v>
      </c>
      <c r="AA9" s="63"/>
      <c r="AB9" s="62" t="s">
        <v>108</v>
      </c>
      <c r="AC9" s="62"/>
      <c r="AD9" s="62"/>
      <c r="AE9" s="62"/>
      <c r="AF9" s="62"/>
      <c r="AG9" s="62"/>
      <c r="AH9" s="62"/>
      <c r="AI9" s="62"/>
      <c r="AJ9" s="62"/>
      <c r="AK9" s="62"/>
      <c r="AL9" s="20"/>
      <c r="AM9" s="201"/>
      <c r="AN9" s="201"/>
      <c r="AO9" s="201"/>
      <c r="AP9" s="181"/>
    </row>
    <row r="10" spans="1:42" ht="18.75">
      <c r="A10" s="3"/>
      <c r="B10" s="63" t="s">
        <v>2</v>
      </c>
      <c r="C10" s="63"/>
      <c r="D10" s="63"/>
      <c r="E10" s="26"/>
      <c r="F10" s="115" t="str">
        <f>VLOOKUP(AB9, '[1]Marksheet T1'!$A$11:$ES$94,3)</f>
        <v>MALE</v>
      </c>
      <c r="G10" s="115"/>
      <c r="H10" s="115"/>
      <c r="I10" s="115"/>
      <c r="J10" s="115"/>
      <c r="K10" s="70"/>
      <c r="L10" s="70"/>
      <c r="M10" s="70"/>
      <c r="N10" s="69" t="s">
        <v>57</v>
      </c>
      <c r="O10" s="69"/>
      <c r="P10" s="69"/>
      <c r="Q10" s="69"/>
      <c r="R10" s="69"/>
      <c r="S10" s="195">
        <f>AC49/100/10</f>
        <v>3.2000000000000001E-2</v>
      </c>
      <c r="T10" s="195"/>
      <c r="U10" s="195"/>
      <c r="V10" s="195"/>
      <c r="W10" s="195"/>
      <c r="X10" s="26"/>
      <c r="Y10" s="25"/>
      <c r="Z10" s="63" t="s">
        <v>3</v>
      </c>
      <c r="AA10" s="63"/>
      <c r="AB10" s="63"/>
      <c r="AC10" s="64" t="str">
        <f>VLOOKUP(AB9, '[1]Marksheet T1'!$A$11:$ES$94,93)</f>
        <v>N.R</v>
      </c>
      <c r="AD10" s="64"/>
      <c r="AE10" s="64"/>
      <c r="AF10" s="64"/>
      <c r="AG10" s="64"/>
      <c r="AH10" s="64"/>
      <c r="AI10" s="64"/>
      <c r="AJ10" s="64"/>
      <c r="AK10" s="64"/>
      <c r="AL10" s="20"/>
      <c r="AM10" s="201"/>
      <c r="AN10" s="201"/>
      <c r="AO10" s="201"/>
      <c r="AP10" s="181"/>
    </row>
    <row r="11" spans="1:42" ht="18" customHeight="1">
      <c r="A11" s="1"/>
      <c r="B11" s="63" t="s">
        <v>4</v>
      </c>
      <c r="C11" s="63"/>
      <c r="D11" s="63"/>
      <c r="E11" s="63"/>
      <c r="F11" s="63"/>
      <c r="G11" s="63"/>
      <c r="H11" s="63"/>
      <c r="I11" s="63"/>
      <c r="J11" s="26"/>
      <c r="K11" s="115">
        <v>18</v>
      </c>
      <c r="L11" s="115"/>
      <c r="M11" s="115"/>
      <c r="N11" s="63" t="s">
        <v>63</v>
      </c>
      <c r="O11" s="63"/>
      <c r="P11" s="63"/>
      <c r="Q11" s="63"/>
      <c r="R11" s="63"/>
      <c r="S11" s="63"/>
      <c r="T11" s="196">
        <f>VLOOKUP(AB9, '[1]Marksheet T1'!$A$11:$ES$94,4)</f>
        <v>0</v>
      </c>
      <c r="U11" s="196"/>
      <c r="V11" s="196"/>
      <c r="W11" s="196"/>
      <c r="X11" s="25"/>
      <c r="Y11" s="25"/>
      <c r="Z11" s="63" t="s">
        <v>5</v>
      </c>
      <c r="AA11" s="63"/>
      <c r="AB11" s="115" t="s">
        <v>73</v>
      </c>
      <c r="AC11" s="115"/>
      <c r="AD11" s="115"/>
      <c r="AE11" s="115"/>
      <c r="AF11" s="115"/>
      <c r="AG11" s="115"/>
      <c r="AH11" s="115"/>
      <c r="AI11" s="115"/>
      <c r="AJ11" s="26"/>
      <c r="AK11" s="26"/>
      <c r="AL11" s="20"/>
      <c r="AM11" s="201"/>
      <c r="AN11" s="201"/>
      <c r="AO11" s="201"/>
      <c r="AP11" s="181"/>
    </row>
    <row r="12" spans="1:42" ht="22.5" customHeight="1">
      <c r="A12" s="1"/>
      <c r="B12" s="63" t="s">
        <v>62</v>
      </c>
      <c r="C12" s="63"/>
      <c r="D12" s="63"/>
      <c r="E12" s="63"/>
      <c r="F12" s="63"/>
      <c r="G12" s="29"/>
      <c r="H12" s="65">
        <f>VLOOKUP(AB9, '[1]Marksheet T1'!$A$11:$ES$94,5)</f>
        <v>0</v>
      </c>
      <c r="I12" s="65"/>
      <c r="J12" s="65"/>
      <c r="K12" s="65"/>
      <c r="L12" s="65"/>
      <c r="M12" s="65"/>
      <c r="N12" s="63" t="s">
        <v>56</v>
      </c>
      <c r="O12" s="63"/>
      <c r="P12" s="63"/>
      <c r="Q12" s="63"/>
      <c r="R12" s="63"/>
      <c r="S12" s="63"/>
      <c r="T12" s="121" t="str">
        <f>IF(S10="","",IF(S10&lt;=40%,"FAIL",IF(S10&lt;=45%,"ON TRIAL","PASS")))</f>
        <v>FAIL</v>
      </c>
      <c r="U12" s="121"/>
      <c r="V12" s="121"/>
      <c r="W12" s="121"/>
      <c r="X12" s="30"/>
      <c r="Y12" s="31"/>
      <c r="Z12" s="63" t="s">
        <v>64</v>
      </c>
      <c r="AA12" s="63"/>
      <c r="AB12" s="63"/>
      <c r="AC12" s="31"/>
      <c r="AD12" s="31"/>
      <c r="AE12" s="115" t="s">
        <v>70</v>
      </c>
      <c r="AF12" s="115"/>
      <c r="AG12" s="115"/>
      <c r="AH12" s="115"/>
      <c r="AI12" s="115"/>
      <c r="AJ12" s="26"/>
      <c r="AK12" s="26"/>
      <c r="AL12" s="20"/>
      <c r="AM12" s="201"/>
      <c r="AN12" s="201"/>
      <c r="AO12" s="201"/>
      <c r="AP12" s="181"/>
    </row>
    <row r="13" spans="1:42" ht="20.25" customHeight="1">
      <c r="A13" s="1"/>
      <c r="B13" s="182"/>
      <c r="C13" s="182"/>
      <c r="D13" s="182"/>
      <c r="E13" s="182"/>
      <c r="F13" s="182"/>
      <c r="G13" s="182"/>
      <c r="H13" s="182"/>
      <c r="I13" s="182"/>
      <c r="J13" s="182"/>
      <c r="K13" s="182"/>
      <c r="L13" s="182"/>
      <c r="M13" s="183"/>
      <c r="N13" s="183"/>
      <c r="O13" s="183"/>
      <c r="P13" s="183"/>
      <c r="Q13" s="183"/>
      <c r="R13" s="183"/>
      <c r="S13" s="183"/>
      <c r="T13" s="183"/>
      <c r="U13" s="183"/>
      <c r="V13" s="183"/>
      <c r="W13" s="183"/>
      <c r="X13" s="183"/>
      <c r="Y13" s="183"/>
      <c r="Z13" s="183"/>
      <c r="AA13" s="27"/>
      <c r="AB13" s="26"/>
      <c r="AC13" s="28"/>
      <c r="AD13" s="26"/>
      <c r="AE13" s="26"/>
      <c r="AF13" s="26"/>
      <c r="AG13" s="26"/>
      <c r="AH13" s="26"/>
      <c r="AI13" s="26"/>
      <c r="AJ13" s="26"/>
      <c r="AK13" s="26"/>
      <c r="AL13" s="20"/>
      <c r="AM13" s="201"/>
      <c r="AN13" s="201"/>
      <c r="AO13" s="201"/>
      <c r="AP13" s="181"/>
    </row>
    <row r="14" spans="1:42" ht="18" customHeight="1">
      <c r="A14" s="1"/>
      <c r="B14" s="15"/>
      <c r="C14" s="15"/>
      <c r="D14" s="15"/>
      <c r="E14" s="15"/>
      <c r="F14" s="15"/>
      <c r="G14" s="15"/>
      <c r="H14" s="15"/>
      <c r="I14" s="15"/>
      <c r="K14" s="12"/>
      <c r="L14" s="12"/>
      <c r="M14" s="12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4"/>
      <c r="Z14" s="14"/>
      <c r="AA14" s="14"/>
      <c r="AC14" s="12"/>
      <c r="AL14" s="20"/>
      <c r="AM14" s="201"/>
      <c r="AN14" s="201"/>
      <c r="AO14" s="201"/>
      <c r="AP14" s="181"/>
    </row>
    <row r="15" spans="1:42" ht="18" customHeight="1">
      <c r="A15" s="1"/>
      <c r="B15" s="184" t="s">
        <v>67</v>
      </c>
      <c r="C15" s="185"/>
      <c r="D15" s="185"/>
      <c r="E15" s="185"/>
      <c r="F15" s="185"/>
      <c r="G15" s="185"/>
      <c r="H15" s="185"/>
      <c r="I15" s="185"/>
      <c r="J15" s="185"/>
      <c r="K15" s="185"/>
      <c r="L15" s="185"/>
      <c r="M15" s="185"/>
      <c r="N15" s="185"/>
      <c r="O15" s="185"/>
      <c r="P15" s="185"/>
      <c r="Q15" s="185"/>
      <c r="R15" s="185"/>
      <c r="S15" s="185"/>
      <c r="T15" s="185"/>
      <c r="U15" s="185"/>
      <c r="V15" s="185"/>
      <c r="W15" s="185"/>
      <c r="X15" s="185"/>
      <c r="Y15" s="185"/>
      <c r="Z15" s="185"/>
      <c r="AA15" s="186"/>
      <c r="AC15" s="187" t="s">
        <v>49</v>
      </c>
      <c r="AD15" s="188"/>
      <c r="AE15" s="188"/>
      <c r="AF15" s="188"/>
      <c r="AG15" s="188"/>
      <c r="AH15" s="188"/>
      <c r="AI15" s="188"/>
      <c r="AJ15" s="188"/>
      <c r="AK15" s="188"/>
      <c r="AL15" s="20"/>
      <c r="AM15" s="201"/>
      <c r="AN15" s="201"/>
      <c r="AO15" s="201"/>
      <c r="AP15" s="181"/>
    </row>
    <row r="16" spans="1:42" ht="18" customHeight="1">
      <c r="A16" s="1"/>
      <c r="B16" s="189" t="s">
        <v>6</v>
      </c>
      <c r="C16" s="190"/>
      <c r="D16" s="190"/>
      <c r="E16" s="190"/>
      <c r="F16" s="190"/>
      <c r="G16" s="190"/>
      <c r="H16" s="190"/>
      <c r="I16" s="190"/>
      <c r="J16" s="190"/>
      <c r="K16" s="190"/>
      <c r="L16" s="190"/>
      <c r="M16" s="190"/>
      <c r="N16" s="190"/>
      <c r="O16" s="190"/>
      <c r="P16" s="190"/>
      <c r="Q16" s="190"/>
      <c r="R16" s="190"/>
      <c r="S16" s="190"/>
      <c r="T16" s="190"/>
      <c r="U16" s="190"/>
      <c r="V16" s="190"/>
      <c r="W16" s="190"/>
      <c r="X16" s="190"/>
      <c r="Y16" s="190"/>
      <c r="Z16" s="190"/>
      <c r="AA16" s="191"/>
      <c r="AC16" s="188"/>
      <c r="AD16" s="188"/>
      <c r="AE16" s="188"/>
      <c r="AF16" s="188"/>
      <c r="AG16" s="188"/>
      <c r="AH16" s="188"/>
      <c r="AI16" s="188"/>
      <c r="AJ16" s="188"/>
      <c r="AK16" s="188"/>
      <c r="AL16" s="20"/>
      <c r="AM16" s="201"/>
      <c r="AN16" s="201"/>
      <c r="AO16" s="201"/>
      <c r="AP16" s="181"/>
    </row>
    <row r="17" spans="1:46" ht="18.75" customHeight="1">
      <c r="A17" s="1"/>
      <c r="B17" s="192"/>
      <c r="C17" s="81"/>
      <c r="D17" s="81"/>
      <c r="E17" s="81"/>
      <c r="F17" s="81"/>
      <c r="G17" s="81"/>
      <c r="H17" s="81"/>
      <c r="I17" s="81"/>
      <c r="J17" s="81"/>
      <c r="K17" s="81"/>
      <c r="L17" s="81"/>
      <c r="M17" s="81"/>
      <c r="N17" s="81"/>
      <c r="O17" s="81"/>
      <c r="P17" s="81"/>
      <c r="Q17" s="81"/>
      <c r="R17" s="81"/>
      <c r="S17" s="81"/>
      <c r="T17" s="81"/>
      <c r="U17" s="81"/>
      <c r="V17" s="81"/>
      <c r="W17" s="81"/>
      <c r="X17" s="81"/>
      <c r="Y17" s="81"/>
      <c r="Z17" s="81"/>
      <c r="AA17" s="193"/>
      <c r="AL17" s="20"/>
      <c r="AM17" s="201"/>
      <c r="AN17" s="201"/>
      <c r="AO17" s="201"/>
      <c r="AP17" s="181"/>
    </row>
    <row r="18" spans="1:46" ht="18.75" customHeight="1" thickBot="1">
      <c r="A18" s="1"/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3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L18" s="20"/>
      <c r="AM18" s="201"/>
      <c r="AN18" s="201"/>
      <c r="AO18" s="201"/>
      <c r="AP18" s="181"/>
    </row>
    <row r="19" spans="1:46" ht="18.75" customHeight="1">
      <c r="A19" s="1"/>
      <c r="B19" s="71" t="s">
        <v>7</v>
      </c>
      <c r="C19" s="72"/>
      <c r="D19" s="72"/>
      <c r="E19" s="72"/>
      <c r="F19" s="72"/>
      <c r="G19" s="72"/>
      <c r="H19" s="72"/>
      <c r="I19" s="77" t="s">
        <v>58</v>
      </c>
      <c r="J19" s="80"/>
      <c r="K19" s="77" t="s">
        <v>61</v>
      </c>
      <c r="L19" s="80"/>
      <c r="M19" s="77" t="s">
        <v>59</v>
      </c>
      <c r="N19" s="80"/>
      <c r="O19" s="77" t="s">
        <v>60</v>
      </c>
      <c r="P19" s="80"/>
      <c r="Q19" s="77" t="s">
        <v>55</v>
      </c>
      <c r="R19" s="80"/>
      <c r="S19" s="77" t="s">
        <v>50</v>
      </c>
      <c r="T19" s="80"/>
      <c r="U19" s="77" t="s">
        <v>65</v>
      </c>
      <c r="V19" s="80"/>
      <c r="W19" s="77" t="s">
        <v>66</v>
      </c>
      <c r="X19" s="80"/>
      <c r="Y19" s="122" t="s">
        <v>8</v>
      </c>
      <c r="Z19" s="123"/>
      <c r="AA19" s="124"/>
      <c r="AL19" s="20"/>
      <c r="AM19" s="201"/>
      <c r="AN19" s="201"/>
      <c r="AO19" s="201"/>
      <c r="AP19" s="181"/>
    </row>
    <row r="20" spans="1:46" ht="18.75" customHeight="1">
      <c r="A20" s="1"/>
      <c r="B20" s="73"/>
      <c r="C20" s="74"/>
      <c r="D20" s="74"/>
      <c r="E20" s="74"/>
      <c r="F20" s="74"/>
      <c r="G20" s="74"/>
      <c r="H20" s="74"/>
      <c r="I20" s="78"/>
      <c r="J20" s="81"/>
      <c r="K20" s="78"/>
      <c r="L20" s="81"/>
      <c r="M20" s="78"/>
      <c r="N20" s="81"/>
      <c r="O20" s="78"/>
      <c r="P20" s="81"/>
      <c r="Q20" s="78"/>
      <c r="R20" s="81"/>
      <c r="S20" s="78"/>
      <c r="T20" s="81"/>
      <c r="U20" s="78"/>
      <c r="V20" s="81"/>
      <c r="W20" s="78"/>
      <c r="X20" s="81"/>
      <c r="Y20" s="125"/>
      <c r="Z20" s="126"/>
      <c r="AA20" s="127"/>
      <c r="AL20" s="20"/>
      <c r="AM20" s="201"/>
      <c r="AN20" s="201"/>
      <c r="AO20" s="201"/>
      <c r="AP20" s="181"/>
    </row>
    <row r="21" spans="1:46" ht="15" customHeight="1">
      <c r="B21" s="73"/>
      <c r="C21" s="74"/>
      <c r="D21" s="74"/>
      <c r="E21" s="74"/>
      <c r="F21" s="74"/>
      <c r="G21" s="74"/>
      <c r="H21" s="74"/>
      <c r="I21" s="78"/>
      <c r="J21" s="81"/>
      <c r="K21" s="78"/>
      <c r="L21" s="81"/>
      <c r="M21" s="78"/>
      <c r="N21" s="81"/>
      <c r="O21" s="78"/>
      <c r="P21" s="81"/>
      <c r="Q21" s="78"/>
      <c r="R21" s="81"/>
      <c r="S21" s="78"/>
      <c r="T21" s="81"/>
      <c r="U21" s="78"/>
      <c r="V21" s="81"/>
      <c r="W21" s="78"/>
      <c r="X21" s="81"/>
      <c r="Y21" s="125"/>
      <c r="Z21" s="126"/>
      <c r="AA21" s="127"/>
      <c r="AC21" s="116" t="s">
        <v>9</v>
      </c>
      <c r="AD21" s="117"/>
      <c r="AE21" s="117"/>
      <c r="AF21" s="117"/>
      <c r="AG21" s="118"/>
      <c r="AH21" s="66" t="s">
        <v>10</v>
      </c>
      <c r="AI21" s="67"/>
      <c r="AJ21" s="67"/>
      <c r="AK21" s="68"/>
      <c r="AL21" s="20"/>
      <c r="AM21" s="201"/>
      <c r="AN21" s="201"/>
      <c r="AO21" s="201"/>
      <c r="AP21" s="181"/>
    </row>
    <row r="22" spans="1:46">
      <c r="B22" s="73"/>
      <c r="C22" s="74"/>
      <c r="D22" s="74"/>
      <c r="E22" s="74"/>
      <c r="F22" s="74"/>
      <c r="G22" s="74"/>
      <c r="H22" s="74"/>
      <c r="I22" s="78"/>
      <c r="J22" s="81"/>
      <c r="K22" s="78"/>
      <c r="L22" s="81"/>
      <c r="M22" s="78"/>
      <c r="N22" s="81"/>
      <c r="O22" s="78"/>
      <c r="P22" s="81"/>
      <c r="Q22" s="78"/>
      <c r="R22" s="81"/>
      <c r="S22" s="78"/>
      <c r="T22" s="81"/>
      <c r="U22" s="78"/>
      <c r="V22" s="81"/>
      <c r="W22" s="78"/>
      <c r="X22" s="81"/>
      <c r="Y22" s="125"/>
      <c r="Z22" s="126"/>
      <c r="AA22" s="127"/>
      <c r="AC22" s="116"/>
      <c r="AD22" s="117"/>
      <c r="AE22" s="117"/>
      <c r="AF22" s="117"/>
      <c r="AG22" s="118"/>
      <c r="AH22" s="6">
        <v>1</v>
      </c>
      <c r="AI22" s="6">
        <v>2</v>
      </c>
      <c r="AJ22" s="6">
        <v>3</v>
      </c>
      <c r="AK22" s="6">
        <v>4</v>
      </c>
      <c r="AL22" s="20"/>
      <c r="AM22" s="201"/>
      <c r="AN22" s="201"/>
      <c r="AO22" s="201"/>
      <c r="AP22" s="181"/>
      <c r="AT22">
        <v>1800</v>
      </c>
    </row>
    <row r="23" spans="1:46" ht="22.5" customHeight="1" thickBot="1">
      <c r="B23" s="75"/>
      <c r="C23" s="76"/>
      <c r="D23" s="76"/>
      <c r="E23" s="76"/>
      <c r="F23" s="76"/>
      <c r="G23" s="76"/>
      <c r="H23" s="76"/>
      <c r="I23" s="79"/>
      <c r="J23" s="82"/>
      <c r="K23" s="79"/>
      <c r="L23" s="82"/>
      <c r="M23" s="79"/>
      <c r="N23" s="82"/>
      <c r="O23" s="79"/>
      <c r="P23" s="82"/>
      <c r="Q23" s="79"/>
      <c r="R23" s="82"/>
      <c r="S23" s="79"/>
      <c r="T23" s="82"/>
      <c r="U23" s="79"/>
      <c r="V23" s="82"/>
      <c r="W23" s="79"/>
      <c r="X23" s="82"/>
      <c r="Y23" s="128"/>
      <c r="Z23" s="129"/>
      <c r="AA23" s="130"/>
      <c r="AC23" s="91" t="s">
        <v>11</v>
      </c>
      <c r="AD23" s="92"/>
      <c r="AE23" s="92"/>
      <c r="AF23" s="92"/>
      <c r="AG23" s="93"/>
      <c r="AH23" s="7"/>
      <c r="AI23" s="7"/>
      <c r="AJ23" s="8" t="s">
        <v>12</v>
      </c>
      <c r="AK23" s="7"/>
      <c r="AL23" s="20"/>
      <c r="AM23" s="201"/>
      <c r="AN23" s="201"/>
      <c r="AO23" s="201"/>
      <c r="AP23" s="181"/>
      <c r="AT23">
        <v>100</v>
      </c>
    </row>
    <row r="24" spans="1:46" ht="17.25">
      <c r="B24" s="85" t="str">
        <f>'[2]student sheet'!$C$1</f>
        <v>ENGLISH LANG.</v>
      </c>
      <c r="C24" s="86"/>
      <c r="D24" s="86"/>
      <c r="E24" s="86"/>
      <c r="F24" s="86"/>
      <c r="G24" s="86"/>
      <c r="H24" s="86"/>
      <c r="I24" s="47">
        <f>VLOOKUP(AB9, '[1]Marksheet T1'!$A$11:$ES$94,6)</f>
        <v>0</v>
      </c>
      <c r="J24" s="48"/>
      <c r="K24" s="47">
        <f>VLOOKUP(AB9, '[1]Marksheet T1'!$A$11:$ES$94,7)</f>
        <v>0</v>
      </c>
      <c r="L24" s="48"/>
      <c r="M24" s="47">
        <f>VLOOKUP(AB9, '[1]Marksheet T1'!$A$11:$ES$94,8)</f>
        <v>0</v>
      </c>
      <c r="N24" s="48"/>
      <c r="O24" s="47">
        <f>VLOOKUP(AB9, '[1]Marksheet T1'!$A$11:$ES$94,9)</f>
        <v>0</v>
      </c>
      <c r="P24" s="48"/>
      <c r="Q24" s="47" t="str">
        <f>VLOOKUP(AB9, '[1]Marksheet T1'!$A$11:$ES$94,11)</f>
        <v>-</v>
      </c>
      <c r="R24" s="48"/>
      <c r="S24" s="47" t="str">
        <f>VLOOKUP(AB9, '[1]Marksheet T1'!$A$11:$ES$94,97)</f>
        <v>N.R</v>
      </c>
      <c r="T24" s="48"/>
      <c r="U24" s="47">
        <f>VLOOKUP(AB9, '[1]Marksheet T1'!$A$11:$ES$94,95)</f>
        <v>0</v>
      </c>
      <c r="V24" s="48"/>
      <c r="W24" s="47">
        <f>VLOOKUP(AB9, '[1]Marksheet T1'!$A$11:$ES$94,96)</f>
        <v>88</v>
      </c>
      <c r="X24" s="48"/>
      <c r="Y24" s="94" t="str">
        <f>IF(AT24="","",IF(AT24&lt;='[3]Basic Data Entry Sheet'!$G$25,"Nil",IF(AT24&lt;='[3]Basic Data Entry Sheet'!$G$24,"Fail",IF(AT24&lt;='[3]Basic Data Entry Sheet'!$G$23,"Pass",IF(AT24&lt;='[3]Basic Data Entry Sheet'!$G$22,"Fair",IF(AT24&lt;='[3]Basic Data Entry Sheet'!$G$21,"Average",IF(AT24&lt;='[3]Basic Data Entry Sheet'!$G$20,"Good",IF(AT24&lt;='[3]Basic Data Entry Sheet'!$G$19,"Very Good",IF(AT24&lt;='[3]Basic Data Entry Sheet'!$G$18,"Excellent","Distinction")))))))))</f>
        <v>Nil</v>
      </c>
      <c r="Z24" s="94"/>
      <c r="AA24" s="95"/>
      <c r="AC24" s="91" t="s">
        <v>13</v>
      </c>
      <c r="AD24" s="92"/>
      <c r="AE24" s="92"/>
      <c r="AF24" s="92"/>
      <c r="AG24" s="93"/>
      <c r="AH24" s="7"/>
      <c r="AI24" s="7"/>
      <c r="AJ24" s="9"/>
      <c r="AK24" s="8" t="s">
        <v>12</v>
      </c>
      <c r="AL24" s="20"/>
      <c r="AM24" s="201"/>
      <c r="AN24" s="201"/>
      <c r="AO24" s="201"/>
      <c r="AP24" s="181"/>
      <c r="AT24">
        <f>O24/$AT$23*100</f>
        <v>0</v>
      </c>
    </row>
    <row r="25" spans="1:46" ht="17.25">
      <c r="B25" s="87"/>
      <c r="C25" s="88"/>
      <c r="D25" s="88"/>
      <c r="E25" s="88"/>
      <c r="F25" s="88"/>
      <c r="G25" s="88"/>
      <c r="H25" s="3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89"/>
      <c r="Y25" s="89"/>
      <c r="Z25" s="89"/>
      <c r="AA25" s="90"/>
      <c r="AC25" s="91" t="s">
        <v>14</v>
      </c>
      <c r="AD25" s="92"/>
      <c r="AE25" s="92"/>
      <c r="AF25" s="92"/>
      <c r="AG25" s="93"/>
      <c r="AH25" s="7"/>
      <c r="AI25" s="7"/>
      <c r="AJ25" s="8" t="s">
        <v>12</v>
      </c>
      <c r="AK25" s="9"/>
      <c r="AL25" s="20"/>
      <c r="AM25" s="201"/>
      <c r="AN25" s="201"/>
      <c r="AO25" s="201"/>
      <c r="AP25" s="181"/>
    </row>
    <row r="26" spans="1:46" ht="17.25">
      <c r="B26" s="83" t="str">
        <f>'[2]student sheet'!$G$1</f>
        <v xml:space="preserve">MATHEMATICS </v>
      </c>
      <c r="C26" s="84"/>
      <c r="D26" s="84"/>
      <c r="E26" s="84"/>
      <c r="F26" s="84"/>
      <c r="G26" s="84"/>
      <c r="H26" s="84"/>
      <c r="I26" s="47">
        <f>VLOOKUP(AB9, '[1]Marksheet T1'!$A$11:$ES$94,12)</f>
        <v>0</v>
      </c>
      <c r="J26" s="48"/>
      <c r="K26" s="47" t="str">
        <f>VLOOKUP(AB9, '[1]Marksheet T1'!$A$11:$ES$94,13)</f>
        <v/>
      </c>
      <c r="L26" s="48"/>
      <c r="M26" s="47">
        <f>VLOOKUP(AB9, '[1]Marksheet T1'!$A$11:$ES$94,14)</f>
        <v>0</v>
      </c>
      <c r="N26" s="48"/>
      <c r="O26" s="47">
        <f>VLOOKUP(AB9, '[1]Marksheet T1'!$A$11:$ES$94,15)</f>
        <v>0</v>
      </c>
      <c r="P26" s="48"/>
      <c r="Q26" s="47" t="str">
        <f>VLOOKUP(AB9, '[1]Marksheet T1'!$A$11:$ES$94,17)</f>
        <v>-</v>
      </c>
      <c r="R26" s="48"/>
      <c r="S26" s="47" t="str">
        <f>VLOOKUP(AB9, '[1]Marksheet T1'!$A$11:$ES$94,101)</f>
        <v>N.R</v>
      </c>
      <c r="T26" s="48"/>
      <c r="U26" s="47">
        <f>VLOOKUP(AB9, '[1]Marksheet T1'!$A$11:$ES$94,99)</f>
        <v>0</v>
      </c>
      <c r="V26" s="48"/>
      <c r="W26" s="47">
        <f>VLOOKUP(AB9, '[1]Marksheet T1'!$A$11:$ES$94,100)</f>
        <v>65</v>
      </c>
      <c r="X26" s="48"/>
      <c r="Y26" s="94" t="str">
        <f>IF(AT26="","",IF(AT26&lt;='[3]Basic Data Entry Sheet'!$G$25,"Nil",IF(AT26&lt;='[3]Basic Data Entry Sheet'!$G$24,"Fail",IF(AT26&lt;='[3]Basic Data Entry Sheet'!$G$23,"Pass",IF(AT26&lt;='[3]Basic Data Entry Sheet'!$G$22,"Fair",IF(AT26&lt;='[3]Basic Data Entry Sheet'!$G$21,"Average",IF(AT26&lt;='[3]Basic Data Entry Sheet'!$G$20,"Good",IF(AT26&lt;='[3]Basic Data Entry Sheet'!$G$19,"Very Good",IF(AT26&lt;='[3]Basic Data Entry Sheet'!$G$18,"Excellent","Distinction")))))))))</f>
        <v>Nil</v>
      </c>
      <c r="Z26" s="94"/>
      <c r="AA26" s="95"/>
      <c r="AC26" s="91" t="s">
        <v>15</v>
      </c>
      <c r="AD26" s="92"/>
      <c r="AE26" s="92"/>
      <c r="AF26" s="92"/>
      <c r="AG26" s="93"/>
      <c r="AH26" s="7"/>
      <c r="AI26" s="7"/>
      <c r="AJ26" s="8" t="s">
        <v>12</v>
      </c>
      <c r="AK26" s="7"/>
      <c r="AL26" s="20"/>
      <c r="AM26" s="201"/>
      <c r="AN26" s="201"/>
      <c r="AO26" s="201"/>
      <c r="AP26" s="181"/>
      <c r="AT26">
        <f>O26/$AT$23*100</f>
        <v>0</v>
      </c>
    </row>
    <row r="27" spans="1:46" ht="17.25">
      <c r="B27" s="87"/>
      <c r="C27" s="88"/>
      <c r="D27" s="88"/>
      <c r="E27" s="88"/>
      <c r="F27" s="88"/>
      <c r="G27" s="88"/>
      <c r="H27" s="3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89"/>
      <c r="Y27" s="89"/>
      <c r="Z27" s="89"/>
      <c r="AA27" s="90"/>
      <c r="AC27" s="91" t="s">
        <v>16</v>
      </c>
      <c r="AD27" s="92"/>
      <c r="AE27" s="92"/>
      <c r="AF27" s="92"/>
      <c r="AG27" s="93"/>
      <c r="AH27" s="7"/>
      <c r="AI27" s="8" t="s">
        <v>12</v>
      </c>
      <c r="AJ27" s="9"/>
      <c r="AK27" s="7"/>
      <c r="AL27" s="20"/>
      <c r="AM27" s="201"/>
      <c r="AN27" s="201"/>
      <c r="AO27" s="201"/>
      <c r="AP27" s="181"/>
    </row>
    <row r="28" spans="1:46" ht="17.25">
      <c r="B28" s="83" t="str">
        <f>'[2]student sheet'!$K$1</f>
        <v>CIVIC EDUCATION</v>
      </c>
      <c r="C28" s="84"/>
      <c r="D28" s="84"/>
      <c r="E28" s="84"/>
      <c r="F28" s="84"/>
      <c r="G28" s="84"/>
      <c r="H28" s="84"/>
      <c r="I28" s="47" t="str">
        <f>VLOOKUP(AB9, '[1]Marksheet T1'!$A$11:$ES$94,18)</f>
        <v/>
      </c>
      <c r="J28" s="48"/>
      <c r="K28" s="47" t="str">
        <f>VLOOKUP(AB9, '[1]Marksheet T1'!$A$11:$ES$94,19)</f>
        <v/>
      </c>
      <c r="L28" s="48"/>
      <c r="M28" s="47" t="str">
        <f>VLOOKUP(AB9, '[1]Marksheet T1'!$A$11:$ES$94,20)</f>
        <v/>
      </c>
      <c r="N28" s="48"/>
      <c r="O28" s="47">
        <f>VLOOKUP(AB9, '[1]Marksheet T1'!$A$11:$ES$94,21)</f>
        <v>0</v>
      </c>
      <c r="P28" s="48"/>
      <c r="Q28" s="47" t="str">
        <f>VLOOKUP(AB9, '[1]Marksheet T1'!$A$11:$ES$94,23)</f>
        <v>-</v>
      </c>
      <c r="R28" s="48"/>
      <c r="S28" s="47" t="str">
        <f>VLOOKUP(AB9, '[1]Marksheet T1'!$A$11:$ES$94,105)</f>
        <v>N.R</v>
      </c>
      <c r="T28" s="48"/>
      <c r="U28" s="47">
        <f>VLOOKUP(AB9, '[1]Marksheet T1'!$A$11:$ES$94,103)</f>
        <v>0</v>
      </c>
      <c r="V28" s="48"/>
      <c r="W28" s="47">
        <f>VLOOKUP(AB9, '[1]Marksheet T1'!$A$11:$ES$94,104)</f>
        <v>90</v>
      </c>
      <c r="X28" s="48"/>
      <c r="Y28" s="94" t="str">
        <f>IF(AT28="","",IF(AT28&lt;='[3]Basic Data Entry Sheet'!$G$25,"Nil",IF(AT28&lt;='[3]Basic Data Entry Sheet'!$G$24,"Fail",IF(AT28&lt;='[3]Basic Data Entry Sheet'!$G$23,"Pass",IF(AT28&lt;='[3]Basic Data Entry Sheet'!$G$22,"Fair",IF(AT28&lt;='[3]Basic Data Entry Sheet'!$G$21,"Average",IF(AT28&lt;='[3]Basic Data Entry Sheet'!$G$20,"Good",IF(AT28&lt;='[3]Basic Data Entry Sheet'!$G$19,"Very Good",IF(AT28&lt;='[3]Basic Data Entry Sheet'!$G$18,"Excellent","Distinction")))))))))</f>
        <v>Nil</v>
      </c>
      <c r="Z28" s="94"/>
      <c r="AA28" s="95"/>
      <c r="AC28" s="91" t="s">
        <v>17</v>
      </c>
      <c r="AD28" s="92"/>
      <c r="AE28" s="92"/>
      <c r="AF28" s="92"/>
      <c r="AG28" s="93"/>
      <c r="AH28" s="7"/>
      <c r="AI28" s="9"/>
      <c r="AJ28" s="8" t="s">
        <v>12</v>
      </c>
      <c r="AK28" s="7"/>
      <c r="AL28" s="20"/>
      <c r="AM28" s="201"/>
      <c r="AN28" s="201"/>
      <c r="AO28" s="201"/>
      <c r="AP28" s="181"/>
      <c r="AT28">
        <f>O28/$AT$23*100</f>
        <v>0</v>
      </c>
    </row>
    <row r="29" spans="1:46" ht="17.25">
      <c r="B29" s="87"/>
      <c r="C29" s="88"/>
      <c r="D29" s="88"/>
      <c r="E29" s="88"/>
      <c r="F29" s="88"/>
      <c r="G29" s="88"/>
      <c r="H29" s="3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89"/>
      <c r="Y29" s="89"/>
      <c r="Z29" s="89"/>
      <c r="AA29" s="90"/>
      <c r="AC29" s="91" t="s">
        <v>18</v>
      </c>
      <c r="AD29" s="92"/>
      <c r="AE29" s="92"/>
      <c r="AF29" s="92"/>
      <c r="AG29" s="93"/>
      <c r="AH29" s="7"/>
      <c r="AI29" s="8" t="s">
        <v>12</v>
      </c>
      <c r="AJ29" s="9"/>
      <c r="AK29" s="7"/>
      <c r="AL29" s="20"/>
      <c r="AM29" s="201"/>
      <c r="AN29" s="201"/>
      <c r="AO29" s="201"/>
      <c r="AP29" s="181"/>
    </row>
    <row r="30" spans="1:46" ht="17.25">
      <c r="B30" s="83" t="str">
        <f>'[2]student sheet'!$O$1</f>
        <v>HISTORY</v>
      </c>
      <c r="C30" s="84"/>
      <c r="D30" s="84"/>
      <c r="E30" s="84"/>
      <c r="F30" s="84"/>
      <c r="G30" s="84"/>
      <c r="H30" s="84"/>
      <c r="I30" s="47" t="str">
        <f>VLOOKUP(AB9, '[1]Marksheet T1'!$A$11:$ES$94,24)</f>
        <v/>
      </c>
      <c r="J30" s="48"/>
      <c r="K30" s="47" t="str">
        <f>VLOOKUP(AB9, '[1]Marksheet T1'!$A$11:$ES$94,25)</f>
        <v/>
      </c>
      <c r="L30" s="48"/>
      <c r="M30" s="47" t="str">
        <f>VLOOKUP(AB9, '[1]Marksheet T1'!$A$11:$ES$94,26)</f>
        <v/>
      </c>
      <c r="N30" s="48"/>
      <c r="O30" s="47">
        <f>VLOOKUP(AB9, '[1]Marksheet T1'!$A$11:$ES$94,27)</f>
        <v>0</v>
      </c>
      <c r="P30" s="48"/>
      <c r="Q30" s="47" t="str">
        <f>VLOOKUP(AB9, '[1]Marksheet T1'!$A$11:$ES$94,29)</f>
        <v>-</v>
      </c>
      <c r="R30" s="48"/>
      <c r="S30" s="47" t="str">
        <f>VLOOKUP(AB9, '[1]Marksheet T1'!$A$11:$ES$94,109)</f>
        <v>N.R</v>
      </c>
      <c r="T30" s="48"/>
      <c r="U30" s="47">
        <f>VLOOKUP(AB9, '[1]Marksheet T1'!$A$11:$ES$94,107)</f>
        <v>0</v>
      </c>
      <c r="V30" s="48"/>
      <c r="W30" s="47">
        <f>VLOOKUP(AB9, '[1]Marksheet T1'!$A$11:$ES$94,108)</f>
        <v>95</v>
      </c>
      <c r="X30" s="48"/>
      <c r="Y30" s="94" t="str">
        <f>IF(AT30="","",IF(AT30&lt;='[3]Basic Data Entry Sheet'!$G$25,"Nil",IF(AT30&lt;='[3]Basic Data Entry Sheet'!$G$24,"Fail",IF(AT30&lt;='[3]Basic Data Entry Sheet'!$G$23,"Pass",IF(AT30&lt;='[3]Basic Data Entry Sheet'!$G$22,"Fair",IF(AT30&lt;='[3]Basic Data Entry Sheet'!$G$21,"Average",IF(AT30&lt;='[3]Basic Data Entry Sheet'!$G$20,"Good",IF(AT30&lt;='[3]Basic Data Entry Sheet'!$G$19,"Very Good",IF(AT30&lt;='[3]Basic Data Entry Sheet'!$G$18,"Excellent","Distinction")))))))))</f>
        <v>Nil</v>
      </c>
      <c r="Z30" s="94"/>
      <c r="AA30" s="95"/>
      <c r="AI30" s="9"/>
      <c r="AL30" s="20"/>
      <c r="AM30" s="201"/>
      <c r="AN30" s="201"/>
      <c r="AO30" s="201"/>
      <c r="AP30" s="181"/>
      <c r="AT30">
        <f>O30/$AT$23*100</f>
        <v>0</v>
      </c>
    </row>
    <row r="31" spans="1:46" ht="17.25">
      <c r="B31" s="87"/>
      <c r="C31" s="88"/>
      <c r="D31" s="88"/>
      <c r="E31" s="88"/>
      <c r="F31" s="88"/>
      <c r="G31" s="88"/>
      <c r="H31" s="3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89"/>
      <c r="Y31" s="89"/>
      <c r="Z31" s="89"/>
      <c r="AA31" s="90"/>
      <c r="AC31" s="149" t="s">
        <v>19</v>
      </c>
      <c r="AD31" s="150"/>
      <c r="AE31" s="150"/>
      <c r="AF31" s="150"/>
      <c r="AG31" s="151"/>
      <c r="AH31" s="146" t="s">
        <v>20</v>
      </c>
      <c r="AI31" s="147"/>
      <c r="AJ31" s="147"/>
      <c r="AK31" s="148"/>
      <c r="AL31" s="20"/>
      <c r="AM31" s="22"/>
      <c r="AN31" s="22"/>
      <c r="AO31" s="19"/>
      <c r="AP31" s="181"/>
    </row>
    <row r="32" spans="1:46" ht="17.25">
      <c r="B32" s="83" t="str">
        <f>'[2]student sheet'!$S$1</f>
        <v>LITERATURE</v>
      </c>
      <c r="C32" s="84"/>
      <c r="D32" s="84"/>
      <c r="E32" s="84"/>
      <c r="F32" s="84"/>
      <c r="G32" s="84"/>
      <c r="H32" s="84"/>
      <c r="I32" s="47" t="str">
        <f>VLOOKUP(AB9, '[1]Marksheet T1'!$A$11:$ES$94,30)</f>
        <v/>
      </c>
      <c r="J32" s="48"/>
      <c r="K32" s="47">
        <f>VLOOKUP(AB9, '[1]Marksheet T1'!$A$11:$ES$94,31)</f>
        <v>0</v>
      </c>
      <c r="L32" s="48"/>
      <c r="M32" s="47" t="str">
        <f>VLOOKUP(AB9, '[1]Marksheet T1'!$A$11:$ES$94,32)</f>
        <v/>
      </c>
      <c r="N32" s="48"/>
      <c r="O32" s="47">
        <f>VLOOKUP(AB9, '[1]Marksheet T1'!$A$11:$ES$94,33)</f>
        <v>0</v>
      </c>
      <c r="P32" s="48"/>
      <c r="Q32" s="47" t="str">
        <f>VLOOKUP(AB9, '[1]Marksheet T1'!$A$11:$ES$94,35)</f>
        <v>-</v>
      </c>
      <c r="R32" s="48"/>
      <c r="S32" s="47" t="str">
        <f>VLOOKUP(AB9, '[1]Marksheet T1'!$A$11:$ES$94,113)</f>
        <v>N.R</v>
      </c>
      <c r="T32" s="48"/>
      <c r="U32" s="47">
        <f>VLOOKUP(AB9, '[1]Marksheet T1'!$A$11:$ES$94,111)</f>
        <v>0</v>
      </c>
      <c r="V32" s="48"/>
      <c r="W32" s="47">
        <f>VLOOKUP(AB9, '[1]Marksheet T1'!$A$11:$ES$94,112)</f>
        <v>81</v>
      </c>
      <c r="X32" s="48"/>
      <c r="Y32" s="94" t="str">
        <f>IF(AT32="","",IF(AT32&lt;='[3]Basic Data Entry Sheet'!$G$25,"Nil",IF(AT32&lt;='[3]Basic Data Entry Sheet'!$G$24,"Fail",IF(AT32&lt;='[3]Basic Data Entry Sheet'!$G$23,"Pass",IF(AT32&lt;='[3]Basic Data Entry Sheet'!$G$22,"Fair",IF(AT32&lt;='[3]Basic Data Entry Sheet'!$G$21,"Average",IF(AT32&lt;='[3]Basic Data Entry Sheet'!$G$20,"Good",IF(AT32&lt;='[3]Basic Data Entry Sheet'!$G$19,"Very Good",IF(AT32&lt;='[3]Basic Data Entry Sheet'!$G$18,"Excellent","Distinction")))))))))</f>
        <v>Nil</v>
      </c>
      <c r="Z32" s="94"/>
      <c r="AA32" s="95"/>
      <c r="AC32" s="152"/>
      <c r="AD32" s="153"/>
      <c r="AE32" s="153"/>
      <c r="AF32" s="153"/>
      <c r="AG32" s="154"/>
      <c r="AH32" s="10">
        <v>1</v>
      </c>
      <c r="AI32" s="10">
        <v>2</v>
      </c>
      <c r="AJ32" s="10">
        <v>3</v>
      </c>
      <c r="AK32" s="10">
        <v>4</v>
      </c>
      <c r="AL32" s="20"/>
      <c r="AM32" s="22"/>
      <c r="AN32" s="22"/>
      <c r="AO32" s="19"/>
      <c r="AP32" s="181"/>
      <c r="AT32">
        <f>O32/$AT$23*100</f>
        <v>0</v>
      </c>
    </row>
    <row r="33" spans="2:46" ht="15" customHeight="1">
      <c r="B33" s="119"/>
      <c r="C33" s="120"/>
      <c r="D33" s="120"/>
      <c r="E33" s="120"/>
      <c r="F33" s="120"/>
      <c r="G33" s="120"/>
      <c r="H33" s="3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  <c r="W33" s="49"/>
      <c r="X33" s="89"/>
      <c r="Y33" s="89"/>
      <c r="Z33" s="89"/>
      <c r="AA33" s="90"/>
      <c r="AC33" s="131" t="s">
        <v>21</v>
      </c>
      <c r="AD33" s="132"/>
      <c r="AE33" s="132"/>
      <c r="AF33" s="132"/>
      <c r="AG33" s="133"/>
      <c r="AH33" s="111"/>
      <c r="AI33" s="111"/>
      <c r="AJ33" s="113" t="s">
        <v>12</v>
      </c>
      <c r="AK33" s="111"/>
      <c r="AL33" s="20"/>
      <c r="AM33" s="22"/>
      <c r="AN33" s="22"/>
      <c r="AO33" s="19"/>
      <c r="AP33" s="181"/>
    </row>
    <row r="34" spans="2:46" ht="15" customHeight="1">
      <c r="B34" s="83" t="str">
        <f>'[2]student sheet'!$W$1</f>
        <v>GOVERNMENT</v>
      </c>
      <c r="C34" s="84"/>
      <c r="D34" s="84"/>
      <c r="E34" s="84"/>
      <c r="F34" s="84"/>
      <c r="G34" s="84"/>
      <c r="H34" s="84"/>
      <c r="I34" s="47" t="str">
        <f>VLOOKUP(AB9, '[1]Marksheet T1'!$A$11:$ES$94,36)</f>
        <v/>
      </c>
      <c r="J34" s="48"/>
      <c r="K34" s="47" t="str">
        <f>VLOOKUP(AB9, '[1]Marksheet T1'!$A$11:$ES$94,37)</f>
        <v/>
      </c>
      <c r="L34" s="48"/>
      <c r="M34" s="47" t="str">
        <f>VLOOKUP(AB9, '[1]Marksheet T1'!$A$11:$ES$94,38)</f>
        <v/>
      </c>
      <c r="N34" s="48"/>
      <c r="O34" s="47">
        <f>VLOOKUP(AB9, '[1]Marksheet T1'!$A$11:$ES$94,39)</f>
        <v>0</v>
      </c>
      <c r="P34" s="48"/>
      <c r="Q34" s="47" t="str">
        <f>VLOOKUP(AB9, '[1]Marksheet T1'!$A$11:$ES$94,41)</f>
        <v>-</v>
      </c>
      <c r="R34" s="48"/>
      <c r="S34" s="47" t="str">
        <f>VLOOKUP(AB9, '[1]Marksheet T1'!$A$11:$ES$94,117)</f>
        <v>N.R</v>
      </c>
      <c r="T34" s="48"/>
      <c r="U34" s="47">
        <f>VLOOKUP(AB9, '[1]Marksheet T1'!$A$11:$ES$94,115)</f>
        <v>0</v>
      </c>
      <c r="V34" s="48"/>
      <c r="W34" s="47">
        <f>VLOOKUP(AB9, '[1]Marksheet T1'!$A$11:$ES$94,116)</f>
        <v>95</v>
      </c>
      <c r="X34" s="48"/>
      <c r="Y34" s="94" t="str">
        <f>IF(AT34="","",IF(AT34&lt;='[3]Basic Data Entry Sheet'!$G$25,"Nil",IF(AT34&lt;='[3]Basic Data Entry Sheet'!$G$24,"Fail",IF(AT34&lt;='[3]Basic Data Entry Sheet'!$G$23,"Pass",IF(AT34&lt;='[3]Basic Data Entry Sheet'!$G$22,"Fair",IF(AT34&lt;='[3]Basic Data Entry Sheet'!$G$21,"Average",IF(AT34&lt;='[3]Basic Data Entry Sheet'!$G$20,"Good",IF(AT34&lt;='[3]Basic Data Entry Sheet'!$G$19,"Very Good",IF(AT34&lt;='[3]Basic Data Entry Sheet'!$G$18,"Excellent","Distinction")))))))))</f>
        <v>Nil</v>
      </c>
      <c r="Z34" s="94"/>
      <c r="AA34" s="95"/>
      <c r="AC34" s="134"/>
      <c r="AD34" s="135"/>
      <c r="AE34" s="135"/>
      <c r="AF34" s="135"/>
      <c r="AG34" s="136"/>
      <c r="AH34" s="112"/>
      <c r="AI34" s="112"/>
      <c r="AJ34" s="114"/>
      <c r="AK34" s="112"/>
      <c r="AL34" s="20"/>
      <c r="AM34" s="22"/>
      <c r="AN34" s="22"/>
      <c r="AO34" s="19"/>
      <c r="AP34" s="181"/>
      <c r="AT34">
        <f>O34/$AT$23*100</f>
        <v>0</v>
      </c>
    </row>
    <row r="35" spans="2:46" ht="17.25">
      <c r="B35" s="87"/>
      <c r="C35" s="88"/>
      <c r="D35" s="88"/>
      <c r="E35" s="88"/>
      <c r="F35" s="88"/>
      <c r="G35" s="88"/>
      <c r="H35" s="40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89"/>
      <c r="Y35" s="89"/>
      <c r="Z35" s="89"/>
      <c r="AA35" s="90"/>
      <c r="AC35" s="216" t="s">
        <v>22</v>
      </c>
      <c r="AD35" s="216"/>
      <c r="AE35" s="216"/>
      <c r="AF35" s="216"/>
      <c r="AG35" s="216"/>
      <c r="AH35" s="111"/>
      <c r="AI35" s="113" t="s">
        <v>12</v>
      </c>
      <c r="AJ35" s="111"/>
      <c r="AK35" s="111"/>
      <c r="AL35" s="20"/>
      <c r="AM35" s="22"/>
      <c r="AN35" s="22"/>
      <c r="AO35" s="19"/>
      <c r="AP35" s="181"/>
    </row>
    <row r="36" spans="2:46" ht="18" thickBot="1">
      <c r="B36" s="220" t="str">
        <f>'[2]student sheet'!$AA$1</f>
        <v>CRS</v>
      </c>
      <c r="C36" s="221"/>
      <c r="D36" s="221"/>
      <c r="E36" s="221"/>
      <c r="F36" s="221"/>
      <c r="G36" s="221"/>
      <c r="H36" s="221"/>
      <c r="I36" s="50" t="str">
        <f>VLOOKUP(AB9, '[1]Marksheet T1'!$A$11:$ES$94,42)</f>
        <v/>
      </c>
      <c r="J36" s="51"/>
      <c r="K36" s="50" t="str">
        <f>VLOOKUP(AB9, '[1]Marksheet T1'!$A$11:$ES$94,43)</f>
        <v/>
      </c>
      <c r="L36" s="51"/>
      <c r="M36" s="50" t="str">
        <f>VLOOKUP(AB9, '[1]Marksheet T1'!$A$11:$ES$94,44)</f>
        <v/>
      </c>
      <c r="N36" s="51"/>
      <c r="O36" s="50">
        <f>VLOOKUP(AB9, '[1]Marksheet T1'!$A$11:$ES$94,45)</f>
        <v>0</v>
      </c>
      <c r="P36" s="51"/>
      <c r="Q36" s="50" t="str">
        <f>VLOOKUP(AB9, '[1]Marksheet T1'!$A$11:$ES$94,47)</f>
        <v>-</v>
      </c>
      <c r="R36" s="51"/>
      <c r="S36" s="50" t="str">
        <f>VLOOKUP(AB9, '[1]Marksheet T1'!$A$11:$ES$94,121)</f>
        <v>N.R</v>
      </c>
      <c r="T36" s="51"/>
      <c r="U36" s="50">
        <f>VLOOKUP(AB9, '[1]Marksheet T1'!$A$11:$ES$94,119)</f>
        <v>0</v>
      </c>
      <c r="V36" s="51"/>
      <c r="W36" s="50">
        <f>VLOOKUP(AB9, '[1]Marksheet T1'!$A$11:$ES$94,120)</f>
        <v>82</v>
      </c>
      <c r="X36" s="51"/>
      <c r="Y36" s="218" t="str">
        <f>IF(AT36="","",IF(AT36&lt;='[3]Basic Data Entry Sheet'!$G$25,"Nil",IF(AT36&lt;='[3]Basic Data Entry Sheet'!$G$24,"Fail",IF(AT36&lt;='[3]Basic Data Entry Sheet'!$G$23,"Pass",IF(AT36&lt;='[3]Basic Data Entry Sheet'!$G$22,"Fair",IF(AT36&lt;='[3]Basic Data Entry Sheet'!$G$21,"Average",IF(AT36&lt;='[3]Basic Data Entry Sheet'!$G$20,"Good",IF(AT36&lt;='[3]Basic Data Entry Sheet'!$G$19,"Very Good",IF(AT36&lt;='[3]Basic Data Entry Sheet'!$G$18,"Excellent","Distinction")))))))))</f>
        <v>Nil</v>
      </c>
      <c r="Z36" s="218"/>
      <c r="AA36" s="219"/>
      <c r="AC36" s="216"/>
      <c r="AD36" s="216"/>
      <c r="AE36" s="216"/>
      <c r="AF36" s="216"/>
      <c r="AG36" s="216"/>
      <c r="AH36" s="112"/>
      <c r="AI36" s="114"/>
      <c r="AJ36" s="112"/>
      <c r="AK36" s="112"/>
      <c r="AL36" s="20"/>
      <c r="AM36" s="22"/>
      <c r="AN36" s="22"/>
      <c r="AO36" s="19"/>
      <c r="AP36" s="181"/>
      <c r="AT36">
        <f>O36/$AT$23*100</f>
        <v>0</v>
      </c>
    </row>
    <row r="37" spans="2:46">
      <c r="B37" s="137" t="s">
        <v>68</v>
      </c>
      <c r="C37" s="137"/>
      <c r="D37" s="137"/>
      <c r="E37" s="137"/>
      <c r="F37" s="137"/>
      <c r="G37" s="137"/>
      <c r="H37" s="137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C37" s="222" t="s">
        <v>23</v>
      </c>
      <c r="AD37" s="222"/>
      <c r="AE37" s="222"/>
      <c r="AF37" s="222"/>
      <c r="AG37" s="222"/>
      <c r="AH37" s="7"/>
      <c r="AI37" s="8" t="s">
        <v>12</v>
      </c>
      <c r="AJ37" s="7"/>
      <c r="AK37" s="7"/>
      <c r="AL37" s="20"/>
      <c r="AM37" s="22"/>
      <c r="AN37" s="22"/>
      <c r="AO37" s="19"/>
      <c r="AP37" s="181"/>
    </row>
    <row r="38" spans="2:46">
      <c r="B38" s="138"/>
      <c r="C38" s="138"/>
      <c r="D38" s="138"/>
      <c r="E38" s="138"/>
      <c r="F38" s="138"/>
      <c r="G38" s="138"/>
      <c r="H38" s="138"/>
      <c r="I38" s="138"/>
      <c r="J38" s="138"/>
      <c r="K38" s="138"/>
      <c r="L38" s="138"/>
      <c r="M38" s="138"/>
      <c r="N38" s="138"/>
      <c r="O38" s="138"/>
      <c r="P38" s="138"/>
      <c r="Q38" s="138"/>
      <c r="R38" s="138"/>
      <c r="S38" s="138"/>
      <c r="T38" s="138"/>
      <c r="U38" s="138"/>
      <c r="V38" s="138"/>
      <c r="W38" s="138"/>
      <c r="X38" s="138"/>
      <c r="Y38" s="138"/>
      <c r="Z38" s="138"/>
      <c r="AA38" s="138"/>
      <c r="AC38" s="216" t="s">
        <v>24</v>
      </c>
      <c r="AD38" s="216"/>
      <c r="AE38" s="216"/>
      <c r="AF38" s="216"/>
      <c r="AG38" s="216"/>
      <c r="AH38" s="111"/>
      <c r="AI38" s="111"/>
      <c r="AJ38" s="113" t="s">
        <v>12</v>
      </c>
      <c r="AK38" s="111"/>
      <c r="AL38" s="20"/>
      <c r="AM38" s="22"/>
      <c r="AN38" s="22"/>
      <c r="AO38" s="19"/>
      <c r="AP38" s="181"/>
    </row>
    <row r="39" spans="2:46">
      <c r="B39" s="138"/>
      <c r="C39" s="138"/>
      <c r="D39" s="138"/>
      <c r="E39" s="138"/>
      <c r="F39" s="138"/>
      <c r="G39" s="138"/>
      <c r="H39" s="138"/>
      <c r="I39" s="138"/>
      <c r="J39" s="138"/>
      <c r="K39" s="138"/>
      <c r="L39" s="138"/>
      <c r="M39" s="138"/>
      <c r="N39" s="138"/>
      <c r="O39" s="138"/>
      <c r="P39" s="138"/>
      <c r="Q39" s="138"/>
      <c r="R39" s="138"/>
      <c r="S39" s="138"/>
      <c r="T39" s="138"/>
      <c r="U39" s="138"/>
      <c r="V39" s="138"/>
      <c r="W39" s="138"/>
      <c r="X39" s="138"/>
      <c r="Y39" s="138"/>
      <c r="Z39" s="138"/>
      <c r="AA39" s="138"/>
      <c r="AC39" s="216"/>
      <c r="AD39" s="216"/>
      <c r="AE39" s="216"/>
      <c r="AF39" s="216"/>
      <c r="AG39" s="216"/>
      <c r="AH39" s="112"/>
      <c r="AI39" s="112"/>
      <c r="AJ39" s="114"/>
      <c r="AK39" s="112"/>
      <c r="AL39" s="20"/>
      <c r="AM39" s="22"/>
      <c r="AN39" s="22"/>
      <c r="AO39" s="19"/>
      <c r="AP39" s="181"/>
    </row>
    <row r="40" spans="2:46" ht="15.75" thickBot="1">
      <c r="B40" s="139"/>
      <c r="C40" s="139"/>
      <c r="D40" s="139"/>
      <c r="E40" s="139"/>
      <c r="F40" s="139"/>
      <c r="G40" s="139"/>
      <c r="H40" s="139"/>
      <c r="I40" s="139"/>
      <c r="J40" s="139"/>
      <c r="K40" s="139"/>
      <c r="L40" s="139"/>
      <c r="M40" s="139"/>
      <c r="N40" s="139"/>
      <c r="O40" s="139"/>
      <c r="P40" s="139"/>
      <c r="Q40" s="139"/>
      <c r="R40" s="139"/>
      <c r="S40" s="139"/>
      <c r="T40" s="139"/>
      <c r="U40" s="139"/>
      <c r="V40" s="139"/>
      <c r="W40" s="139"/>
      <c r="X40" s="139"/>
      <c r="Y40" s="139"/>
      <c r="Z40" s="139"/>
      <c r="AA40" s="139"/>
      <c r="AC40" s="216" t="s">
        <v>25</v>
      </c>
      <c r="AD40" s="216"/>
      <c r="AE40" s="216"/>
      <c r="AF40" s="216"/>
      <c r="AG40" s="216"/>
      <c r="AH40" s="144"/>
      <c r="AI40" s="142"/>
      <c r="AJ40" s="113" t="s">
        <v>12</v>
      </c>
      <c r="AK40" s="140"/>
      <c r="AL40" s="20"/>
      <c r="AM40" s="22"/>
      <c r="AN40" s="22"/>
      <c r="AO40" s="19"/>
      <c r="AP40" s="181"/>
    </row>
    <row r="41" spans="2:46" ht="17.25">
      <c r="B41" s="85" t="str">
        <f>'[2]student sheet'!$AE$1</f>
        <v>ECONOMICS</v>
      </c>
      <c r="C41" s="86"/>
      <c r="D41" s="86"/>
      <c r="E41" s="86"/>
      <c r="F41" s="86"/>
      <c r="G41" s="86"/>
      <c r="H41" s="86"/>
      <c r="I41" s="52" t="str">
        <f>VLOOKUP(AB9, '[1]Marksheet T1'!$A$11:$ES$94,48)</f>
        <v/>
      </c>
      <c r="J41" s="53"/>
      <c r="K41" s="52" t="str">
        <f>VLOOKUP(AB9, '[1]Marksheet T1'!$A$11:$ES$94,49)</f>
        <v/>
      </c>
      <c r="L41" s="53"/>
      <c r="M41" s="52" t="str">
        <f>VLOOKUP(AB9, '[1]Marksheet T1'!$A$11:$ES$94,50)</f>
        <v/>
      </c>
      <c r="N41" s="53"/>
      <c r="O41" s="52">
        <f>VLOOKUP(AB9, '[1]Marksheet T1'!$A$11:$ES$94,51)</f>
        <v>0</v>
      </c>
      <c r="P41" s="53"/>
      <c r="Q41" s="52" t="str">
        <f>VLOOKUP(AB9, '[1]Marksheet T1'!$A$11:$ES$94,53)</f>
        <v>-</v>
      </c>
      <c r="R41" s="53"/>
      <c r="S41" s="52" t="str">
        <f>VLOOKUP(AB9, '[1]Marksheet T1'!$A$11:$ES$94,125)</f>
        <v>N.R</v>
      </c>
      <c r="T41" s="53"/>
      <c r="U41" s="52">
        <f>VLOOKUP(AB9, '[1]Marksheet T1'!$A$11:$ES$94,123)</f>
        <v>0</v>
      </c>
      <c r="V41" s="53"/>
      <c r="W41" s="52">
        <f>VLOOKUP(AB9, '[1]Marksheet T1'!$A$11:$ES$94,124)</f>
        <v>16</v>
      </c>
      <c r="X41" s="53"/>
      <c r="Y41" s="223" t="str">
        <f>IF(AT41="","",IF(AT41&lt;='[3]Basic Data Entry Sheet'!$G$25,"Nil",IF(AT41&lt;='[3]Basic Data Entry Sheet'!$G$24,"Fail",IF(AT41&lt;='[3]Basic Data Entry Sheet'!$G$23,"Pass",IF(AT41&lt;='[3]Basic Data Entry Sheet'!$G$22,"Fair",IF(AT41&lt;='[3]Basic Data Entry Sheet'!$G$21,"Average",IF(AT41&lt;='[3]Basic Data Entry Sheet'!$G$20,"Good",IF(AT41&lt;='[3]Basic Data Entry Sheet'!$G$19,"Very Good",IF(AT41&lt;='[3]Basic Data Entry Sheet'!$G$18,"Excellent","Distinction")))))))))</f>
        <v>Nil</v>
      </c>
      <c r="Z41" s="223"/>
      <c r="AA41" s="224"/>
      <c r="AC41" s="217"/>
      <c r="AD41" s="217"/>
      <c r="AE41" s="217"/>
      <c r="AF41" s="217"/>
      <c r="AG41" s="217"/>
      <c r="AH41" s="145"/>
      <c r="AI41" s="143"/>
      <c r="AJ41" s="114"/>
      <c r="AK41" s="141"/>
      <c r="AL41" s="20"/>
      <c r="AM41" s="22"/>
      <c r="AN41" s="22"/>
      <c r="AO41" s="19"/>
      <c r="AP41" s="181"/>
      <c r="AT41">
        <f>O41/$AT$23*100</f>
        <v>0</v>
      </c>
    </row>
    <row r="42" spans="2:46" ht="17.25">
      <c r="B42" s="119"/>
      <c r="C42" s="120"/>
      <c r="D42" s="120"/>
      <c r="E42" s="120"/>
      <c r="F42" s="120"/>
      <c r="G42" s="120"/>
      <c r="H42" s="42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  <c r="W42" s="49"/>
      <c r="X42" s="49"/>
      <c r="Y42" s="89"/>
      <c r="Z42" s="89"/>
      <c r="AA42" s="90"/>
      <c r="AC42" s="207" t="s">
        <v>72</v>
      </c>
      <c r="AD42" s="208"/>
      <c r="AE42" s="208"/>
      <c r="AF42" s="208"/>
      <c r="AG42" s="208"/>
      <c r="AH42" s="208"/>
      <c r="AI42" s="208"/>
      <c r="AJ42" s="208"/>
      <c r="AK42" s="209"/>
      <c r="AL42" s="20"/>
      <c r="AM42" s="22"/>
      <c r="AN42" s="22"/>
      <c r="AO42" s="19"/>
      <c r="AP42" s="181"/>
    </row>
    <row r="43" spans="2:46" ht="17.25">
      <c r="B43" s="83" t="str">
        <f>'[2]student sheet'!$AI$1</f>
        <v>BIOLOGY</v>
      </c>
      <c r="C43" s="84"/>
      <c r="D43" s="84"/>
      <c r="E43" s="84"/>
      <c r="F43" s="84"/>
      <c r="G43" s="84"/>
      <c r="H43" s="84"/>
      <c r="I43" s="47" t="str">
        <f>VLOOKUP(AB9, '[1]Marksheet T1'!$A$11:$ES$94,54)</f>
        <v/>
      </c>
      <c r="J43" s="48"/>
      <c r="K43" s="47" t="str">
        <f>VLOOKUP(AB9, '[1]Marksheet T1'!$A$11:$ES$94,55)</f>
        <v/>
      </c>
      <c r="L43" s="48"/>
      <c r="M43" s="47" t="str">
        <f>VLOOKUP(AB9, '[1]Marksheet T1'!$A$11:$ES$94,56)</f>
        <v/>
      </c>
      <c r="N43" s="48"/>
      <c r="O43" s="47">
        <f>VLOOKUP(AB9, '[1]Marksheet T1'!$A$11:$ES$94,57)</f>
        <v>0</v>
      </c>
      <c r="P43" s="48"/>
      <c r="Q43" s="47" t="str">
        <f>VLOOKUP(AB9, '[1]Marksheet T1'!$A$11:$ES$94,59)</f>
        <v>-</v>
      </c>
      <c r="R43" s="48"/>
      <c r="S43" s="47" t="str">
        <f>VLOOKUP(AB9, '[1]Marksheet T1'!$A$11:$ES$94,129)</f>
        <v>N.R</v>
      </c>
      <c r="T43" s="48"/>
      <c r="U43" s="47">
        <f>VLOOKUP(AB9, '[1]Marksheet T1'!$A$11:$ES$94,127)</f>
        <v>0</v>
      </c>
      <c r="V43" s="48"/>
      <c r="W43" s="47">
        <f>VLOOKUP(AB9, '[1]Marksheet T1'!$A$11:$ES$94,128)</f>
        <v>56</v>
      </c>
      <c r="X43" s="48"/>
      <c r="Y43" s="94" t="str">
        <f>IF(AT43="","",IF(AT43&lt;='[3]Basic Data Entry Sheet'!$G$25,"Nil",IF(AT43&lt;='[3]Basic Data Entry Sheet'!$G$24,"Fail",IF(AT43&lt;='[3]Basic Data Entry Sheet'!$G$23,"Pass",IF(AT43&lt;='[3]Basic Data Entry Sheet'!$G$22,"Fair",IF(AT43&lt;='[3]Basic Data Entry Sheet'!$G$21,"Average",IF(AT43&lt;='[3]Basic Data Entry Sheet'!$G$20,"Good",IF(AT43&lt;='[3]Basic Data Entry Sheet'!$G$19,"Very Good",IF(AT43&lt;='[3]Basic Data Entry Sheet'!$G$18,"Excellent","Distinction")))))))))</f>
        <v>Nil</v>
      </c>
      <c r="Z43" s="94"/>
      <c r="AA43" s="95"/>
      <c r="AC43" s="210"/>
      <c r="AD43" s="211"/>
      <c r="AE43" s="211"/>
      <c r="AF43" s="211"/>
      <c r="AG43" s="211"/>
      <c r="AH43" s="211"/>
      <c r="AI43" s="211"/>
      <c r="AJ43" s="211"/>
      <c r="AK43" s="212"/>
      <c r="AL43" s="20"/>
      <c r="AM43" s="22"/>
      <c r="AN43" s="22"/>
      <c r="AO43" s="19"/>
      <c r="AP43" s="181"/>
      <c r="AT43">
        <f>O43/$AT$23*100</f>
        <v>0</v>
      </c>
    </row>
    <row r="44" spans="2:46" ht="17.25">
      <c r="B44" s="119"/>
      <c r="C44" s="120"/>
      <c r="D44" s="120"/>
      <c r="E44" s="120"/>
      <c r="F44" s="120"/>
      <c r="G44" s="120"/>
      <c r="H44" s="42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  <c r="V44" s="49"/>
      <c r="W44" s="49"/>
      <c r="X44" s="49"/>
      <c r="Y44" s="89"/>
      <c r="Z44" s="89"/>
      <c r="AA44" s="90"/>
      <c r="AC44" s="210"/>
      <c r="AD44" s="211"/>
      <c r="AE44" s="211"/>
      <c r="AF44" s="211"/>
      <c r="AG44" s="211"/>
      <c r="AH44" s="211"/>
      <c r="AI44" s="211"/>
      <c r="AJ44" s="211"/>
      <c r="AK44" s="212"/>
      <c r="AL44" s="20"/>
      <c r="AM44" s="22"/>
      <c r="AN44" s="22"/>
      <c r="AO44" s="19"/>
      <c r="AP44" s="181"/>
    </row>
    <row r="45" spans="2:46" ht="17.25">
      <c r="B45" s="83" t="str">
        <f>'[2]student sheet'!$AM$1</f>
        <v>MARKETING</v>
      </c>
      <c r="C45" s="84"/>
      <c r="D45" s="84"/>
      <c r="E45" s="84"/>
      <c r="F45" s="84"/>
      <c r="G45" s="84"/>
      <c r="H45" s="84"/>
      <c r="I45" s="47">
        <f>VLOOKUP(AB9, '[1]Marksheet T1'!$A$11:$ES$94,60)</f>
        <v>12</v>
      </c>
      <c r="J45" s="48"/>
      <c r="K45" s="47">
        <f>VLOOKUP(AB9, '[1]Marksheet T1'!$A$11:$ES$94,61)</f>
        <v>20</v>
      </c>
      <c r="L45" s="48"/>
      <c r="M45" s="47">
        <f>VLOOKUP(AB9, '[1]Marksheet T1'!$A$11:$ES$94,62)</f>
        <v>0</v>
      </c>
      <c r="N45" s="48"/>
      <c r="O45" s="47">
        <f>VLOOKUP(AB9, '[1]Marksheet T1'!$A$11:$ES$94,63)</f>
        <v>32</v>
      </c>
      <c r="P45" s="48"/>
      <c r="Q45" s="47" t="str">
        <f>VLOOKUP(AB9, '[1]Marksheet T1'!$A$11:$ES$94,65)</f>
        <v>B1</v>
      </c>
      <c r="R45" s="48"/>
      <c r="S45" s="47" t="str">
        <f>VLOOKUP(AB9, '[1]Marksheet T1'!$A$11:$ES$94,133)</f>
        <v>N.R</v>
      </c>
      <c r="T45" s="48"/>
      <c r="U45" s="47">
        <f>VLOOKUP(AB9, '[1]Marksheet T1'!$A$11:$ES$94,127)</f>
        <v>0</v>
      </c>
      <c r="V45" s="48"/>
      <c r="W45" s="47">
        <f>VLOOKUP(AB9, '[1]Marksheet T1'!$A$11:$ES$94,132)</f>
        <v>16</v>
      </c>
      <c r="X45" s="48"/>
      <c r="Y45" s="94" t="str">
        <f>IF(AT45="","",IF(AT45&lt;='[3]Basic Data Entry Sheet'!$G$25,"Nil",IF(AT45&lt;='[3]Basic Data Entry Sheet'!$G$24,"Fail",IF(AT45&lt;='[3]Basic Data Entry Sheet'!$G$23,"Pass",IF(AT45&lt;='[3]Basic Data Entry Sheet'!$G$22,"Fair",IF(AT45&lt;='[3]Basic Data Entry Sheet'!$G$21,"Average",IF(AT45&lt;='[3]Basic Data Entry Sheet'!$G$20,"Good",IF(AT45&lt;='[3]Basic Data Entry Sheet'!$G$19,"Very Good",IF(AT45&lt;='[3]Basic Data Entry Sheet'!$G$18,"Excellent","Distinction")))))))))</f>
        <v>Fail</v>
      </c>
      <c r="Z45" s="94"/>
      <c r="AA45" s="95"/>
      <c r="AC45" s="213"/>
      <c r="AD45" s="214"/>
      <c r="AE45" s="214"/>
      <c r="AF45" s="214"/>
      <c r="AG45" s="214"/>
      <c r="AH45" s="214"/>
      <c r="AI45" s="214"/>
      <c r="AJ45" s="214"/>
      <c r="AK45" s="215"/>
      <c r="AL45" s="20"/>
      <c r="AM45" s="22"/>
      <c r="AN45" s="22"/>
      <c r="AO45" s="19"/>
      <c r="AP45" s="181"/>
      <c r="AT45">
        <f>O45/$AT$23*100</f>
        <v>32</v>
      </c>
    </row>
    <row r="46" spans="2:46" ht="17.25">
      <c r="B46" s="119"/>
      <c r="C46" s="120"/>
      <c r="D46" s="120"/>
      <c r="E46" s="120"/>
      <c r="F46" s="120"/>
      <c r="G46" s="120"/>
      <c r="H46" s="42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  <c r="X46" s="89"/>
      <c r="Y46" s="89"/>
      <c r="Z46" s="89"/>
      <c r="AA46" s="90"/>
      <c r="AC46" s="164" t="s">
        <v>26</v>
      </c>
      <c r="AD46" s="165"/>
      <c r="AE46" s="165"/>
      <c r="AF46" s="165"/>
      <c r="AG46" s="166"/>
      <c r="AH46" s="164" t="s">
        <v>27</v>
      </c>
      <c r="AI46" s="165"/>
      <c r="AJ46" s="165"/>
      <c r="AK46" s="166"/>
      <c r="AL46" s="20"/>
      <c r="AM46" s="22"/>
      <c r="AN46" s="22"/>
      <c r="AO46" s="19"/>
      <c r="AP46" s="181"/>
    </row>
    <row r="47" spans="2:46" ht="18" thickBot="1">
      <c r="B47" s="83" t="str">
        <f>'[2]student sheet'!$AQ$1</f>
        <v>ANIMAL HUS.</v>
      </c>
      <c r="C47" s="84"/>
      <c r="D47" s="84"/>
      <c r="E47" s="84"/>
      <c r="F47" s="84"/>
      <c r="G47" s="84"/>
      <c r="H47" s="84"/>
      <c r="I47" s="47" t="str">
        <f>VLOOKUP(AB9, '[1]Marksheet T1'!$A$11:$ES$94,66)</f>
        <v/>
      </c>
      <c r="J47" s="48"/>
      <c r="K47" s="47" t="str">
        <f>VLOOKUP(AB9, '[1]Marksheet T1'!$A$11:$ES$94,67)</f>
        <v/>
      </c>
      <c r="L47" s="48"/>
      <c r="M47" s="47" t="str">
        <f>VLOOKUP(AB9, '[1]Marksheet T1'!$A$11:$ES$94,68)</f>
        <v/>
      </c>
      <c r="N47" s="48"/>
      <c r="O47" s="47">
        <f>VLOOKUP(AB9, '[1]Marksheet T1'!$A$11:$ES$94,69)</f>
        <v>0</v>
      </c>
      <c r="P47" s="48"/>
      <c r="Q47" s="47" t="str">
        <f>VLOOKUP(AB9, '[1]Marksheet T1'!$A$11:$ES$94,71)</f>
        <v>-</v>
      </c>
      <c r="R47" s="48"/>
      <c r="S47" s="47" t="str">
        <f>VLOOKUP(AB9, '[1]Marksheet T1'!$A$11:$ES$94,137)</f>
        <v>N.R</v>
      </c>
      <c r="T47" s="48"/>
      <c r="U47" s="47">
        <f>VLOOKUP(AB9, '[1]Marksheet T1'!$A$11:$ES$94,135)</f>
        <v>0</v>
      </c>
      <c r="V47" s="48"/>
      <c r="W47" s="47">
        <f>VLOOKUP(AB9, '[1]Marksheet T1'!$A$11:$ES$94,135)</f>
        <v>0</v>
      </c>
      <c r="X47" s="48"/>
      <c r="Y47" s="94" t="str">
        <f>IF(AT47="","",IF(AT47&lt;='[3]Basic Data Entry Sheet'!$G$25,"Nil",IF(AT47&lt;='[3]Basic Data Entry Sheet'!$G$24,"Fail",IF(AT47&lt;='[3]Basic Data Entry Sheet'!$G$23,"Pass",IF(AT47&lt;='[3]Basic Data Entry Sheet'!$G$22,"Fair",IF(AT47&lt;='[3]Basic Data Entry Sheet'!$G$21,"Average",IF(AT47&lt;='[3]Basic Data Entry Sheet'!$G$20,"Good",IF(AT47&lt;='[3]Basic Data Entry Sheet'!$G$19,"Very Good",IF(AT47&lt;='[3]Basic Data Entry Sheet'!$G$18,"Excellent","Distinction")))))))))</f>
        <v>Nil</v>
      </c>
      <c r="Z47" s="94"/>
      <c r="AA47" s="95"/>
      <c r="AC47" s="144" t="s">
        <v>28</v>
      </c>
      <c r="AD47" s="167"/>
      <c r="AE47" s="167"/>
      <c r="AF47" s="167"/>
      <c r="AG47" s="142"/>
      <c r="AH47" s="144" t="s">
        <v>29</v>
      </c>
      <c r="AI47" s="167"/>
      <c r="AJ47" s="167"/>
      <c r="AK47" s="142"/>
      <c r="AL47" s="20"/>
      <c r="AM47" s="22"/>
      <c r="AN47" s="22"/>
      <c r="AO47" s="19"/>
      <c r="AP47" s="181"/>
      <c r="AT47">
        <f>O47/$AT$23*100</f>
        <v>0</v>
      </c>
    </row>
    <row r="48" spans="2:46" ht="17.25">
      <c r="B48" s="119"/>
      <c r="C48" s="120"/>
      <c r="D48" s="120"/>
      <c r="E48" s="120"/>
      <c r="F48" s="120"/>
      <c r="G48" s="120"/>
      <c r="H48" s="42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89"/>
      <c r="Y48" s="89"/>
      <c r="Z48" s="89"/>
      <c r="AA48" s="90"/>
      <c r="AC48" s="161" t="s">
        <v>30</v>
      </c>
      <c r="AD48" s="162"/>
      <c r="AE48" s="162"/>
      <c r="AF48" s="162"/>
      <c r="AG48" s="162"/>
      <c r="AH48" s="162"/>
      <c r="AI48" s="162"/>
      <c r="AJ48" s="162"/>
      <c r="AK48" s="163"/>
      <c r="AL48" s="20"/>
      <c r="AM48" s="22"/>
      <c r="AN48" s="22"/>
      <c r="AO48" s="19"/>
      <c r="AP48" s="181"/>
    </row>
    <row r="49" spans="2:46" ht="18" thickBot="1">
      <c r="B49" s="83" t="str">
        <f>'[2]student sheet'!$AU$1</f>
        <v>IGBO LANG.</v>
      </c>
      <c r="C49" s="84"/>
      <c r="D49" s="84"/>
      <c r="E49" s="84"/>
      <c r="F49" s="84"/>
      <c r="G49" s="84"/>
      <c r="H49" s="84"/>
      <c r="I49" s="47" t="str">
        <f>VLOOKUP(AB9, '[1]Marksheet T1'!$A$11:$ES$94,72)</f>
        <v/>
      </c>
      <c r="J49" s="48"/>
      <c r="K49" s="47" t="str">
        <f>VLOOKUP(AB9, '[1]Marksheet T1'!$A$11:$ES$94,73)</f>
        <v/>
      </c>
      <c r="L49" s="48"/>
      <c r="M49" s="47" t="str">
        <f>VLOOKUP(AB9, '[1]Marksheet T1'!$A$11:$ES$94,74)</f>
        <v/>
      </c>
      <c r="N49" s="48"/>
      <c r="O49" s="47">
        <f>VLOOKUP(AB9, '[1]Marksheet T1'!$A$11:$ES$94,75)</f>
        <v>0</v>
      </c>
      <c r="P49" s="48"/>
      <c r="Q49" s="47" t="str">
        <f>VLOOKUP(AB9, '[1]Marksheet T1'!$A$11:$ES$94,77)</f>
        <v>-</v>
      </c>
      <c r="R49" s="48"/>
      <c r="S49" s="47" t="str">
        <f>VLOOKUP(AB9, '[1]Marksheet T1'!$A$11:$ES$94,141)</f>
        <v>N.R</v>
      </c>
      <c r="T49" s="48"/>
      <c r="U49" s="47">
        <f>VLOOKUP(AB9, '[1]Marksheet T1'!$A$11:$ES$94,139)</f>
        <v>0</v>
      </c>
      <c r="V49" s="48"/>
      <c r="W49" s="47">
        <f>VLOOKUP(AB9, '[1]Marksheet T1'!$A$11:$ES$94,140)</f>
        <v>16</v>
      </c>
      <c r="X49" s="48"/>
      <c r="Y49" s="94" t="str">
        <f>IF(AT49="","",IF(AT49&lt;='[3]Basic Data Entry Sheet'!$G$25,"Nil",IF(AT49&lt;='[3]Basic Data Entry Sheet'!$G$24,"Fail",IF(AT49&lt;='[3]Basic Data Entry Sheet'!$G$23,"Pass",IF(AT49&lt;='[3]Basic Data Entry Sheet'!$G$22,"Fair",IF(AT49&lt;='[3]Basic Data Entry Sheet'!$G$21,"Average",IF(AT49&lt;='[3]Basic Data Entry Sheet'!$G$20,"Good",IF(AT49&lt;='[3]Basic Data Entry Sheet'!$G$19,"Very Good",IF(AT49&lt;='[3]Basic Data Entry Sheet'!$G$18,"Excellent","Distinction")))))))))</f>
        <v>Nil</v>
      </c>
      <c r="Z49" s="94"/>
      <c r="AA49" s="95"/>
      <c r="AC49" s="197">
        <f>VLOOKUP(AB9, '[1]Marksheet T1'!$A$11:$ES$94,90)</f>
        <v>32</v>
      </c>
      <c r="AD49" s="198"/>
      <c r="AE49" s="198"/>
      <c r="AF49" s="198"/>
      <c r="AG49" s="198"/>
      <c r="AH49" s="198"/>
      <c r="AI49" s="198"/>
      <c r="AJ49" s="198"/>
      <c r="AK49" s="199"/>
      <c r="AL49" s="20"/>
      <c r="AM49" s="22"/>
      <c r="AN49" s="22"/>
      <c r="AO49" s="19"/>
      <c r="AP49" s="181"/>
      <c r="AT49">
        <f>O49/$AT$23*100</f>
        <v>0</v>
      </c>
    </row>
    <row r="50" spans="2:46" ht="17.25">
      <c r="B50" s="119"/>
      <c r="C50" s="120"/>
      <c r="D50" s="120"/>
      <c r="E50" s="120"/>
      <c r="F50" s="120"/>
      <c r="G50" s="120"/>
      <c r="H50" s="42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  <c r="V50" s="49"/>
      <c r="W50" s="49"/>
      <c r="X50" s="89"/>
      <c r="Y50" s="89"/>
      <c r="Z50" s="89"/>
      <c r="AA50" s="90"/>
      <c r="AC50" s="161" t="s">
        <v>31</v>
      </c>
      <c r="AD50" s="162"/>
      <c r="AE50" s="162"/>
      <c r="AF50" s="162"/>
      <c r="AG50" s="162"/>
      <c r="AH50" s="162"/>
      <c r="AI50" s="162"/>
      <c r="AJ50" s="162"/>
      <c r="AK50" s="163"/>
      <c r="AL50" s="20"/>
      <c r="AM50" s="22"/>
      <c r="AN50" s="22"/>
      <c r="AO50" s="19"/>
      <c r="AP50" s="181"/>
    </row>
    <row r="51" spans="2:46" ht="15" customHeight="1" thickBot="1">
      <c r="B51" s="83" t="str">
        <f>'[2]student sheet'!$AY$1</f>
        <v>COMPUTER SC</v>
      </c>
      <c r="C51" s="84"/>
      <c r="D51" s="84"/>
      <c r="E51" s="84"/>
      <c r="F51" s="84"/>
      <c r="G51" s="84"/>
      <c r="H51" s="84"/>
      <c r="I51" s="47" t="str">
        <f>VLOOKUP(AB9, '[1]Marksheet T1'!$A$11:$ES$94,78)</f>
        <v/>
      </c>
      <c r="J51" s="48"/>
      <c r="K51" s="47" t="str">
        <f>VLOOKUP(AB9, '[1]Marksheet T1'!$A$11:$ES$94,79)</f>
        <v/>
      </c>
      <c r="L51" s="48"/>
      <c r="M51" s="47" t="str">
        <f>VLOOKUP(AB9, '[1]Marksheet T1'!$A$11:$ES$94,80)</f>
        <v/>
      </c>
      <c r="N51" s="48"/>
      <c r="O51" s="47">
        <f>VLOOKUP(AB9, '[1]Marksheet T1'!$A$11:$ES$94,81)</f>
        <v>0</v>
      </c>
      <c r="P51" s="48"/>
      <c r="Q51" s="47" t="str">
        <f>VLOOKUP(AB9, '[1]Marksheet T1'!$A$11:$ES$94,83)</f>
        <v>-</v>
      </c>
      <c r="R51" s="48"/>
      <c r="S51" s="47" t="str">
        <f>VLOOKUP(AB9, '[1]Marksheet T1'!$A$11:$ES$94,145)</f>
        <v>N.R</v>
      </c>
      <c r="T51" s="48"/>
      <c r="U51" s="47">
        <f>VLOOKUP(AB9, '[1]Marksheet T1'!$A$11:$ES$94,143)</f>
        <v>0</v>
      </c>
      <c r="V51" s="48"/>
      <c r="W51" s="47">
        <f>VLOOKUP(AB9, '[1]Marksheet T1'!$A$11:$ES$94,144)</f>
        <v>67</v>
      </c>
      <c r="X51" s="48"/>
      <c r="Y51" s="94" t="str">
        <f>IF(AT51="","",IF(AT51&lt;='[3]Basic Data Entry Sheet'!$G$25,"Nil",IF(AT51&lt;='[3]Basic Data Entry Sheet'!$G$24,"Fail",IF(AT51&lt;='[3]Basic Data Entry Sheet'!$G$23,"Pass",IF(AT51&lt;='[3]Basic Data Entry Sheet'!$G$22,"Fair",IF(AT51&lt;='[3]Basic Data Entry Sheet'!$G$21,"Average",IF(AT51&lt;='[3]Basic Data Entry Sheet'!$G$20,"Good",IF(AT51&lt;='[3]Basic Data Entry Sheet'!$G$19,"Very Good",IF(AT51&lt;='[3]Basic Data Entry Sheet'!$G$18,"Excellent","Distinction")))))))))</f>
        <v>Nil</v>
      </c>
      <c r="Z51" s="94"/>
      <c r="AA51" s="95"/>
      <c r="AC51" s="197" t="str">
        <f>IF(S10="","",IF(S10&lt;=40%,"FAIL",IF(S10&lt;=45%,"ON TRIAL","PASS")))</f>
        <v>FAIL</v>
      </c>
      <c r="AD51" s="198"/>
      <c r="AE51" s="198"/>
      <c r="AF51" s="198"/>
      <c r="AG51" s="198"/>
      <c r="AH51" s="198"/>
      <c r="AI51" s="198"/>
      <c r="AJ51" s="198"/>
      <c r="AK51" s="199"/>
      <c r="AL51" s="20"/>
      <c r="AM51" s="22"/>
      <c r="AN51" s="22"/>
      <c r="AO51" s="19"/>
      <c r="AP51" s="181"/>
      <c r="AT51">
        <f>O51/$AT$23*100</f>
        <v>0</v>
      </c>
    </row>
    <row r="52" spans="2:46" ht="17.25">
      <c r="B52" s="41"/>
      <c r="C52" s="43"/>
      <c r="D52" s="43"/>
      <c r="E52" s="43"/>
      <c r="F52" s="43"/>
      <c r="G52" s="43"/>
      <c r="H52" s="43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  <c r="AA52" s="55"/>
      <c r="AC52" s="34"/>
      <c r="AD52" s="34"/>
      <c r="AE52" s="34"/>
      <c r="AF52" s="34"/>
      <c r="AG52" s="34"/>
      <c r="AH52" s="34"/>
      <c r="AI52" s="34"/>
      <c r="AJ52" s="34"/>
      <c r="AK52" s="34"/>
      <c r="AL52" s="20"/>
      <c r="AM52" s="22"/>
      <c r="AN52" s="22"/>
      <c r="AO52" s="19"/>
      <c r="AP52" s="181"/>
    </row>
    <row r="53" spans="2:46" ht="18" thickBot="1">
      <c r="B53" s="173" t="str">
        <f>'[2]student sheet'!$BC$1</f>
        <v>AGRICULTURAL SC</v>
      </c>
      <c r="C53" s="174"/>
      <c r="D53" s="174"/>
      <c r="E53" s="174"/>
      <c r="F53" s="174"/>
      <c r="G53" s="174"/>
      <c r="H53" s="174"/>
      <c r="I53" s="47" t="str">
        <f>VLOOKUP(AB9, '[1]Marksheet T1'!$A$11:$ES$94,84)</f>
        <v/>
      </c>
      <c r="J53" s="48"/>
      <c r="K53" s="56" t="str">
        <f>VLOOKUP(AB9, '[1]Marksheet T1'!$A$11:$ES$94,85)</f>
        <v/>
      </c>
      <c r="L53" s="48"/>
      <c r="M53" s="47" t="str">
        <f>VLOOKUP(AB9, '[1]Marksheet T1'!$A$11:$ES$94,86)</f>
        <v/>
      </c>
      <c r="N53" s="48"/>
      <c r="O53" s="47">
        <f>VLOOKUP(AB9, '[1]Marksheet T1'!$A$11:$ES$94,87)</f>
        <v>0</v>
      </c>
      <c r="P53" s="48"/>
      <c r="Q53" s="57" t="str">
        <f>VLOOKUP(AB9, '[1]Marksheet T1'!$A$11:$ES$94,89)</f>
        <v>-</v>
      </c>
      <c r="R53" s="48"/>
      <c r="S53" s="56" t="str">
        <f>VLOOKUP(AB9, '[1]Marksheet T1'!$A$11:$ES$94,149)</f>
        <v>N.R</v>
      </c>
      <c r="T53" s="48"/>
      <c r="U53" s="56">
        <f>VLOOKUP(AB9, '[1]Marksheet T1'!$A$11:$ES$94,147)</f>
        <v>0</v>
      </c>
      <c r="V53" s="48"/>
      <c r="W53" s="47">
        <f>VLOOKUP(AB9, '[1]Marksheet T1'!$A$11:$ES$94,148)</f>
        <v>76</v>
      </c>
      <c r="X53" s="48"/>
      <c r="Y53" s="171" t="str">
        <f>IF(AT53="","",IF(AT53&lt;='[3]Basic Data Entry Sheet'!$G$25,"Nil",IF(AT53&lt;='[3]Basic Data Entry Sheet'!$G$24,"Fail",IF(AT53&lt;='[3]Basic Data Entry Sheet'!$G$23,"Pass",IF(AT53&lt;='[3]Basic Data Entry Sheet'!$G$22,"Fair",IF(AT53&lt;='[3]Basic Data Entry Sheet'!$G$21,"Average",IF(AT53&lt;='[3]Basic Data Entry Sheet'!$G$20,"Good",IF(AT53&lt;='[3]Basic Data Entry Sheet'!$G$19,"Very Good",IF(AT53&lt;='[3]Basic Data Entry Sheet'!$G$18,"Excellent","Distinction")))))))))</f>
        <v>Nil</v>
      </c>
      <c r="Z53" s="171"/>
      <c r="AA53" s="172"/>
      <c r="AC53" s="175" t="s">
        <v>32</v>
      </c>
      <c r="AD53" s="176"/>
      <c r="AE53" s="176"/>
      <c r="AF53" s="176"/>
      <c r="AG53" s="176"/>
      <c r="AH53" s="176"/>
      <c r="AI53" s="176"/>
      <c r="AJ53" s="176"/>
      <c r="AK53" s="177"/>
      <c r="AL53" s="20"/>
      <c r="AM53" s="22"/>
      <c r="AN53" s="22"/>
      <c r="AO53" s="19"/>
      <c r="AP53" s="181"/>
      <c r="AT53">
        <f>O53/$AT$23*100</f>
        <v>0</v>
      </c>
    </row>
    <row r="54" spans="2:46" ht="15.75" thickBot="1">
      <c r="B54" s="59" t="s">
        <v>69</v>
      </c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  <c r="N54" s="60"/>
      <c r="O54" s="60"/>
      <c r="P54" s="60"/>
      <c r="Q54" s="60"/>
      <c r="R54" s="60"/>
      <c r="S54" s="60"/>
      <c r="T54" s="60"/>
      <c r="U54" s="60"/>
      <c r="V54" s="60"/>
      <c r="W54" s="60"/>
      <c r="X54" s="60"/>
      <c r="Y54" s="60"/>
      <c r="Z54" s="60"/>
      <c r="AA54" s="60"/>
      <c r="AC54" s="178"/>
      <c r="AD54" s="179"/>
      <c r="AE54" s="179"/>
      <c r="AF54" s="179"/>
      <c r="AG54" s="179"/>
      <c r="AH54" s="179"/>
      <c r="AI54" s="179"/>
      <c r="AJ54" s="179"/>
      <c r="AK54" s="180"/>
      <c r="AL54" s="20"/>
      <c r="AM54" s="22"/>
      <c r="AN54" s="22"/>
      <c r="AO54" s="19"/>
      <c r="AP54" s="181"/>
    </row>
    <row r="55" spans="2:46" ht="15.75" thickBot="1">
      <c r="B55" s="61"/>
      <c r="C55" s="61"/>
      <c r="D55" s="61"/>
      <c r="E55" s="61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C55" s="44" t="s">
        <v>33</v>
      </c>
      <c r="AD55" s="44" t="s">
        <v>34</v>
      </c>
      <c r="AE55" s="44" t="s">
        <v>35</v>
      </c>
      <c r="AF55" s="44" t="s">
        <v>36</v>
      </c>
      <c r="AG55" s="44" t="s">
        <v>37</v>
      </c>
      <c r="AH55" s="44" t="s">
        <v>38</v>
      </c>
      <c r="AI55" s="46" t="s">
        <v>39</v>
      </c>
      <c r="AJ55" s="44" t="s">
        <v>40</v>
      </c>
      <c r="AK55" s="44" t="s">
        <v>41</v>
      </c>
      <c r="AL55" s="20"/>
      <c r="AM55" s="22"/>
      <c r="AN55" s="22"/>
      <c r="AO55" s="19"/>
      <c r="AP55" s="181"/>
    </row>
    <row r="56" spans="2:46" ht="15.75" thickBot="1">
      <c r="B56" s="61"/>
      <c r="C56" s="61"/>
      <c r="D56" s="61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C56" s="45" t="s">
        <v>71</v>
      </c>
      <c r="AD56" s="38">
        <f>COUNTIF(B24:AA53,"A")</f>
        <v>0</v>
      </c>
      <c r="AE56" s="38">
        <f>COUNTIF(B24:AA53,"B1")</f>
        <v>1</v>
      </c>
      <c r="AF56" s="38">
        <f>COUNTIF(B24:AA53,"B2")</f>
        <v>0</v>
      </c>
      <c r="AG56" s="38">
        <f>COUNTIF(B24:AA53,"C4")</f>
        <v>0</v>
      </c>
      <c r="AH56" s="38">
        <f>COUNTIF(B24:AA53,"C5")</f>
        <v>0</v>
      </c>
      <c r="AI56" s="38">
        <f>COUNTIF(B24:AA53,"D")</f>
        <v>0</v>
      </c>
      <c r="AJ56" s="38">
        <f>COUNTIF(B24:AA53,"E8")</f>
        <v>0</v>
      </c>
      <c r="AK56" s="38">
        <f>COUNTIF(B24:AA53,"F9")</f>
        <v>0</v>
      </c>
      <c r="AL56" s="20"/>
      <c r="AM56" s="22"/>
      <c r="AN56" s="22"/>
      <c r="AO56" s="19"/>
      <c r="AP56" s="181"/>
    </row>
    <row r="57" spans="2:46">
      <c r="B57" s="61"/>
      <c r="C57" s="61"/>
      <c r="D57" s="61"/>
      <c r="E57" s="61"/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L57" s="20"/>
      <c r="AM57" s="22"/>
      <c r="AN57" s="22"/>
      <c r="AO57" s="19"/>
      <c r="AP57" s="181"/>
    </row>
    <row r="58" spans="2:46" ht="15" customHeight="1">
      <c r="B58" s="35"/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205" t="s">
        <v>74</v>
      </c>
      <c r="AD58" s="205"/>
      <c r="AE58" s="205"/>
      <c r="AF58" s="205"/>
      <c r="AG58" s="205"/>
      <c r="AH58" s="205"/>
      <c r="AI58" s="205"/>
      <c r="AJ58" s="205"/>
      <c r="AK58" s="205"/>
      <c r="AL58" s="20"/>
      <c r="AM58" s="22"/>
      <c r="AN58" s="22"/>
      <c r="AO58" s="19"/>
      <c r="AP58" s="181"/>
    </row>
    <row r="59" spans="2:46" ht="63.75" customHeight="1" thickBot="1">
      <c r="B59" s="37"/>
      <c r="C59" s="37"/>
      <c r="D59" s="37"/>
      <c r="E59" s="37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  <c r="AA59" s="37"/>
      <c r="AB59" s="37"/>
      <c r="AC59" s="206"/>
      <c r="AD59" s="206"/>
      <c r="AE59" s="206"/>
      <c r="AF59" s="206"/>
      <c r="AG59" s="206"/>
      <c r="AH59" s="206"/>
      <c r="AI59" s="206"/>
      <c r="AJ59" s="206"/>
      <c r="AK59" s="206"/>
      <c r="AL59" s="20"/>
      <c r="AM59" s="22"/>
      <c r="AN59" s="22"/>
      <c r="AO59" s="19"/>
      <c r="AP59" s="181"/>
    </row>
    <row r="60" spans="2:46" ht="17.25">
      <c r="B60" s="102" t="s">
        <v>52</v>
      </c>
      <c r="C60" s="103"/>
      <c r="D60" s="103"/>
      <c r="E60" s="103"/>
      <c r="F60" s="103"/>
      <c r="G60" s="103"/>
      <c r="H60" s="103"/>
      <c r="I60" s="103"/>
      <c r="J60" s="103"/>
      <c r="K60" s="103"/>
      <c r="L60" s="103"/>
      <c r="M60" s="103"/>
      <c r="N60" s="103"/>
      <c r="O60" s="103"/>
      <c r="P60" s="103"/>
      <c r="Q60" s="103"/>
      <c r="R60" s="103"/>
      <c r="S60" s="103"/>
      <c r="T60" s="103"/>
      <c r="U60" s="103"/>
      <c r="V60" s="103"/>
      <c r="W60" s="103"/>
      <c r="X60" s="103"/>
      <c r="Y60" s="103"/>
      <c r="Z60" s="103"/>
      <c r="AA60" s="103"/>
      <c r="AB60" s="103"/>
      <c r="AC60" s="103"/>
      <c r="AD60" s="103"/>
      <c r="AE60" s="103"/>
      <c r="AF60" s="103"/>
      <c r="AG60" s="103"/>
      <c r="AH60" s="103"/>
      <c r="AI60" s="103"/>
      <c r="AJ60" s="103"/>
      <c r="AK60" s="104"/>
      <c r="AL60" s="20"/>
      <c r="AM60" s="22"/>
      <c r="AN60" s="22"/>
      <c r="AO60" s="19"/>
      <c r="AP60" s="181"/>
    </row>
    <row r="61" spans="2:46">
      <c r="B61" s="101" t="s">
        <v>42</v>
      </c>
      <c r="C61" s="101"/>
      <c r="D61" s="101"/>
      <c r="E61" s="101"/>
      <c r="F61" s="101"/>
      <c r="G61" s="101"/>
      <c r="H61" s="101"/>
      <c r="I61" s="101"/>
      <c r="J61" s="101" t="str">
        <f>IF(S10="","",IF(S10&lt;=40%,"Pay attention in class discautions  to improve.",IF(S10&lt;=60%,"Gives up easily in dificulty and can't atempt the task.",IF(S10&lt;=75%,"What an outstandimg result. Keep up your good work.","Hard works pays, you came out with flying colours."))))</f>
        <v>Pay attention in class discautions  to improve.</v>
      </c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  <c r="AC61" s="101"/>
      <c r="AD61" s="101"/>
      <c r="AE61" s="101"/>
      <c r="AF61" s="101"/>
      <c r="AG61" s="101"/>
      <c r="AH61" s="101"/>
      <c r="AI61" s="101"/>
      <c r="AJ61" s="101"/>
      <c r="AK61" s="101"/>
      <c r="AL61" s="20"/>
      <c r="AM61" s="22"/>
      <c r="AN61" s="22"/>
      <c r="AO61" s="19"/>
      <c r="AP61" s="181"/>
    </row>
    <row r="62" spans="2:46">
      <c r="B62" s="101"/>
      <c r="C62" s="101"/>
      <c r="D62" s="101"/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  <c r="AC62" s="101"/>
      <c r="AD62" s="101"/>
      <c r="AE62" s="101"/>
      <c r="AF62" s="101"/>
      <c r="AG62" s="101"/>
      <c r="AH62" s="101"/>
      <c r="AI62" s="101"/>
      <c r="AJ62" s="101"/>
      <c r="AK62" s="101"/>
      <c r="AL62" s="20"/>
      <c r="AM62" s="22"/>
      <c r="AN62" s="22"/>
      <c r="AO62" s="19"/>
      <c r="AP62" s="181"/>
      <c r="AT62" s="11" t="e">
        <f>AVERAGE(AT24,AT26,AT28,AT30,AT32,AT34,#REF!,#REF!,AT36,AT41,AT43,AT45,AT47,AT49,#REF!,AT51,AT53,#REF!)</f>
        <v>#REF!</v>
      </c>
    </row>
    <row r="63" spans="2:46">
      <c r="B63" s="101" t="s">
        <v>43</v>
      </c>
      <c r="C63" s="101"/>
      <c r="D63" s="101"/>
      <c r="E63" s="101"/>
      <c r="F63" s="101"/>
      <c r="G63" s="101"/>
      <c r="H63" s="101"/>
      <c r="I63" s="101"/>
      <c r="J63" s="101" t="str">
        <f>IF(S10="","",IF(S10&lt;=40%,"Pay closer attention to the class its beneficial.",IF(S10&lt;=60%,"Don't give up easily in difficulties. Put in more efforts",IF(S10&lt;=75%,"You came out with flying colours ", "What a wonderful result. You deserve a hand shake because of your good performance"))))</f>
        <v>Pay closer attention to the class its beneficial.</v>
      </c>
      <c r="K63" s="101"/>
      <c r="L63" s="101"/>
      <c r="M63" s="101"/>
      <c r="N63" s="101"/>
      <c r="O63" s="101"/>
      <c r="P63" s="101"/>
      <c r="Q63" s="101"/>
      <c r="R63" s="101"/>
      <c r="S63" s="101"/>
      <c r="T63" s="101"/>
      <c r="U63" s="101"/>
      <c r="V63" s="101"/>
      <c r="W63" s="101"/>
      <c r="X63" s="101"/>
      <c r="Y63" s="101"/>
      <c r="Z63" s="101"/>
      <c r="AA63" s="101"/>
      <c r="AB63" s="101"/>
      <c r="AC63" s="101"/>
      <c r="AD63" s="101"/>
      <c r="AE63" s="101"/>
      <c r="AF63" s="101"/>
      <c r="AG63" s="101"/>
      <c r="AH63" s="101"/>
      <c r="AI63" s="101"/>
      <c r="AJ63" s="101"/>
      <c r="AK63" s="101"/>
      <c r="AL63" s="20"/>
      <c r="AM63" s="22"/>
      <c r="AN63" s="22"/>
      <c r="AO63" s="19"/>
      <c r="AP63" s="181"/>
    </row>
    <row r="64" spans="2:46">
      <c r="B64" s="101"/>
      <c r="C64" s="101"/>
      <c r="D64" s="101"/>
      <c r="E64" s="101"/>
      <c r="F64" s="101"/>
      <c r="G64" s="101"/>
      <c r="H64" s="101"/>
      <c r="I64" s="101"/>
      <c r="J64" s="101"/>
      <c r="K64" s="101"/>
      <c r="L64" s="101"/>
      <c r="M64" s="101"/>
      <c r="N64" s="101"/>
      <c r="O64" s="101"/>
      <c r="P64" s="101"/>
      <c r="Q64" s="101"/>
      <c r="R64" s="101"/>
      <c r="S64" s="101"/>
      <c r="T64" s="101"/>
      <c r="U64" s="101"/>
      <c r="V64" s="101"/>
      <c r="W64" s="101"/>
      <c r="X64" s="101"/>
      <c r="Y64" s="101"/>
      <c r="Z64" s="101"/>
      <c r="AA64" s="101"/>
      <c r="AB64" s="101"/>
      <c r="AC64" s="101"/>
      <c r="AD64" s="101"/>
      <c r="AE64" s="101"/>
      <c r="AF64" s="101"/>
      <c r="AG64" s="101"/>
      <c r="AH64" s="101"/>
      <c r="AI64" s="101"/>
      <c r="AJ64" s="101"/>
      <c r="AK64" s="101"/>
      <c r="AL64" s="20"/>
      <c r="AM64" s="22"/>
      <c r="AN64" s="22"/>
      <c r="AO64" s="19"/>
      <c r="AP64" s="181"/>
    </row>
    <row r="65" spans="1:42" ht="15.75" thickBot="1">
      <c r="AE65" s="17"/>
      <c r="AF65" s="17"/>
      <c r="AG65" s="17"/>
      <c r="AH65" s="17"/>
      <c r="AI65" s="17"/>
      <c r="AJ65" s="17"/>
      <c r="AK65" s="17"/>
      <c r="AL65" s="20"/>
      <c r="AM65" s="22"/>
      <c r="AN65" s="22"/>
      <c r="AO65" s="19"/>
      <c r="AP65" s="181"/>
    </row>
    <row r="66" spans="1:42" ht="18" thickBot="1">
      <c r="B66" s="98" t="s">
        <v>51</v>
      </c>
      <c r="C66" s="99"/>
      <c r="D66" s="99"/>
      <c r="E66" s="99"/>
      <c r="F66" s="99"/>
      <c r="G66" s="99"/>
      <c r="H66" s="99"/>
      <c r="I66" s="99"/>
      <c r="J66" s="99"/>
      <c r="K66" s="99"/>
      <c r="L66" s="99"/>
      <c r="M66" s="99"/>
      <c r="N66" s="99"/>
      <c r="O66" s="99"/>
      <c r="P66" s="99"/>
      <c r="Q66" s="99"/>
      <c r="R66" s="99"/>
      <c r="S66" s="99"/>
      <c r="T66" s="99"/>
      <c r="U66" s="99"/>
      <c r="V66" s="99"/>
      <c r="W66" s="99"/>
      <c r="X66" s="99"/>
      <c r="Y66" s="99"/>
      <c r="Z66" s="99"/>
      <c r="AA66" s="99"/>
      <c r="AB66" s="99"/>
      <c r="AC66" s="99"/>
      <c r="AD66" s="99"/>
      <c r="AE66" s="99"/>
      <c r="AF66" s="99"/>
      <c r="AG66" s="99"/>
      <c r="AH66" s="99"/>
      <c r="AI66" s="99"/>
      <c r="AJ66" s="99"/>
      <c r="AK66" s="100"/>
      <c r="AL66" s="21"/>
      <c r="AM66" s="22"/>
      <c r="AN66" s="22"/>
      <c r="AO66" s="19"/>
      <c r="AP66" s="181"/>
    </row>
    <row r="67" spans="1:42">
      <c r="B67" s="202"/>
      <c r="C67" s="203"/>
      <c r="D67" s="203"/>
      <c r="E67" s="203"/>
      <c r="F67" s="203"/>
      <c r="G67" s="203"/>
      <c r="H67" s="203"/>
      <c r="I67" s="203"/>
      <c r="J67" s="203"/>
      <c r="K67" s="203"/>
      <c r="L67" s="203"/>
      <c r="M67" s="203"/>
      <c r="N67" s="203"/>
      <c r="O67" s="203"/>
      <c r="P67" s="203"/>
      <c r="Q67" s="203"/>
      <c r="R67" s="203"/>
      <c r="S67" s="203"/>
      <c r="T67" s="203"/>
      <c r="U67" s="203"/>
      <c r="V67" s="203"/>
      <c r="W67" s="203"/>
      <c r="X67" s="203"/>
      <c r="Y67" s="203"/>
      <c r="Z67" s="203"/>
      <c r="AA67" s="203"/>
      <c r="AB67" s="203"/>
      <c r="AC67" s="203"/>
      <c r="AD67" s="203"/>
      <c r="AE67" s="203"/>
      <c r="AF67" s="203"/>
      <c r="AG67" s="203"/>
      <c r="AH67" s="203"/>
      <c r="AI67" s="203"/>
      <c r="AJ67" s="203"/>
      <c r="AK67" s="204"/>
      <c r="AL67" s="20"/>
      <c r="AM67" s="22"/>
      <c r="AN67" s="22"/>
      <c r="AO67" s="19"/>
      <c r="AP67" s="181"/>
    </row>
    <row r="68" spans="1:42" ht="15" customHeight="1">
      <c r="B68" s="168" t="s">
        <v>44</v>
      </c>
      <c r="C68" s="169"/>
      <c r="D68" s="169"/>
      <c r="E68" s="169"/>
      <c r="F68" s="170"/>
      <c r="G68" s="155">
        <v>46003</v>
      </c>
      <c r="H68" s="156"/>
      <c r="I68" s="157"/>
      <c r="L68" s="158" t="s">
        <v>45</v>
      </c>
      <c r="M68" s="159"/>
      <c r="N68" s="159"/>
      <c r="O68" s="159"/>
      <c r="P68" s="159"/>
      <c r="Q68" s="159"/>
      <c r="R68" s="159"/>
      <c r="S68" s="159"/>
      <c r="T68" s="159"/>
      <c r="U68" s="159"/>
      <c r="V68" s="159"/>
      <c r="W68" s="159"/>
      <c r="X68" s="159"/>
      <c r="Y68" s="159"/>
      <c r="Z68" s="159"/>
      <c r="AA68" s="159"/>
      <c r="AB68" s="160"/>
      <c r="AE68" s="16"/>
      <c r="AK68" s="18"/>
      <c r="AL68" s="20"/>
      <c r="AM68" s="22"/>
      <c r="AN68" s="22"/>
      <c r="AO68" s="19"/>
      <c r="AP68" s="181"/>
    </row>
    <row r="69" spans="1:42" ht="17.25">
      <c r="B69" s="200" t="s">
        <v>46</v>
      </c>
      <c r="C69" s="147"/>
      <c r="D69" s="147"/>
      <c r="E69" s="147"/>
      <c r="F69" s="148"/>
      <c r="G69" s="155">
        <v>46034</v>
      </c>
      <c r="H69" s="156"/>
      <c r="I69" s="157"/>
      <c r="L69" s="158" t="s">
        <v>47</v>
      </c>
      <c r="M69" s="159"/>
      <c r="N69" s="159"/>
      <c r="O69" s="159"/>
      <c r="P69" s="159"/>
      <c r="Q69" s="159"/>
      <c r="R69" s="159"/>
      <c r="S69" s="159"/>
      <c r="T69" s="159"/>
      <c r="U69" s="159"/>
      <c r="V69" s="159"/>
      <c r="W69" s="159"/>
      <c r="X69" s="159"/>
      <c r="Y69" s="159"/>
      <c r="Z69" s="159"/>
      <c r="AA69" s="159"/>
      <c r="AB69" s="160"/>
      <c r="AE69" s="16"/>
      <c r="AK69" s="18"/>
      <c r="AL69" s="20"/>
      <c r="AM69" s="22"/>
      <c r="AN69" s="22"/>
      <c r="AO69" s="19"/>
      <c r="AP69" s="181"/>
    </row>
    <row r="70" spans="1:42">
      <c r="B70" s="105" t="s">
        <v>54</v>
      </c>
      <c r="C70" s="106"/>
      <c r="D70" s="106"/>
      <c r="E70" s="106"/>
      <c r="F70" s="106"/>
      <c r="G70" s="106"/>
      <c r="H70" s="106"/>
      <c r="I70" s="106"/>
      <c r="J70" s="106"/>
      <c r="K70" s="106"/>
      <c r="L70" s="106"/>
      <c r="M70" s="106"/>
      <c r="N70" s="106"/>
      <c r="O70" s="106"/>
      <c r="P70" s="106"/>
      <c r="Q70" s="106"/>
      <c r="R70" s="106"/>
      <c r="S70" s="106"/>
      <c r="T70" s="106"/>
      <c r="U70" s="106"/>
      <c r="V70" s="106"/>
      <c r="W70" s="106"/>
      <c r="X70" s="106"/>
      <c r="Y70" s="106"/>
      <c r="Z70" s="106"/>
      <c r="AA70" s="106"/>
      <c r="AB70" s="106"/>
      <c r="AC70" s="106"/>
      <c r="AD70" s="106"/>
      <c r="AE70" s="106"/>
      <c r="AF70" s="106"/>
      <c r="AG70" s="106"/>
      <c r="AH70" s="106"/>
      <c r="AI70" s="106"/>
      <c r="AJ70" s="106"/>
      <c r="AK70" s="107"/>
      <c r="AL70" s="20"/>
      <c r="AM70" s="22"/>
      <c r="AN70" s="22"/>
      <c r="AO70" s="19"/>
      <c r="AP70" s="181"/>
    </row>
    <row r="71" spans="1:42" ht="15.75" thickBot="1">
      <c r="B71" s="108"/>
      <c r="C71" s="109"/>
      <c r="D71" s="109"/>
      <c r="E71" s="109"/>
      <c r="F71" s="109"/>
      <c r="G71" s="109"/>
      <c r="H71" s="109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  <c r="AK71" s="110"/>
      <c r="AL71" s="20"/>
      <c r="AM71" s="22"/>
      <c r="AN71" s="22"/>
      <c r="AO71" s="19"/>
      <c r="AP71" s="181"/>
    </row>
    <row r="72" spans="1:42">
      <c r="B72" s="23"/>
      <c r="C72" s="23"/>
      <c r="D72" s="4"/>
      <c r="E72" s="4"/>
      <c r="F72" s="24"/>
      <c r="G72" s="2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L72" s="20"/>
      <c r="AM72" s="22"/>
      <c r="AN72" s="22"/>
      <c r="AO72" s="19"/>
      <c r="AP72" s="181"/>
    </row>
    <row r="73" spans="1:42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L73" s="20"/>
      <c r="AM73" s="22"/>
      <c r="AN73" s="22"/>
      <c r="AO73" s="19"/>
      <c r="AP73" s="181"/>
    </row>
    <row r="74" spans="1:42">
      <c r="A74" s="97" t="s">
        <v>48</v>
      </c>
      <c r="B74" s="97"/>
      <c r="C74" s="97"/>
      <c r="D74" s="97"/>
      <c r="E74" s="97"/>
      <c r="F74" s="97"/>
      <c r="G74" s="97"/>
      <c r="H74" s="97"/>
      <c r="I74" s="97"/>
      <c r="J74" s="97"/>
      <c r="K74" s="97"/>
      <c r="L74" s="97"/>
      <c r="M74" s="97"/>
      <c r="N74" s="97"/>
      <c r="O74" s="97"/>
      <c r="P74" s="97"/>
      <c r="Q74" s="97"/>
      <c r="R74" s="97"/>
      <c r="S74" s="97"/>
      <c r="T74" s="97"/>
      <c r="U74" s="97"/>
      <c r="V74" s="97"/>
      <c r="W74" s="97"/>
      <c r="X74" s="97"/>
      <c r="Y74" s="97"/>
      <c r="Z74" s="97"/>
      <c r="AA74" s="97"/>
      <c r="AB74" s="97"/>
      <c r="AC74" s="97"/>
      <c r="AD74" s="97"/>
      <c r="AE74" s="97"/>
      <c r="AF74" s="97"/>
      <c r="AG74" s="97"/>
      <c r="AH74" s="97"/>
      <c r="AI74" s="97"/>
      <c r="AJ74" s="97"/>
      <c r="AK74" s="97"/>
      <c r="AL74" s="97"/>
      <c r="AM74" s="97"/>
      <c r="AN74" s="97"/>
      <c r="AO74" s="97"/>
      <c r="AP74" s="181"/>
    </row>
  </sheetData>
  <mergeCells count="160">
    <mergeCell ref="AC58:AK59"/>
    <mergeCell ref="AC51:AK51"/>
    <mergeCell ref="AC42:AK45"/>
    <mergeCell ref="AH47:AK47"/>
    <mergeCell ref="AC40:AG41"/>
    <mergeCell ref="B47:H47"/>
    <mergeCell ref="B45:H45"/>
    <mergeCell ref="AJ38:AJ39"/>
    <mergeCell ref="AI35:AI36"/>
    <mergeCell ref="Y42:AA42"/>
    <mergeCell ref="Y43:AA43"/>
    <mergeCell ref="AC38:AG39"/>
    <mergeCell ref="B43:H43"/>
    <mergeCell ref="B41:H41"/>
    <mergeCell ref="B44:G44"/>
    <mergeCell ref="Y44:AA44"/>
    <mergeCell ref="B35:G35"/>
    <mergeCell ref="X35:AA35"/>
    <mergeCell ref="Y36:AA36"/>
    <mergeCell ref="B36:H36"/>
    <mergeCell ref="AC37:AG37"/>
    <mergeCell ref="Y41:AA41"/>
    <mergeCell ref="AC35:AG36"/>
    <mergeCell ref="AP8:AP74"/>
    <mergeCell ref="B13:L13"/>
    <mergeCell ref="M13:Z13"/>
    <mergeCell ref="B15:AA15"/>
    <mergeCell ref="AC15:AK16"/>
    <mergeCell ref="B16:AA17"/>
    <mergeCell ref="F9:W9"/>
    <mergeCell ref="S10:W10"/>
    <mergeCell ref="K11:M11"/>
    <mergeCell ref="N11:S11"/>
    <mergeCell ref="T11:W11"/>
    <mergeCell ref="Z11:AA11"/>
    <mergeCell ref="AB11:AI11"/>
    <mergeCell ref="B9:D9"/>
    <mergeCell ref="B10:D10"/>
    <mergeCell ref="AJ35:AJ36"/>
    <mergeCell ref="B48:G48"/>
    <mergeCell ref="X48:AA48"/>
    <mergeCell ref="AC48:AK48"/>
    <mergeCell ref="Y49:AA49"/>
    <mergeCell ref="AC49:AK49"/>
    <mergeCell ref="B69:F69"/>
    <mergeCell ref="AM8:AO30"/>
    <mergeCell ref="B67:AK67"/>
    <mergeCell ref="G69:I69"/>
    <mergeCell ref="L69:AB69"/>
    <mergeCell ref="AH35:AH36"/>
    <mergeCell ref="AH38:AH39"/>
    <mergeCell ref="B50:G50"/>
    <mergeCell ref="X50:AA50"/>
    <mergeCell ref="AC50:AK50"/>
    <mergeCell ref="B49:H49"/>
    <mergeCell ref="Y45:AA45"/>
    <mergeCell ref="B46:G46"/>
    <mergeCell ref="X46:AA46"/>
    <mergeCell ref="AC46:AG46"/>
    <mergeCell ref="AH46:AK46"/>
    <mergeCell ref="Y47:AA47"/>
    <mergeCell ref="AC47:AG47"/>
    <mergeCell ref="B68:F68"/>
    <mergeCell ref="G68:I68"/>
    <mergeCell ref="L68:AB68"/>
    <mergeCell ref="Y51:AA51"/>
    <mergeCell ref="Y53:AA53"/>
    <mergeCell ref="B53:H53"/>
    <mergeCell ref="AC53:AK54"/>
    <mergeCell ref="B51:H51"/>
    <mergeCell ref="B42:G42"/>
    <mergeCell ref="AC33:AG34"/>
    <mergeCell ref="B37:AA40"/>
    <mergeCell ref="AK38:AK39"/>
    <mergeCell ref="AI38:AI39"/>
    <mergeCell ref="AK40:AK41"/>
    <mergeCell ref="AJ40:AJ41"/>
    <mergeCell ref="AI40:AI41"/>
    <mergeCell ref="AH40:AH41"/>
    <mergeCell ref="X27:AA27"/>
    <mergeCell ref="AC27:AG27"/>
    <mergeCell ref="AH31:AK31"/>
    <mergeCell ref="Y32:AA32"/>
    <mergeCell ref="AK33:AK34"/>
    <mergeCell ref="AK35:AK36"/>
    <mergeCell ref="B28:H28"/>
    <mergeCell ref="AC31:AG32"/>
    <mergeCell ref="B30:H30"/>
    <mergeCell ref="AC21:AG22"/>
    <mergeCell ref="AI33:AI34"/>
    <mergeCell ref="B27:G27"/>
    <mergeCell ref="Y24:AA24"/>
    <mergeCell ref="AC24:AG24"/>
    <mergeCell ref="B33:G33"/>
    <mergeCell ref="X33:AA33"/>
    <mergeCell ref="Y34:AA34"/>
    <mergeCell ref="T12:W12"/>
    <mergeCell ref="Z12:AB12"/>
    <mergeCell ref="AE12:AI12"/>
    <mergeCell ref="M19:M23"/>
    <mergeCell ref="N19:N23"/>
    <mergeCell ref="O19:O23"/>
    <mergeCell ref="P19:P23"/>
    <mergeCell ref="Q19:Q23"/>
    <mergeCell ref="R19:R23"/>
    <mergeCell ref="S19:S23"/>
    <mergeCell ref="T19:T23"/>
    <mergeCell ref="U19:U23"/>
    <mergeCell ref="V19:V23"/>
    <mergeCell ref="W19:W23"/>
    <mergeCell ref="X19:X23"/>
    <mergeCell ref="Y19:AA23"/>
    <mergeCell ref="AC23:AG23"/>
    <mergeCell ref="AL7:AP7"/>
    <mergeCell ref="A74:AO74"/>
    <mergeCell ref="B66:AK66"/>
    <mergeCell ref="B63:I64"/>
    <mergeCell ref="J63:AK64"/>
    <mergeCell ref="B61:I62"/>
    <mergeCell ref="J61:AK62"/>
    <mergeCell ref="B60:AK60"/>
    <mergeCell ref="B70:AK71"/>
    <mergeCell ref="B26:H26"/>
    <mergeCell ref="Y28:AA28"/>
    <mergeCell ref="AC28:AG28"/>
    <mergeCell ref="B29:G29"/>
    <mergeCell ref="X29:AA29"/>
    <mergeCell ref="AC29:AG29"/>
    <mergeCell ref="Y30:AA30"/>
    <mergeCell ref="B31:G31"/>
    <mergeCell ref="X31:AA31"/>
    <mergeCell ref="B34:H34"/>
    <mergeCell ref="AH33:AH34"/>
    <mergeCell ref="AJ33:AJ34"/>
    <mergeCell ref="F10:J10"/>
    <mergeCell ref="B11:I11"/>
    <mergeCell ref="E1:AP6"/>
    <mergeCell ref="B54:AA57"/>
    <mergeCell ref="AB9:AK9"/>
    <mergeCell ref="Z9:AA9"/>
    <mergeCell ref="Z10:AB10"/>
    <mergeCell ref="AC10:AK10"/>
    <mergeCell ref="N12:S12"/>
    <mergeCell ref="H12:M12"/>
    <mergeCell ref="B12:F12"/>
    <mergeCell ref="AH21:AK21"/>
    <mergeCell ref="N10:R10"/>
    <mergeCell ref="K10:M10"/>
    <mergeCell ref="B19:H23"/>
    <mergeCell ref="I19:I23"/>
    <mergeCell ref="J19:J23"/>
    <mergeCell ref="K19:K23"/>
    <mergeCell ref="L19:L23"/>
    <mergeCell ref="B32:H32"/>
    <mergeCell ref="B24:H24"/>
    <mergeCell ref="B25:G25"/>
    <mergeCell ref="X25:AA25"/>
    <mergeCell ref="AC25:AG25"/>
    <mergeCell ref="Y26:AA26"/>
    <mergeCell ref="AC26:AG26"/>
  </mergeCells>
  <pageMargins left="0.5" right="0.1" top="0.25" bottom="0.03" header="0.05" footer="0.02"/>
  <pageSetup paperSize="9" scale="62" orientation="portrait" r:id="rId1"/>
  <headerFooter>
    <oddHeader>&amp;CPrepared by GLOBIXTECH &amp;D&amp;RPage &amp;P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30</xdr:col>
                    <xdr:colOff>95250</xdr:colOff>
                    <xdr:row>12</xdr:row>
                    <xdr:rowOff>95250</xdr:rowOff>
                  </from>
                  <to>
                    <xdr:col>33</xdr:col>
                    <xdr:colOff>180975</xdr:colOff>
                    <xdr:row>13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01CBAAA-A726-4E09-BA25-BA1A6262D8E4}">
          <x14:formula1>
            <xm:f>Sheet1!$A$2:$A$19</xm:f>
          </x14:formula1>
          <xm:sqref>AB9:AK9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58188-DDF8-492D-B130-9362CDA4E1A5}">
  <sheetPr codeName="Sheet2"/>
  <dimension ref="A2:B19"/>
  <sheetViews>
    <sheetView workbookViewId="0">
      <selection sqref="A1:A1048576"/>
    </sheetView>
  </sheetViews>
  <sheetFormatPr defaultRowHeight="15"/>
  <cols>
    <col min="1" max="1" width="22.140625" customWidth="1"/>
    <col min="2" max="2" width="28.42578125" customWidth="1"/>
  </cols>
  <sheetData>
    <row r="2" spans="1:2">
      <c r="A2" t="s">
        <v>76</v>
      </c>
      <c r="B2" t="s">
        <v>77</v>
      </c>
    </row>
    <row r="3" spans="1:2">
      <c r="A3" t="s">
        <v>78</v>
      </c>
      <c r="B3" t="s">
        <v>79</v>
      </c>
    </row>
    <row r="4" spans="1:2">
      <c r="A4" t="s">
        <v>80</v>
      </c>
      <c r="B4" t="s">
        <v>81</v>
      </c>
    </row>
    <row r="5" spans="1:2">
      <c r="A5" t="s">
        <v>82</v>
      </c>
      <c r="B5" t="s">
        <v>83</v>
      </c>
    </row>
    <row r="6" spans="1:2">
      <c r="A6" t="s">
        <v>84</v>
      </c>
      <c r="B6" t="s">
        <v>85</v>
      </c>
    </row>
    <row r="7" spans="1:2">
      <c r="A7" t="s">
        <v>86</v>
      </c>
      <c r="B7" t="s">
        <v>87</v>
      </c>
    </row>
    <row r="8" spans="1:2">
      <c r="A8" t="s">
        <v>88</v>
      </c>
      <c r="B8" t="s">
        <v>89</v>
      </c>
    </row>
    <row r="9" spans="1:2">
      <c r="A9" t="s">
        <v>90</v>
      </c>
      <c r="B9" t="s">
        <v>91</v>
      </c>
    </row>
    <row r="10" spans="1:2">
      <c r="A10" t="s">
        <v>92</v>
      </c>
      <c r="B10" t="s">
        <v>93</v>
      </c>
    </row>
    <row r="11" spans="1:2">
      <c r="A11" t="s">
        <v>94</v>
      </c>
      <c r="B11" t="s">
        <v>95</v>
      </c>
    </row>
    <row r="12" spans="1:2">
      <c r="A12" t="s">
        <v>96</v>
      </c>
      <c r="B12" t="s">
        <v>97</v>
      </c>
    </row>
    <row r="13" spans="1:2">
      <c r="A13" t="s">
        <v>98</v>
      </c>
      <c r="B13" t="s">
        <v>99</v>
      </c>
    </row>
    <row r="14" spans="1:2">
      <c r="A14" t="s">
        <v>100</v>
      </c>
      <c r="B14" t="s">
        <v>101</v>
      </c>
    </row>
    <row r="15" spans="1:2">
      <c r="A15" t="s">
        <v>102</v>
      </c>
      <c r="B15" t="s">
        <v>103</v>
      </c>
    </row>
    <row r="16" spans="1:2">
      <c r="A16" t="s">
        <v>104</v>
      </c>
      <c r="B16" t="s">
        <v>105</v>
      </c>
    </row>
    <row r="17" spans="1:2">
      <c r="A17" t="s">
        <v>106</v>
      </c>
      <c r="B17" t="s">
        <v>107</v>
      </c>
    </row>
    <row r="18" spans="1:2">
      <c r="A18" t="s">
        <v>108</v>
      </c>
      <c r="B18" t="s">
        <v>109</v>
      </c>
    </row>
    <row r="19" spans="1:2">
      <c r="A19" t="s">
        <v>110</v>
      </c>
      <c r="B19" t="s">
        <v>111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SS1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BONUS DOMINUS</dc:creator>
  <cp:lastModifiedBy>Birxy Anyaegbu</cp:lastModifiedBy>
  <cp:lastPrinted>2025-12-14T15:02:22Z</cp:lastPrinted>
  <dcterms:created xsi:type="dcterms:W3CDTF">2021-11-05T03:24:00Z</dcterms:created>
  <dcterms:modified xsi:type="dcterms:W3CDTF">2026-04-19T22:58:46Z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E717D18094C74E2BBB3EE47A4B7A4954</vt:lpwstr>
  </property>
  <property fmtid="{D5CDD505-2E9C-101B-9397-08002B2CF9AE}" pid="3" name="KSOProductBuildVer">
    <vt:lpwstr>1033-11.2.0.10463</vt:lpwstr>
  </property>
</Properties>
</file>